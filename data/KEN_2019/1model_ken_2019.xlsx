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135DA47A-4BC9-4832-A18B-BA968C8E553C}" xr6:coauthVersionLast="47" xr6:coauthVersionMax="47" xr10:uidLastSave="{00000000-0000-0000-0000-000000000000}"/>
  <bookViews>
    <workbookView xWindow="2280" yWindow="2280" windowWidth="14400" windowHeight="8260" tabRatio="742" activeTab="4" xr2:uid="{00000000-000D-0000-FFFF-FFFF00000000}"/>
  </bookViews>
  <sheets>
    <sheet name="Notes" sheetId="1" r:id="rId1"/>
    <sheet name="Index" sheetId="2" r:id="rId2"/>
    <sheet name="Sets" sheetId="3" r:id="rId3"/>
    <sheet name="Adjust" sheetId="10" r:id="rId4"/>
    <sheet name="SAM" sheetId="4" r:id="rId5"/>
    <sheet name="LES" sheetId="15" r:id="rId6"/>
    <sheet name="Elasticities" sheetId="7" r:id="rId7"/>
    <sheet name="Production" sheetId="5" r:id="rId8"/>
    <sheet name="Employment" sheetId="9" r:id="rId9"/>
    <sheet name="Population" sheetId="8" r:id="rId10"/>
  </sheets>
  <definedNames>
    <definedName name="_xlnm._FilterDatabase" localSheetId="3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T50" i="15" l="1"/>
  <c r="BT51" i="15"/>
  <c r="BT52" i="15"/>
  <c r="BT53" i="15"/>
  <c r="BT54" i="15"/>
  <c r="BT55" i="15"/>
  <c r="BT56" i="15"/>
  <c r="BT57" i="15"/>
  <c r="BT58" i="15"/>
  <c r="BT59" i="15"/>
  <c r="BT60" i="15"/>
  <c r="BT61" i="15"/>
  <c r="BT62" i="15"/>
  <c r="BT63" i="15"/>
  <c r="BT64" i="15"/>
  <c r="BT65" i="15"/>
  <c r="BT66" i="15"/>
  <c r="BT67" i="15"/>
  <c r="BT68" i="15"/>
  <c r="BT69" i="15"/>
  <c r="BT70" i="15"/>
  <c r="BT71" i="15"/>
  <c r="BT72" i="15"/>
  <c r="BT73" i="15"/>
  <c r="BT74" i="15"/>
  <c r="BT75" i="15"/>
  <c r="BT76" i="15"/>
  <c r="BT77" i="15"/>
  <c r="BT78" i="15"/>
  <c r="BT79" i="15"/>
  <c r="BT80" i="15"/>
  <c r="BT81" i="15"/>
  <c r="BT82" i="15"/>
  <c r="BT83" i="15"/>
  <c r="BT84" i="15"/>
  <c r="BT85" i="15"/>
  <c r="BT86" i="15"/>
  <c r="BT87" i="15"/>
  <c r="BT88" i="15"/>
  <c r="BT89" i="15"/>
  <c r="BT90" i="15"/>
  <c r="BT91" i="15"/>
  <c r="BT92" i="15"/>
  <c r="BT93" i="15"/>
  <c r="BT94" i="15"/>
  <c r="BT49" i="15"/>
  <c r="M3" i="8"/>
  <c r="L3" i="8"/>
  <c r="K3" i="8"/>
  <c r="J5" i="4"/>
  <c r="I5" i="4" l="1"/>
  <c r="H5" i="4"/>
  <c r="G5" i="4"/>
  <c r="F5" i="4"/>
  <c r="E5" i="4"/>
  <c r="D5" i="4"/>
  <c r="C5" i="4"/>
  <c r="B5" i="4"/>
  <c r="H4" i="8"/>
  <c r="S156" i="15"/>
  <c r="S157" i="15"/>
  <c r="B156" i="15"/>
  <c r="T73" i="15"/>
  <c r="AL73" i="15" s="1"/>
  <c r="AQ73" i="15" s="1"/>
  <c r="Y10" i="15"/>
  <c r="C17" i="5"/>
  <c r="B17" i="5"/>
  <c r="C16" i="5"/>
  <c r="B16" i="5"/>
  <c r="D15" i="5"/>
  <c r="C15" i="5"/>
  <c r="B15" i="5"/>
  <c r="D14" i="5"/>
  <c r="C14" i="5"/>
  <c r="D13" i="5"/>
  <c r="C13" i="5"/>
  <c r="D12" i="5"/>
  <c r="C12" i="5"/>
  <c r="D11" i="5"/>
  <c r="C11" i="5"/>
  <c r="D10" i="5"/>
  <c r="C10" i="5"/>
  <c r="K14" i="7"/>
  <c r="B14" i="7"/>
  <c r="C14" i="7" s="1"/>
  <c r="R19" i="7"/>
  <c r="R20" i="7" s="1"/>
  <c r="S20" i="7" s="1"/>
  <c r="R18" i="7"/>
  <c r="S18" i="7" s="1"/>
  <c r="R17" i="7"/>
  <c r="S17" i="7" s="1"/>
  <c r="R9" i="7"/>
  <c r="S9" i="7" s="1"/>
  <c r="R8" i="7"/>
  <c r="S8" i="7" s="1"/>
  <c r="B53" i="7"/>
  <c r="C53" i="7" s="1"/>
  <c r="B52" i="7"/>
  <c r="C52" i="7" s="1"/>
  <c r="C51" i="7"/>
  <c r="B51" i="7"/>
  <c r="B50" i="7"/>
  <c r="C50" i="7" s="1"/>
  <c r="B49" i="7"/>
  <c r="C49" i="7" s="1"/>
  <c r="B48" i="7"/>
  <c r="C48" i="7" s="1"/>
  <c r="C47" i="7"/>
  <c r="B47" i="7"/>
  <c r="B46" i="7"/>
  <c r="C46" i="7" s="1"/>
  <c r="F45" i="7"/>
  <c r="F46" i="7" s="1"/>
  <c r="B45" i="7"/>
  <c r="C45" i="7" s="1"/>
  <c r="F44" i="7"/>
  <c r="G44" i="7" s="1"/>
  <c r="B44" i="7"/>
  <c r="C44" i="7" s="1"/>
  <c r="B43" i="7"/>
  <c r="C43" i="7" s="1"/>
  <c r="B42" i="7"/>
  <c r="C42" i="7" s="1"/>
  <c r="G41" i="7"/>
  <c r="F41" i="7"/>
  <c r="F42" i="7" s="1"/>
  <c r="B41" i="7"/>
  <c r="C41" i="7" s="1"/>
  <c r="B40" i="7"/>
  <c r="C40" i="7" s="1"/>
  <c r="B39" i="7"/>
  <c r="C39" i="7" s="1"/>
  <c r="C38" i="7"/>
  <c r="C37" i="7"/>
  <c r="C36" i="7"/>
  <c r="C35" i="7"/>
  <c r="F34" i="7"/>
  <c r="F35" i="7" s="1"/>
  <c r="C34" i="7"/>
  <c r="F33" i="7"/>
  <c r="G33" i="7" s="1"/>
  <c r="C33" i="7"/>
  <c r="G32" i="7"/>
  <c r="F32" i="7"/>
  <c r="C32" i="7"/>
  <c r="F31" i="7"/>
  <c r="G31" i="7" s="1"/>
  <c r="C31" i="7"/>
  <c r="F30" i="7"/>
  <c r="G30" i="7" s="1"/>
  <c r="C30" i="7"/>
  <c r="B29" i="7"/>
  <c r="C29" i="7" s="1"/>
  <c r="B28" i="7"/>
  <c r="C28" i="7" s="1"/>
  <c r="B27" i="7"/>
  <c r="C27" i="7" s="1"/>
  <c r="B26" i="7"/>
  <c r="C26" i="7" s="1"/>
  <c r="B25" i="7"/>
  <c r="C25" i="7" s="1"/>
  <c r="B24" i="7"/>
  <c r="C24" i="7" s="1"/>
  <c r="F23" i="7"/>
  <c r="F24" i="7" s="1"/>
  <c r="B23" i="7"/>
  <c r="C23" i="7" s="1"/>
  <c r="F22" i="7"/>
  <c r="G22" i="7" s="1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B15" i="7"/>
  <c r="C15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AT73" i="15" l="1"/>
  <c r="AU73" i="15"/>
  <c r="AN73" i="15"/>
  <c r="AV73" i="15"/>
  <c r="AY73" i="15"/>
  <c r="AR73" i="15"/>
  <c r="AZ73" i="15"/>
  <c r="AS73" i="15"/>
  <c r="BA73" i="15"/>
  <c r="AM73" i="15"/>
  <c r="AO73" i="15"/>
  <c r="AW73" i="15"/>
  <c r="AP73" i="15"/>
  <c r="AX73" i="15"/>
  <c r="BC73" i="15"/>
  <c r="G45" i="7"/>
  <c r="G34" i="7"/>
  <c r="R10" i="7"/>
  <c r="S19" i="7"/>
  <c r="F47" i="7"/>
  <c r="G46" i="7"/>
  <c r="F36" i="7"/>
  <c r="G35" i="7"/>
  <c r="G24" i="7"/>
  <c r="F25" i="7"/>
  <c r="F43" i="7"/>
  <c r="G43" i="7" s="1"/>
  <c r="G42" i="7"/>
  <c r="G23" i="7"/>
  <c r="BQ73" i="15" l="1"/>
  <c r="BI73" i="15"/>
  <c r="BP73" i="15"/>
  <c r="BH73" i="15"/>
  <c r="BO73" i="15"/>
  <c r="BG73" i="15"/>
  <c r="BE73" i="15"/>
  <c r="BK73" i="15"/>
  <c r="BR73" i="15"/>
  <c r="BJ73" i="15"/>
  <c r="BN73" i="15"/>
  <c r="BF73" i="15"/>
  <c r="BM73" i="15"/>
  <c r="BL73" i="15"/>
  <c r="BD73" i="15"/>
  <c r="BU73" i="15" s="1"/>
  <c r="R11" i="7"/>
  <c r="S10" i="7"/>
  <c r="F26" i="7"/>
  <c r="G25" i="7"/>
  <c r="F37" i="7"/>
  <c r="G36" i="7"/>
  <c r="F48" i="7"/>
  <c r="G47" i="7"/>
  <c r="AI73" i="15" l="1"/>
  <c r="AB73" i="15"/>
  <c r="AA156" i="15"/>
  <c r="AH73" i="15"/>
  <c r="V73" i="15"/>
  <c r="AC73" i="15"/>
  <c r="AB156" i="15"/>
  <c r="X73" i="15"/>
  <c r="AA73" i="15"/>
  <c r="Z156" i="15"/>
  <c r="AD73" i="15"/>
  <c r="AC156" i="15"/>
  <c r="AF73" i="15"/>
  <c r="U73" i="15"/>
  <c r="W73" i="15"/>
  <c r="Y73" i="15"/>
  <c r="Z73" i="15"/>
  <c r="Y156" i="15"/>
  <c r="AE73" i="15"/>
  <c r="AG73" i="15"/>
  <c r="R12" i="7"/>
  <c r="S11" i="7"/>
  <c r="F49" i="7"/>
  <c r="G48" i="7"/>
  <c r="F38" i="7"/>
  <c r="G37" i="7"/>
  <c r="G26" i="7"/>
  <c r="F27" i="7"/>
  <c r="AJ73" i="15" l="1"/>
  <c r="S12" i="7"/>
  <c r="R13" i="7"/>
  <c r="F28" i="7"/>
  <c r="G27" i="7"/>
  <c r="F39" i="7"/>
  <c r="G38" i="7"/>
  <c r="F50" i="7"/>
  <c r="G49" i="7"/>
  <c r="S13" i="7" l="1"/>
  <c r="R14" i="7"/>
  <c r="F51" i="7"/>
  <c r="G50" i="7"/>
  <c r="F40" i="7"/>
  <c r="G40" i="7" s="1"/>
  <c r="G39" i="7"/>
  <c r="G28" i="7"/>
  <c r="F29" i="7"/>
  <c r="G29" i="7" s="1"/>
  <c r="R15" i="7" l="1"/>
  <c r="S14" i="7"/>
  <c r="F52" i="7"/>
  <c r="G51" i="7"/>
  <c r="R16" i="7" l="1"/>
  <c r="S16" i="7" s="1"/>
  <c r="S15" i="7"/>
  <c r="F53" i="7"/>
  <c r="G53" i="7" s="1"/>
  <c r="G52" i="7"/>
  <c r="A49" i="15" l="1"/>
  <c r="C18" i="5"/>
  <c r="D18" i="5" s="1"/>
  <c r="B18" i="5"/>
  <c r="D16" i="5"/>
  <c r="B14" i="5"/>
  <c r="B13" i="5"/>
  <c r="B12" i="5"/>
  <c r="B11" i="5"/>
  <c r="B10" i="5"/>
  <c r="C9" i="5"/>
  <c r="B9" i="5"/>
  <c r="D17" i="5"/>
  <c r="D9" i="5"/>
  <c r="T95" i="15"/>
  <c r="T94" i="15"/>
  <c r="AL94" i="15" s="1"/>
  <c r="B177" i="15" s="1"/>
  <c r="T93" i="15"/>
  <c r="T92" i="15"/>
  <c r="AL92" i="15" s="1"/>
  <c r="B175" i="15" s="1"/>
  <c r="T91" i="15"/>
  <c r="AL91" i="15" s="1"/>
  <c r="AW91" i="15" s="1"/>
  <c r="T90" i="15"/>
  <c r="AL90" i="15" s="1"/>
  <c r="AX90" i="15" s="1"/>
  <c r="T89" i="15"/>
  <c r="BC89" i="15" s="1"/>
  <c r="BP89" i="15" s="1"/>
  <c r="AF172" i="15" s="1"/>
  <c r="T88" i="15"/>
  <c r="AL88" i="15" s="1"/>
  <c r="AT88" i="15" s="1"/>
  <c r="T87" i="15"/>
  <c r="AL87" i="15" s="1"/>
  <c r="AY87" i="15" s="1"/>
  <c r="T86" i="15"/>
  <c r="BC86" i="15" s="1"/>
  <c r="S169" i="15" s="1"/>
  <c r="T85" i="15"/>
  <c r="T84" i="15"/>
  <c r="AL84" i="15" s="1"/>
  <c r="AT84" i="15" s="1"/>
  <c r="T83" i="15"/>
  <c r="AL83" i="15" s="1"/>
  <c r="AY83" i="15" s="1"/>
  <c r="T82" i="15"/>
  <c r="AL82" i="15" s="1"/>
  <c r="AY82" i="15" s="1"/>
  <c r="T81" i="15"/>
  <c r="BC81" i="15" s="1"/>
  <c r="S164" i="15" s="1"/>
  <c r="T80" i="15"/>
  <c r="AL80" i="15" s="1"/>
  <c r="B163" i="15" s="1"/>
  <c r="T79" i="15"/>
  <c r="AL79" i="15" s="1"/>
  <c r="AY79" i="15" s="1"/>
  <c r="T78" i="15"/>
  <c r="BC78" i="15" s="1"/>
  <c r="BF78" i="15" s="1"/>
  <c r="V161" i="15" s="1"/>
  <c r="T77" i="15"/>
  <c r="T76" i="15"/>
  <c r="AL76" i="15" s="1"/>
  <c r="B159" i="15" s="1"/>
  <c r="T75" i="15"/>
  <c r="AL75" i="15" s="1"/>
  <c r="AY75" i="15" s="1"/>
  <c r="T74" i="15"/>
  <c r="AL74" i="15" s="1"/>
  <c r="AU74" i="15" s="1"/>
  <c r="T72" i="15"/>
  <c r="AL72" i="15" s="1"/>
  <c r="B155" i="15" s="1"/>
  <c r="T71" i="15"/>
  <c r="AL71" i="15" s="1"/>
  <c r="AZ71" i="15" s="1"/>
  <c r="P154" i="15" s="1"/>
  <c r="T70" i="15"/>
  <c r="AL70" i="15" s="1"/>
  <c r="AX70" i="15" s="1"/>
  <c r="T69" i="15"/>
  <c r="BC69" i="15" s="1"/>
  <c r="BL69" i="15" s="1"/>
  <c r="AB152" i="15" s="1"/>
  <c r="T68" i="15"/>
  <c r="AL68" i="15" s="1"/>
  <c r="AT68" i="15" s="1"/>
  <c r="T67" i="15"/>
  <c r="AL67" i="15" s="1"/>
  <c r="AU67" i="15" s="1"/>
  <c r="T66" i="15"/>
  <c r="AL66" i="15" s="1"/>
  <c r="B149" i="15" s="1"/>
  <c r="T65" i="15"/>
  <c r="AL65" i="15" s="1"/>
  <c r="AY65" i="15" s="1"/>
  <c r="T64" i="15"/>
  <c r="AL64" i="15" s="1"/>
  <c r="AY64" i="15" s="1"/>
  <c r="T63" i="15"/>
  <c r="BC63" i="15" s="1"/>
  <c r="S146" i="15" s="1"/>
  <c r="T62" i="15"/>
  <c r="T61" i="15"/>
  <c r="AL61" i="15" s="1"/>
  <c r="AT61" i="15" s="1"/>
  <c r="T60" i="15"/>
  <c r="AL60" i="15" s="1"/>
  <c r="AU60" i="15" s="1"/>
  <c r="T59" i="15"/>
  <c r="AL59" i="15" s="1"/>
  <c r="AW59" i="15" s="1"/>
  <c r="T58" i="15"/>
  <c r="BC58" i="15" s="1"/>
  <c r="BP58" i="15" s="1"/>
  <c r="AF141" i="15" s="1"/>
  <c r="T57" i="15"/>
  <c r="AL57" i="15" s="1"/>
  <c r="AW57" i="15" s="1"/>
  <c r="T56" i="15"/>
  <c r="AL56" i="15" s="1"/>
  <c r="AZ56" i="15" s="1"/>
  <c r="T55" i="15"/>
  <c r="BC55" i="15" s="1"/>
  <c r="BO55" i="15" s="1"/>
  <c r="AE138" i="15" s="1"/>
  <c r="T54" i="15"/>
  <c r="AL54" i="15" s="1"/>
  <c r="AZ54" i="15" s="1"/>
  <c r="T53" i="15"/>
  <c r="T52" i="15"/>
  <c r="AL52" i="15" s="1"/>
  <c r="AY52" i="15" s="1"/>
  <c r="T51" i="15"/>
  <c r="AL51" i="15" s="1"/>
  <c r="AT51" i="15" s="1"/>
  <c r="T50" i="15"/>
  <c r="BC50" i="15" s="1"/>
  <c r="S133" i="15" s="1"/>
  <c r="T49" i="15"/>
  <c r="BC49" i="15" s="1"/>
  <c r="BL49" i="15" s="1"/>
  <c r="AB132" i="15" s="1"/>
  <c r="W8" i="3"/>
  <c r="AA8" i="3" s="1"/>
  <c r="X8" i="3"/>
  <c r="W9" i="3"/>
  <c r="AA9" i="3" s="1"/>
  <c r="X9" i="3"/>
  <c r="W10" i="3"/>
  <c r="AA10" i="3" s="1"/>
  <c r="X10" i="3"/>
  <c r="W11" i="3"/>
  <c r="AA11" i="3" s="1"/>
  <c r="X11" i="3"/>
  <c r="W12" i="3"/>
  <c r="AA12" i="3" s="1"/>
  <c r="X12" i="3"/>
  <c r="W14" i="3"/>
  <c r="AA14" i="3" s="1"/>
  <c r="X14" i="3"/>
  <c r="W15" i="3"/>
  <c r="AA15" i="3" s="1"/>
  <c r="X15" i="3"/>
  <c r="W16" i="3"/>
  <c r="AA16" i="3" s="1"/>
  <c r="X16" i="3"/>
  <c r="W17" i="3"/>
  <c r="AA17" i="3" s="1"/>
  <c r="X17" i="3"/>
  <c r="W18" i="3"/>
  <c r="AA18" i="3" s="1"/>
  <c r="X18" i="3"/>
  <c r="W19" i="3"/>
  <c r="AB7" i="3" s="1"/>
  <c r="X19" i="3"/>
  <c r="W20" i="3"/>
  <c r="AB8" i="3" s="1"/>
  <c r="X20" i="3"/>
  <c r="W21" i="3"/>
  <c r="AC7" i="3" s="1"/>
  <c r="X21" i="3"/>
  <c r="W22" i="3"/>
  <c r="AC8" i="3" s="1"/>
  <c r="X22" i="3"/>
  <c r="W23" i="3"/>
  <c r="AC9" i="3" s="1"/>
  <c r="X23" i="3"/>
  <c r="W24" i="3"/>
  <c r="AC10" i="3" s="1"/>
  <c r="X24" i="3"/>
  <c r="W25" i="3"/>
  <c r="AC11" i="3" s="1"/>
  <c r="X25" i="3"/>
  <c r="W26" i="3"/>
  <c r="AC12" i="3" s="1"/>
  <c r="X26" i="3"/>
  <c r="W27" i="3"/>
  <c r="AC13" i="3" s="1"/>
  <c r="X27" i="3"/>
  <c r="W28" i="3"/>
  <c r="AC14" i="3" s="1"/>
  <c r="X28" i="3"/>
  <c r="W29" i="3"/>
  <c r="AC15" i="3" s="1"/>
  <c r="X29" i="3"/>
  <c r="W30" i="3"/>
  <c r="AC16" i="3" s="1"/>
  <c r="X30" i="3"/>
  <c r="W31" i="3"/>
  <c r="AC17" i="3" s="1"/>
  <c r="X31" i="3"/>
  <c r="W32" i="3"/>
  <c r="AC18" i="3" s="1"/>
  <c r="X32" i="3"/>
  <c r="W33" i="3"/>
  <c r="AC19" i="3" s="1"/>
  <c r="X33" i="3"/>
  <c r="W34" i="3"/>
  <c r="AC20" i="3" s="1"/>
  <c r="X34" i="3"/>
  <c r="W35" i="3"/>
  <c r="AC21" i="3" s="1"/>
  <c r="X35" i="3"/>
  <c r="W36" i="3"/>
  <c r="AC22" i="3" s="1"/>
  <c r="X36" i="3"/>
  <c r="W37" i="3"/>
  <c r="AC23" i="3" s="1"/>
  <c r="X37" i="3"/>
  <c r="W38" i="3"/>
  <c r="X38" i="3"/>
  <c r="W39" i="3"/>
  <c r="X39" i="3"/>
  <c r="W40" i="3"/>
  <c r="X40" i="3"/>
  <c r="W41" i="3"/>
  <c r="X41" i="3"/>
  <c r="W42" i="3"/>
  <c r="X42" i="3"/>
  <c r="W43" i="3"/>
  <c r="X43" i="3"/>
  <c r="W44" i="3"/>
  <c r="X44" i="3"/>
  <c r="W45" i="3"/>
  <c r="X45" i="3"/>
  <c r="W46" i="3"/>
  <c r="X46" i="3"/>
  <c r="W47" i="3"/>
  <c r="X47" i="3"/>
  <c r="W48" i="3"/>
  <c r="X48" i="3"/>
  <c r="W49" i="3"/>
  <c r="X49" i="3"/>
  <c r="W50" i="3"/>
  <c r="X50" i="3"/>
  <c r="W51" i="3"/>
  <c r="X51" i="3"/>
  <c r="W52" i="3"/>
  <c r="X52" i="3"/>
  <c r="X7" i="3"/>
  <c r="W7" i="3"/>
  <c r="AA7" i="3" s="1"/>
  <c r="T8" i="3"/>
  <c r="U8" i="3"/>
  <c r="T9" i="3"/>
  <c r="U9" i="3"/>
  <c r="T10" i="3"/>
  <c r="U10" i="3"/>
  <c r="T11" i="3"/>
  <c r="U11" i="3"/>
  <c r="T12" i="3"/>
  <c r="U12" i="3"/>
  <c r="T14" i="3"/>
  <c r="U14" i="3"/>
  <c r="T15" i="3"/>
  <c r="U15" i="3"/>
  <c r="T16" i="3"/>
  <c r="U16" i="3"/>
  <c r="T17" i="3"/>
  <c r="U17" i="3"/>
  <c r="T18" i="3"/>
  <c r="U18" i="3"/>
  <c r="T19" i="3"/>
  <c r="U19" i="3"/>
  <c r="T20" i="3"/>
  <c r="U20" i="3"/>
  <c r="T21" i="3"/>
  <c r="U21" i="3"/>
  <c r="T22" i="3"/>
  <c r="U22" i="3"/>
  <c r="T23" i="3"/>
  <c r="U23" i="3"/>
  <c r="T24" i="3"/>
  <c r="U24" i="3"/>
  <c r="T25" i="3"/>
  <c r="U25" i="3"/>
  <c r="T26" i="3"/>
  <c r="U26" i="3"/>
  <c r="T27" i="3"/>
  <c r="U27" i="3"/>
  <c r="T28" i="3"/>
  <c r="U28" i="3"/>
  <c r="T29" i="3"/>
  <c r="U29" i="3"/>
  <c r="T30" i="3"/>
  <c r="U30" i="3"/>
  <c r="T31" i="3"/>
  <c r="U31" i="3"/>
  <c r="T32" i="3"/>
  <c r="U32" i="3"/>
  <c r="T33" i="3"/>
  <c r="U33" i="3"/>
  <c r="T34" i="3"/>
  <c r="U34" i="3"/>
  <c r="T35" i="3"/>
  <c r="U35" i="3"/>
  <c r="T36" i="3"/>
  <c r="U36" i="3"/>
  <c r="T37" i="3"/>
  <c r="U37" i="3"/>
  <c r="T38" i="3"/>
  <c r="U38" i="3"/>
  <c r="T39" i="3"/>
  <c r="U39" i="3"/>
  <c r="T40" i="3"/>
  <c r="U40" i="3"/>
  <c r="T41" i="3"/>
  <c r="U41" i="3"/>
  <c r="T42" i="3"/>
  <c r="U42" i="3"/>
  <c r="T43" i="3"/>
  <c r="U43" i="3"/>
  <c r="T44" i="3"/>
  <c r="U44" i="3"/>
  <c r="T45" i="3"/>
  <c r="U45" i="3"/>
  <c r="T46" i="3"/>
  <c r="U46" i="3"/>
  <c r="T47" i="3"/>
  <c r="U47" i="3"/>
  <c r="T48" i="3"/>
  <c r="U48" i="3"/>
  <c r="T49" i="3"/>
  <c r="U49" i="3"/>
  <c r="T50" i="3"/>
  <c r="U50" i="3"/>
  <c r="T51" i="3"/>
  <c r="U51" i="3"/>
  <c r="T52" i="3"/>
  <c r="U52" i="3"/>
  <c r="U7" i="3"/>
  <c r="T7" i="3"/>
  <c r="A188" i="15"/>
  <c r="K85" i="9"/>
  <c r="J85" i="9"/>
  <c r="I85" i="9"/>
  <c r="H85" i="9"/>
  <c r="K84" i="9"/>
  <c r="J84" i="9"/>
  <c r="I84" i="9"/>
  <c r="H84" i="9"/>
  <c r="K83" i="9"/>
  <c r="J83" i="9"/>
  <c r="I83" i="9"/>
  <c r="H83" i="9"/>
  <c r="K82" i="9"/>
  <c r="J82" i="9"/>
  <c r="I82" i="9"/>
  <c r="H82" i="9"/>
  <c r="K81" i="9"/>
  <c r="J81" i="9"/>
  <c r="I81" i="9"/>
  <c r="H81" i="9"/>
  <c r="K80" i="9"/>
  <c r="J80" i="9"/>
  <c r="I80" i="9"/>
  <c r="H80" i="9"/>
  <c r="K79" i="9"/>
  <c r="J79" i="9"/>
  <c r="I79" i="9"/>
  <c r="H79" i="9"/>
  <c r="K78" i="9"/>
  <c r="J78" i="9"/>
  <c r="I78" i="9"/>
  <c r="H78" i="9"/>
  <c r="K77" i="9"/>
  <c r="J77" i="9"/>
  <c r="I77" i="9"/>
  <c r="H77" i="9"/>
  <c r="K76" i="9"/>
  <c r="J76" i="9"/>
  <c r="I76" i="9"/>
  <c r="H76" i="9"/>
  <c r="K75" i="9"/>
  <c r="J75" i="9"/>
  <c r="I75" i="9"/>
  <c r="H75" i="9"/>
  <c r="K74" i="9"/>
  <c r="J74" i="9"/>
  <c r="I74" i="9"/>
  <c r="H74" i="9"/>
  <c r="K73" i="9"/>
  <c r="J73" i="9"/>
  <c r="I73" i="9"/>
  <c r="H73" i="9"/>
  <c r="K72" i="9"/>
  <c r="J72" i="9"/>
  <c r="I72" i="9"/>
  <c r="H72" i="9"/>
  <c r="K71" i="9"/>
  <c r="J71" i="9"/>
  <c r="I71" i="9"/>
  <c r="H71" i="9"/>
  <c r="K70" i="9"/>
  <c r="J70" i="9"/>
  <c r="I70" i="9"/>
  <c r="H70" i="9"/>
  <c r="K69" i="9"/>
  <c r="J69" i="9"/>
  <c r="I69" i="9"/>
  <c r="H69" i="9"/>
  <c r="K68" i="9"/>
  <c r="J68" i="9"/>
  <c r="I68" i="9"/>
  <c r="H68" i="9"/>
  <c r="K67" i="9"/>
  <c r="J67" i="9"/>
  <c r="I67" i="9"/>
  <c r="H67" i="9"/>
  <c r="K66" i="9"/>
  <c r="J66" i="9"/>
  <c r="I66" i="9"/>
  <c r="H66" i="9"/>
  <c r="K65" i="9"/>
  <c r="J65" i="9"/>
  <c r="I65" i="9"/>
  <c r="H65" i="9"/>
  <c r="K64" i="9"/>
  <c r="J64" i="9"/>
  <c r="I64" i="9"/>
  <c r="H64" i="9"/>
  <c r="K63" i="9"/>
  <c r="J63" i="9"/>
  <c r="I63" i="9"/>
  <c r="H63" i="9"/>
  <c r="K62" i="9"/>
  <c r="J62" i="9"/>
  <c r="I62" i="9"/>
  <c r="H62" i="9"/>
  <c r="K61" i="9"/>
  <c r="J61" i="9"/>
  <c r="I61" i="9"/>
  <c r="H61" i="9"/>
  <c r="K60" i="9"/>
  <c r="J60" i="9"/>
  <c r="I60" i="9"/>
  <c r="H60" i="9"/>
  <c r="K59" i="9"/>
  <c r="J59" i="9"/>
  <c r="I59" i="9"/>
  <c r="H59" i="9"/>
  <c r="K58" i="9"/>
  <c r="J58" i="9"/>
  <c r="I58" i="9"/>
  <c r="H58" i="9"/>
  <c r="K57" i="9"/>
  <c r="J57" i="9"/>
  <c r="I57" i="9"/>
  <c r="H57" i="9"/>
  <c r="K56" i="9"/>
  <c r="J56" i="9"/>
  <c r="I56" i="9"/>
  <c r="H56" i="9"/>
  <c r="K55" i="9"/>
  <c r="J55" i="9"/>
  <c r="I55" i="9"/>
  <c r="H55" i="9"/>
  <c r="K54" i="9"/>
  <c r="J54" i="9"/>
  <c r="I54" i="9"/>
  <c r="H54" i="9"/>
  <c r="K53" i="9"/>
  <c r="J53" i="9"/>
  <c r="I53" i="9"/>
  <c r="H53" i="9"/>
  <c r="K52" i="9"/>
  <c r="J52" i="9"/>
  <c r="I52" i="9"/>
  <c r="H52" i="9"/>
  <c r="K51" i="9"/>
  <c r="J51" i="9"/>
  <c r="I51" i="9"/>
  <c r="H51" i="9"/>
  <c r="A233" i="15"/>
  <c r="A234" i="15"/>
  <c r="A235" i="15"/>
  <c r="A236" i="15"/>
  <c r="A237" i="15"/>
  <c r="A232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18" i="15"/>
  <c r="U114" i="15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AG114" i="15" s="1"/>
  <c r="AH114" i="15" s="1"/>
  <c r="U113" i="15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AG113" i="15" s="1"/>
  <c r="AH113" i="15" s="1"/>
  <c r="U112" i="15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AG112" i="15" s="1"/>
  <c r="AH112" i="15" s="1"/>
  <c r="U111" i="15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U110" i="15"/>
  <c r="V110" i="15" s="1"/>
  <c r="W110" i="15" s="1"/>
  <c r="X110" i="15" s="1"/>
  <c r="Y110" i="15" s="1"/>
  <c r="Z110" i="15" s="1"/>
  <c r="AA110" i="15" s="1"/>
  <c r="AB110" i="15" s="1"/>
  <c r="AC110" i="15" s="1"/>
  <c r="AD110" i="15" s="1"/>
  <c r="AE110" i="15" s="1"/>
  <c r="AF110" i="15" s="1"/>
  <c r="AG110" i="15" s="1"/>
  <c r="AH110" i="15" s="1"/>
  <c r="U109" i="15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AG109" i="15" s="1"/>
  <c r="AH109" i="15" s="1"/>
  <c r="U108" i="15"/>
  <c r="V108" i="15" s="1"/>
  <c r="W108" i="15" s="1"/>
  <c r="X108" i="15" s="1"/>
  <c r="Y108" i="15" s="1"/>
  <c r="Z108" i="15" s="1"/>
  <c r="AA108" i="15" s="1"/>
  <c r="AB108" i="15" s="1"/>
  <c r="AC108" i="15" s="1"/>
  <c r="AD108" i="15" s="1"/>
  <c r="AE108" i="15" s="1"/>
  <c r="AF108" i="15" s="1"/>
  <c r="AG108" i="15" s="1"/>
  <c r="AH108" i="15" s="1"/>
  <c r="U107" i="15"/>
  <c r="V107" i="15" s="1"/>
  <c r="W107" i="15" s="1"/>
  <c r="X107" i="15" s="1"/>
  <c r="Y107" i="15" s="1"/>
  <c r="Z107" i="15" s="1"/>
  <c r="AA107" i="15" s="1"/>
  <c r="AB107" i="15" s="1"/>
  <c r="AC107" i="15" s="1"/>
  <c r="AD107" i="15" s="1"/>
  <c r="AE107" i="15" s="1"/>
  <c r="AF107" i="15" s="1"/>
  <c r="AG107" i="15" s="1"/>
  <c r="AH107" i="15" s="1"/>
  <c r="U106" i="15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AG106" i="15" s="1"/>
  <c r="AH106" i="15" s="1"/>
  <c r="U105" i="15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AG105" i="15" s="1"/>
  <c r="AH105" i="15" s="1"/>
  <c r="U104" i="15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AG104" i="15" s="1"/>
  <c r="AH104" i="15" s="1"/>
  <c r="U103" i="15"/>
  <c r="V103" i="15" s="1"/>
  <c r="W103" i="15" s="1"/>
  <c r="X103" i="15" s="1"/>
  <c r="Y103" i="15" s="1"/>
  <c r="Z103" i="15" s="1"/>
  <c r="AA103" i="15" s="1"/>
  <c r="AB103" i="15" s="1"/>
  <c r="AC103" i="15" s="1"/>
  <c r="AD103" i="15" s="1"/>
  <c r="AE103" i="15" s="1"/>
  <c r="AF103" i="15" s="1"/>
  <c r="AG103" i="15" s="1"/>
  <c r="AH103" i="15" s="1"/>
  <c r="U102" i="15"/>
  <c r="V102" i="15" s="1"/>
  <c r="W102" i="15" s="1"/>
  <c r="X102" i="15" s="1"/>
  <c r="Y102" i="15" s="1"/>
  <c r="Z102" i="15" s="1"/>
  <c r="AA102" i="15" s="1"/>
  <c r="AB102" i="15" s="1"/>
  <c r="AC102" i="15" s="1"/>
  <c r="AD102" i="15" s="1"/>
  <c r="AE102" i="15" s="1"/>
  <c r="AF102" i="15" s="1"/>
  <c r="AG102" i="15" s="1"/>
  <c r="AH102" i="15" s="1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6" i="15"/>
  <c r="A117" i="15"/>
  <c r="A118" i="15"/>
  <c r="A119" i="15"/>
  <c r="A120" i="15"/>
  <c r="A121" i="15"/>
  <c r="A122" i="15"/>
  <c r="A102" i="15"/>
  <c r="A19" i="15"/>
  <c r="A20" i="15"/>
  <c r="A21" i="15"/>
  <c r="A22" i="15"/>
  <c r="A23" i="15"/>
  <c r="A24" i="15"/>
  <c r="A25" i="15"/>
  <c r="A26" i="15"/>
  <c r="A27" i="15"/>
  <c r="A29" i="15"/>
  <c r="A30" i="15"/>
  <c r="A31" i="15"/>
  <c r="A32" i="15"/>
  <c r="A33" i="15"/>
  <c r="A28" i="15"/>
  <c r="A34" i="15"/>
  <c r="A35" i="15"/>
  <c r="A36" i="15"/>
  <c r="A37" i="15"/>
  <c r="A38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65" i="15"/>
  <c r="A72" i="15"/>
  <c r="A71" i="15"/>
  <c r="A70" i="15"/>
  <c r="A69" i="15"/>
  <c r="A68" i="15"/>
  <c r="A67" i="15"/>
  <c r="A66" i="15"/>
  <c r="A63" i="15"/>
  <c r="A62" i="15"/>
  <c r="A61" i="15"/>
  <c r="A60" i="15"/>
  <c r="A59" i="15"/>
  <c r="A58" i="15"/>
  <c r="A57" i="15"/>
  <c r="A55" i="15"/>
  <c r="A54" i="15"/>
  <c r="A53" i="15"/>
  <c r="A52" i="15"/>
  <c r="A51" i="15"/>
  <c r="A50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B8" i="15"/>
  <c r="B7" i="15"/>
  <c r="AQ91" i="15"/>
  <c r="AW84" i="15"/>
  <c r="AV84" i="15"/>
  <c r="AU84" i="15"/>
  <c r="AO84" i="15"/>
  <c r="AN84" i="15"/>
  <c r="AM84" i="15"/>
  <c r="AU68" i="15" l="1"/>
  <c r="B151" i="15"/>
  <c r="S172" i="15"/>
  <c r="AY70" i="15"/>
  <c r="AY54" i="15"/>
  <c r="B135" i="15"/>
  <c r="B143" i="15"/>
  <c r="S138" i="15"/>
  <c r="B144" i="15"/>
  <c r="B137" i="15"/>
  <c r="B153" i="15"/>
  <c r="B162" i="15"/>
  <c r="B170" i="15"/>
  <c r="S132" i="15"/>
  <c r="B154" i="15"/>
  <c r="B171" i="15"/>
  <c r="S141" i="15"/>
  <c r="B139" i="15"/>
  <c r="B147" i="15"/>
  <c r="B140" i="15"/>
  <c r="B148" i="15"/>
  <c r="B157" i="15"/>
  <c r="B165" i="15"/>
  <c r="B173" i="15"/>
  <c r="B158" i="15"/>
  <c r="B166" i="15"/>
  <c r="B174" i="15"/>
  <c r="S152" i="15"/>
  <c r="S161" i="15"/>
  <c r="B134" i="15"/>
  <c r="B142" i="15"/>
  <c r="B150" i="15"/>
  <c r="B167" i="15"/>
  <c r="BA71" i="15"/>
  <c r="Q154" i="15" s="1"/>
  <c r="AV57" i="15"/>
  <c r="AX57" i="15"/>
  <c r="BA59" i="15"/>
  <c r="Q142" i="15" s="1"/>
  <c r="AN51" i="15"/>
  <c r="D134" i="15" s="1"/>
  <c r="AN57" i="15"/>
  <c r="AQ57" i="15"/>
  <c r="G140" i="15" s="1"/>
  <c r="AY57" i="15"/>
  <c r="O140" i="15" s="1"/>
  <c r="AX51" i="15"/>
  <c r="N134" i="15" s="1"/>
  <c r="AR52" i="15"/>
  <c r="AU52" i="15"/>
  <c r="K135" i="15" s="1"/>
  <c r="AW52" i="15"/>
  <c r="M135" i="15" s="1"/>
  <c r="AQ90" i="15"/>
  <c r="AP57" i="15"/>
  <c r="F140" i="15" s="1"/>
  <c r="AU88" i="15"/>
  <c r="AM88" i="15"/>
  <c r="AS54" i="15"/>
  <c r="I137" i="15" s="1"/>
  <c r="AV68" i="15"/>
  <c r="L151" i="15" s="1"/>
  <c r="AP91" i="15"/>
  <c r="AR91" i="15"/>
  <c r="BA54" i="15"/>
  <c r="Q137" i="15" s="1"/>
  <c r="AX91" i="15"/>
  <c r="AY91" i="15"/>
  <c r="AZ91" i="15"/>
  <c r="AR68" i="15"/>
  <c r="H151" i="15" s="1"/>
  <c r="AP51" i="15"/>
  <c r="AR79" i="15"/>
  <c r="AV51" i="15"/>
  <c r="L134" i="15" s="1"/>
  <c r="BA56" i="15"/>
  <c r="Q139" i="15" s="1"/>
  <c r="AS59" i="15"/>
  <c r="I142" i="15" s="1"/>
  <c r="AQ70" i="15"/>
  <c r="G153" i="15" s="1"/>
  <c r="AR83" i="15"/>
  <c r="H166" i="15" s="1"/>
  <c r="AZ83" i="15"/>
  <c r="AR90" i="15"/>
  <c r="AM51" i="15"/>
  <c r="C134" i="15" s="1"/>
  <c r="AU51" i="15"/>
  <c r="K134" i="15" s="1"/>
  <c r="AP59" i="15"/>
  <c r="F142" i="15" s="1"/>
  <c r="AX59" i="15"/>
  <c r="AQ59" i="15"/>
  <c r="G142" i="15" s="1"/>
  <c r="AY59" i="15"/>
  <c r="O142" i="15" s="1"/>
  <c r="AR65" i="15"/>
  <c r="AO51" i="15"/>
  <c r="E134" i="15" s="1"/>
  <c r="AW51" i="15"/>
  <c r="M134" i="15" s="1"/>
  <c r="AR59" i="15"/>
  <c r="H142" i="15" s="1"/>
  <c r="AZ59" i="15"/>
  <c r="P142" i="15" s="1"/>
  <c r="AZ65" i="15"/>
  <c r="AT59" i="15"/>
  <c r="J142" i="15" s="1"/>
  <c r="AS79" i="15"/>
  <c r="AQ51" i="15"/>
  <c r="G134" i="15" s="1"/>
  <c r="AY51" i="15"/>
  <c r="O134" i="15" s="1"/>
  <c r="AR51" i="15"/>
  <c r="H134" i="15" s="1"/>
  <c r="AZ51" i="15"/>
  <c r="P134" i="15" s="1"/>
  <c r="AM59" i="15"/>
  <c r="C142" i="15" s="1"/>
  <c r="AU59" i="15"/>
  <c r="K142" i="15" s="1"/>
  <c r="AT79" i="15"/>
  <c r="AS51" i="15"/>
  <c r="I134" i="15" s="1"/>
  <c r="BA51" i="15"/>
  <c r="Q134" i="15" s="1"/>
  <c r="AN59" i="15"/>
  <c r="D142" i="15" s="1"/>
  <c r="AV59" i="15"/>
  <c r="L142" i="15" s="1"/>
  <c r="AZ79" i="15"/>
  <c r="AO59" i="15"/>
  <c r="E142" i="15" s="1"/>
  <c r="BA79" i="15"/>
  <c r="AS70" i="15"/>
  <c r="I153" i="15" s="1"/>
  <c r="BA70" i="15"/>
  <c r="Q153" i="15" s="1"/>
  <c r="AT70" i="15"/>
  <c r="J153" i="15" s="1"/>
  <c r="AR70" i="15"/>
  <c r="H153" i="15" s="1"/>
  <c r="AZ70" i="15"/>
  <c r="AM56" i="15"/>
  <c r="C139" i="15" s="1"/>
  <c r="AS56" i="15"/>
  <c r="I139" i="15" s="1"/>
  <c r="AM70" i="15"/>
  <c r="C153" i="15" s="1"/>
  <c r="AU70" i="15"/>
  <c r="K153" i="15" s="1"/>
  <c r="AT56" i="15"/>
  <c r="J139" i="15" s="1"/>
  <c r="AN70" i="15"/>
  <c r="D153" i="15" s="1"/>
  <c r="AV70" i="15"/>
  <c r="L153" i="15" s="1"/>
  <c r="AU56" i="15"/>
  <c r="K139" i="15" s="1"/>
  <c r="AO70" i="15"/>
  <c r="E153" i="15" s="1"/>
  <c r="AW70" i="15"/>
  <c r="M153" i="15" s="1"/>
  <c r="AP70" i="15"/>
  <c r="F153" i="15" s="1"/>
  <c r="AR57" i="15"/>
  <c r="H140" i="15" s="1"/>
  <c r="AZ57" i="15"/>
  <c r="P140" i="15" s="1"/>
  <c r="AS57" i="15"/>
  <c r="I140" i="15" s="1"/>
  <c r="BA57" i="15"/>
  <c r="Q140" i="15" s="1"/>
  <c r="AT57" i="15"/>
  <c r="J140" i="15" s="1"/>
  <c r="AM57" i="15"/>
  <c r="C140" i="15" s="1"/>
  <c r="AU57" i="15"/>
  <c r="AO57" i="15"/>
  <c r="E140" i="15" s="1"/>
  <c r="AS71" i="15"/>
  <c r="I154" i="15" s="1"/>
  <c r="BK49" i="15"/>
  <c r="AA132" i="15" s="1"/>
  <c r="AN60" i="15"/>
  <c r="D143" i="15" s="1"/>
  <c r="AM52" i="15"/>
  <c r="C135" i="15" s="1"/>
  <c r="AX52" i="15"/>
  <c r="N135" i="15" s="1"/>
  <c r="AO52" i="15"/>
  <c r="E135" i="15" s="1"/>
  <c r="AQ60" i="15"/>
  <c r="AN52" i="15"/>
  <c r="D135" i="15" s="1"/>
  <c r="AZ52" i="15"/>
  <c r="P135" i="15" s="1"/>
  <c r="AP52" i="15"/>
  <c r="F135" i="15" s="1"/>
  <c r="AV60" i="15"/>
  <c r="L143" i="15" s="1"/>
  <c r="AY60" i="15"/>
  <c r="O143" i="15" s="1"/>
  <c r="AR75" i="15"/>
  <c r="AZ75" i="15"/>
  <c r="AV52" i="15"/>
  <c r="L135" i="15" s="1"/>
  <c r="AM54" i="15"/>
  <c r="C137" i="15" s="1"/>
  <c r="AZ68" i="15"/>
  <c r="P151" i="15" s="1"/>
  <c r="AM79" i="15"/>
  <c r="AU79" i="15"/>
  <c r="AP84" i="15"/>
  <c r="AX84" i="15"/>
  <c r="AY90" i="15"/>
  <c r="AS91" i="15"/>
  <c r="BA91" i="15"/>
  <c r="AQ54" i="15"/>
  <c r="G137" i="15" s="1"/>
  <c r="AN79" i="15"/>
  <c r="AV79" i="15"/>
  <c r="AQ84" i="15"/>
  <c r="AY84" i="15"/>
  <c r="AZ90" i="15"/>
  <c r="AT91" i="15"/>
  <c r="AS61" i="15"/>
  <c r="I144" i="15" s="1"/>
  <c r="AR84" i="15"/>
  <c r="AM91" i="15"/>
  <c r="AU91" i="15"/>
  <c r="AT54" i="15"/>
  <c r="AM68" i="15"/>
  <c r="C151" i="15" s="1"/>
  <c r="AP79" i="15"/>
  <c r="AX79" i="15"/>
  <c r="AS84" i="15"/>
  <c r="BA84" i="15"/>
  <c r="AN91" i="15"/>
  <c r="AV91" i="15"/>
  <c r="AO79" i="15"/>
  <c r="AW79" i="15"/>
  <c r="AZ84" i="15"/>
  <c r="AU54" i="15"/>
  <c r="K137" i="15" s="1"/>
  <c r="AN68" i="15"/>
  <c r="D151" i="15" s="1"/>
  <c r="AQ79" i="15"/>
  <c r="AO91" i="15"/>
  <c r="AN54" i="15"/>
  <c r="D137" i="15" s="1"/>
  <c r="AV54" i="15"/>
  <c r="L137" i="15" s="1"/>
  <c r="AO68" i="15"/>
  <c r="E151" i="15" s="1"/>
  <c r="AW68" i="15"/>
  <c r="M151" i="15" s="1"/>
  <c r="AS90" i="15"/>
  <c r="BA90" i="15"/>
  <c r="AO54" i="15"/>
  <c r="E137" i="15" s="1"/>
  <c r="AW54" i="15"/>
  <c r="M137" i="15" s="1"/>
  <c r="AP68" i="15"/>
  <c r="F151" i="15" s="1"/>
  <c r="AX68" i="15"/>
  <c r="N151" i="15" s="1"/>
  <c r="AT90" i="15"/>
  <c r="AP54" i="15"/>
  <c r="F137" i="15" s="1"/>
  <c r="AX54" i="15"/>
  <c r="N137" i="15" s="1"/>
  <c r="AQ68" i="15"/>
  <c r="G151" i="15" s="1"/>
  <c r="AY68" i="15"/>
  <c r="O151" i="15" s="1"/>
  <c r="AM90" i="15"/>
  <c r="AU90" i="15"/>
  <c r="AN90" i="15"/>
  <c r="AV90" i="15"/>
  <c r="AR54" i="15"/>
  <c r="H137" i="15" s="1"/>
  <c r="AS68" i="15"/>
  <c r="I151" i="15" s="1"/>
  <c r="BA68" i="15"/>
  <c r="Q151" i="15" s="1"/>
  <c r="AO90" i="15"/>
  <c r="AW90" i="15"/>
  <c r="AP90" i="15"/>
  <c r="AN56" i="15"/>
  <c r="D139" i="15" s="1"/>
  <c r="AV56" i="15"/>
  <c r="L139" i="15" s="1"/>
  <c r="AO56" i="15"/>
  <c r="E139" i="15" s="1"/>
  <c r="AW56" i="15"/>
  <c r="M139" i="15" s="1"/>
  <c r="AP56" i="15"/>
  <c r="F139" i="15" s="1"/>
  <c r="AX56" i="15"/>
  <c r="N139" i="15" s="1"/>
  <c r="AZ64" i="15"/>
  <c r="P147" i="15" s="1"/>
  <c r="AQ56" i="15"/>
  <c r="G139" i="15" s="1"/>
  <c r="AY56" i="15"/>
  <c r="O139" i="15" s="1"/>
  <c r="AR56" i="15"/>
  <c r="H139" i="15" s="1"/>
  <c r="AS52" i="15"/>
  <c r="I135" i="15" s="1"/>
  <c r="BA52" i="15"/>
  <c r="Q135" i="15" s="1"/>
  <c r="AO60" i="15"/>
  <c r="E143" i="15" s="1"/>
  <c r="AW60" i="15"/>
  <c r="M143" i="15" s="1"/>
  <c r="AT71" i="15"/>
  <c r="J154" i="15" s="1"/>
  <c r="AS65" i="15"/>
  <c r="BA65" i="15"/>
  <c r="AT52" i="15"/>
  <c r="J135" i="15" s="1"/>
  <c r="AP60" i="15"/>
  <c r="F143" i="15" s="1"/>
  <c r="AX60" i="15"/>
  <c r="N143" i="15" s="1"/>
  <c r="AM71" i="15"/>
  <c r="C154" i="15" s="1"/>
  <c r="AU71" i="15"/>
  <c r="K154" i="15" s="1"/>
  <c r="AT65" i="15"/>
  <c r="AN71" i="15"/>
  <c r="D154" i="15" s="1"/>
  <c r="AV71" i="15"/>
  <c r="L154" i="15" s="1"/>
  <c r="AM65" i="15"/>
  <c r="AU65" i="15"/>
  <c r="AR60" i="15"/>
  <c r="H143" i="15" s="1"/>
  <c r="AZ60" i="15"/>
  <c r="P143" i="15" s="1"/>
  <c r="AO71" i="15"/>
  <c r="E154" i="15" s="1"/>
  <c r="AW71" i="15"/>
  <c r="M154" i="15" s="1"/>
  <c r="AN65" i="15"/>
  <c r="AV65" i="15"/>
  <c r="AS60" i="15"/>
  <c r="I143" i="15" s="1"/>
  <c r="BA60" i="15"/>
  <c r="Q143" i="15" s="1"/>
  <c r="AP71" i="15"/>
  <c r="F154" i="15" s="1"/>
  <c r="AX71" i="15"/>
  <c r="N154" i="15" s="1"/>
  <c r="AO65" i="15"/>
  <c r="AW65" i="15"/>
  <c r="AQ71" i="15"/>
  <c r="G154" i="15" s="1"/>
  <c r="AY71" i="15"/>
  <c r="O154" i="15" s="1"/>
  <c r="AP65" i="15"/>
  <c r="AX65" i="15"/>
  <c r="AT60" i="15"/>
  <c r="J143" i="15" s="1"/>
  <c r="AQ52" i="15"/>
  <c r="G135" i="15" s="1"/>
  <c r="AM60" i="15"/>
  <c r="C143" i="15" s="1"/>
  <c r="AR71" i="15"/>
  <c r="H154" i="15" s="1"/>
  <c r="AQ65" i="15"/>
  <c r="AS83" i="15"/>
  <c r="BA83" i="15"/>
  <c r="AN88" i="15"/>
  <c r="AV88" i="15"/>
  <c r="AT75" i="15"/>
  <c r="AT83" i="15"/>
  <c r="J166" i="15" s="1"/>
  <c r="AO88" i="15"/>
  <c r="AW88" i="15"/>
  <c r="AM75" i="15"/>
  <c r="AU75" i="15"/>
  <c r="AM83" i="15"/>
  <c r="AU83" i="15"/>
  <c r="AP88" i="15"/>
  <c r="AX88" i="15"/>
  <c r="AS75" i="15"/>
  <c r="BA75" i="15"/>
  <c r="AN75" i="15"/>
  <c r="AV75" i="15"/>
  <c r="AN83" i="15"/>
  <c r="D166" i="15" s="1"/>
  <c r="AV83" i="15"/>
  <c r="AQ88" i="15"/>
  <c r="AY88" i="15"/>
  <c r="AO75" i="15"/>
  <c r="AW75" i="15"/>
  <c r="AO83" i="15"/>
  <c r="AW83" i="15"/>
  <c r="AR88" i="15"/>
  <c r="AZ88" i="15"/>
  <c r="AP75" i="15"/>
  <c r="AX75" i="15"/>
  <c r="AP83" i="15"/>
  <c r="AX83" i="15"/>
  <c r="AS88" i="15"/>
  <c r="BA88" i="15"/>
  <c r="AQ75" i="15"/>
  <c r="AQ83" i="15"/>
  <c r="BF69" i="15"/>
  <c r="V152" i="15" s="1"/>
  <c r="BJ55" i="15"/>
  <c r="Z138" i="15" s="1"/>
  <c r="BO69" i="15"/>
  <c r="AE152" i="15" s="1"/>
  <c r="BR55" i="15"/>
  <c r="AH138" i="15" s="1"/>
  <c r="BH89" i="15"/>
  <c r="X172" i="15" s="1"/>
  <c r="BK58" i="15"/>
  <c r="AA141" i="15" s="1"/>
  <c r="BK50" i="15"/>
  <c r="AA133" i="15" s="1"/>
  <c r="BR50" i="15"/>
  <c r="AH133" i="15" s="1"/>
  <c r="BJ50" i="15"/>
  <c r="Z133" i="15" s="1"/>
  <c r="BQ50" i="15"/>
  <c r="AG133" i="15" s="1"/>
  <c r="BI50" i="15"/>
  <c r="Y133" i="15" s="1"/>
  <c r="BF50" i="15"/>
  <c r="V133" i="15" s="1"/>
  <c r="BP50" i="15"/>
  <c r="AF133" i="15" s="1"/>
  <c r="BH50" i="15"/>
  <c r="X133" i="15" s="1"/>
  <c r="BN50" i="15"/>
  <c r="AD133" i="15" s="1"/>
  <c r="BO50" i="15"/>
  <c r="AE133" i="15" s="1"/>
  <c r="BG50" i="15"/>
  <c r="W133" i="15" s="1"/>
  <c r="BM50" i="15"/>
  <c r="AC133" i="15" s="1"/>
  <c r="BE50" i="15"/>
  <c r="U133" i="15" s="1"/>
  <c r="BL50" i="15"/>
  <c r="AB133" i="15" s="1"/>
  <c r="BD50" i="15"/>
  <c r="BH49" i="15"/>
  <c r="X132" i="15" s="1"/>
  <c r="BH55" i="15"/>
  <c r="X138" i="15" s="1"/>
  <c r="BP55" i="15"/>
  <c r="AF138" i="15" s="1"/>
  <c r="BI58" i="15"/>
  <c r="Y141" i="15" s="1"/>
  <c r="BQ58" i="15"/>
  <c r="AG141" i="15" s="1"/>
  <c r="BD69" i="15"/>
  <c r="BM69" i="15"/>
  <c r="AC152" i="15" s="1"/>
  <c r="BN78" i="15"/>
  <c r="AD161" i="15" s="1"/>
  <c r="BJ49" i="15"/>
  <c r="Z132" i="15" s="1"/>
  <c r="BI55" i="15"/>
  <c r="Y138" i="15" s="1"/>
  <c r="BQ55" i="15"/>
  <c r="AG138" i="15" s="1"/>
  <c r="BJ58" i="15"/>
  <c r="Z141" i="15" s="1"/>
  <c r="BR58" i="15"/>
  <c r="AH141" i="15" s="1"/>
  <c r="BE69" i="15"/>
  <c r="U152" i="15" s="1"/>
  <c r="BN69" i="15"/>
  <c r="AD152" i="15" s="1"/>
  <c r="AL50" i="15"/>
  <c r="B133" i="15" s="1"/>
  <c r="AL55" i="15"/>
  <c r="BM49" i="15"/>
  <c r="AC132" i="15" s="1"/>
  <c r="BK55" i="15"/>
  <c r="AA138" i="15" s="1"/>
  <c r="BD58" i="15"/>
  <c r="BL58" i="15"/>
  <c r="AB141" i="15" s="1"/>
  <c r="BG69" i="15"/>
  <c r="W152" i="15" s="1"/>
  <c r="BP69" i="15"/>
  <c r="AF152" i="15" s="1"/>
  <c r="AL69" i="15"/>
  <c r="BP49" i="15"/>
  <c r="AF132" i="15" s="1"/>
  <c r="BD55" i="15"/>
  <c r="BL55" i="15"/>
  <c r="AB138" i="15" s="1"/>
  <c r="BE58" i="15"/>
  <c r="U141" i="15" s="1"/>
  <c r="BM58" i="15"/>
  <c r="AC141" i="15" s="1"/>
  <c r="BH69" i="15"/>
  <c r="X152" i="15" s="1"/>
  <c r="BR69" i="15"/>
  <c r="AH152" i="15" s="1"/>
  <c r="BR49" i="15"/>
  <c r="AH132" i="15" s="1"/>
  <c r="BE55" i="15"/>
  <c r="BM55" i="15"/>
  <c r="AC138" i="15" s="1"/>
  <c r="BF58" i="15"/>
  <c r="V141" i="15" s="1"/>
  <c r="BN58" i="15"/>
  <c r="AD141" i="15" s="1"/>
  <c r="BJ69" i="15"/>
  <c r="Z152" i="15" s="1"/>
  <c r="AL89" i="15"/>
  <c r="BF55" i="15"/>
  <c r="V138" i="15" s="1"/>
  <c r="BN55" i="15"/>
  <c r="AD138" i="15" s="1"/>
  <c r="BG58" i="15"/>
  <c r="W141" i="15" s="1"/>
  <c r="BO58" i="15"/>
  <c r="AE141" i="15" s="1"/>
  <c r="BK69" i="15"/>
  <c r="AA152" i="15" s="1"/>
  <c r="BE49" i="15"/>
  <c r="U132" i="15" s="1"/>
  <c r="BG55" i="15"/>
  <c r="W138" i="15" s="1"/>
  <c r="BH58" i="15"/>
  <c r="X141" i="15" s="1"/>
  <c r="AY66" i="15"/>
  <c r="O149" i="15" s="1"/>
  <c r="AQ66" i="15"/>
  <c r="G149" i="15" s="1"/>
  <c r="AX66" i="15"/>
  <c r="N149" i="15" s="1"/>
  <c r="AP66" i="15"/>
  <c r="F149" i="15" s="1"/>
  <c r="AR66" i="15"/>
  <c r="H149" i="15" s="1"/>
  <c r="AW66" i="15"/>
  <c r="M149" i="15" s="1"/>
  <c r="AO66" i="15"/>
  <c r="E149" i="15" s="1"/>
  <c r="AZ66" i="15"/>
  <c r="P149" i="15" s="1"/>
  <c r="AV66" i="15"/>
  <c r="L149" i="15" s="1"/>
  <c r="AN66" i="15"/>
  <c r="D149" i="15" s="1"/>
  <c r="AU66" i="15"/>
  <c r="K149" i="15" s="1"/>
  <c r="AM66" i="15"/>
  <c r="C149" i="15" s="1"/>
  <c r="AT66" i="15"/>
  <c r="J149" i="15" s="1"/>
  <c r="BA66" i="15"/>
  <c r="Q149" i="15" s="1"/>
  <c r="AS66" i="15"/>
  <c r="I149" i="15" s="1"/>
  <c r="BQ81" i="15"/>
  <c r="AG164" i="15" s="1"/>
  <c r="BI81" i="15"/>
  <c r="Y164" i="15" s="1"/>
  <c r="BP81" i="15"/>
  <c r="AF164" i="15" s="1"/>
  <c r="BH81" i="15"/>
  <c r="X164" i="15" s="1"/>
  <c r="BO81" i="15"/>
  <c r="AE164" i="15" s="1"/>
  <c r="BG81" i="15"/>
  <c r="W164" i="15" s="1"/>
  <c r="BN81" i="15"/>
  <c r="AD164" i="15" s="1"/>
  <c r="BF81" i="15"/>
  <c r="V164" i="15" s="1"/>
  <c r="BM81" i="15"/>
  <c r="AC164" i="15" s="1"/>
  <c r="BE81" i="15"/>
  <c r="U164" i="15" s="1"/>
  <c r="BR81" i="15"/>
  <c r="AH164" i="15" s="1"/>
  <c r="BL81" i="15"/>
  <c r="AB164" i="15" s="1"/>
  <c r="BD81" i="15"/>
  <c r="BK81" i="15"/>
  <c r="AA164" i="15" s="1"/>
  <c r="BJ81" i="15"/>
  <c r="Z164" i="15" s="1"/>
  <c r="BQ86" i="15"/>
  <c r="AG169" i="15" s="1"/>
  <c r="BI86" i="15"/>
  <c r="Y169" i="15" s="1"/>
  <c r="BP86" i="15"/>
  <c r="AF169" i="15" s="1"/>
  <c r="BH86" i="15"/>
  <c r="X169" i="15" s="1"/>
  <c r="BO86" i="15"/>
  <c r="AE169" i="15" s="1"/>
  <c r="BG86" i="15"/>
  <c r="W169" i="15" s="1"/>
  <c r="BN86" i="15"/>
  <c r="AD169" i="15" s="1"/>
  <c r="BF86" i="15"/>
  <c r="V169" i="15" s="1"/>
  <c r="BR86" i="15"/>
  <c r="AH169" i="15" s="1"/>
  <c r="BM86" i="15"/>
  <c r="AC169" i="15" s="1"/>
  <c r="BE86" i="15"/>
  <c r="U169" i="15" s="1"/>
  <c r="BL86" i="15"/>
  <c r="AB169" i="15" s="1"/>
  <c r="BD86" i="15"/>
  <c r="BJ86" i="15"/>
  <c r="Z169" i="15" s="1"/>
  <c r="BK86" i="15"/>
  <c r="AA169" i="15" s="1"/>
  <c r="AL81" i="15"/>
  <c r="B164" i="15" s="1"/>
  <c r="AN67" i="15"/>
  <c r="D150" i="15" s="1"/>
  <c r="AL86" i="15"/>
  <c r="B169" i="15" s="1"/>
  <c r="BC66" i="15"/>
  <c r="S149" i="15" s="1"/>
  <c r="AV67" i="15"/>
  <c r="L150" i="15" s="1"/>
  <c r="BC72" i="15"/>
  <c r="S155" i="15" s="1"/>
  <c r="AR64" i="15"/>
  <c r="H147" i="15" s="1"/>
  <c r="AN74" i="15"/>
  <c r="AR87" i="15"/>
  <c r="H170" i="15" s="1"/>
  <c r="AL63" i="15"/>
  <c r="B146" i="15" s="1"/>
  <c r="BC74" i="15"/>
  <c r="AV74" i="15"/>
  <c r="AZ87" i="15"/>
  <c r="AR82" i="15"/>
  <c r="AZ82" i="15"/>
  <c r="BC94" i="15"/>
  <c r="S177" i="15" s="1"/>
  <c r="BM63" i="15"/>
  <c r="AC146" i="15" s="1"/>
  <c r="BE63" i="15"/>
  <c r="U146" i="15" s="1"/>
  <c r="BL63" i="15"/>
  <c r="AB146" i="15" s="1"/>
  <c r="BD63" i="15"/>
  <c r="BK63" i="15"/>
  <c r="AA146" i="15" s="1"/>
  <c r="BR63" i="15"/>
  <c r="AH146" i="15" s="1"/>
  <c r="BJ63" i="15"/>
  <c r="Z146" i="15" s="1"/>
  <c r="BQ63" i="15"/>
  <c r="AG146" i="15" s="1"/>
  <c r="BI63" i="15"/>
  <c r="Y146" i="15" s="1"/>
  <c r="BP63" i="15"/>
  <c r="AF146" i="15" s="1"/>
  <c r="BH63" i="15"/>
  <c r="X146" i="15" s="1"/>
  <c r="BN63" i="15"/>
  <c r="AD146" i="15" s="1"/>
  <c r="BF63" i="15"/>
  <c r="V146" i="15" s="1"/>
  <c r="BO63" i="15"/>
  <c r="AE146" i="15" s="1"/>
  <c r="BG63" i="15"/>
  <c r="W146" i="15" s="1"/>
  <c r="AZ72" i="15"/>
  <c r="AR72" i="15"/>
  <c r="AY72" i="15"/>
  <c r="AQ72" i="15"/>
  <c r="AX72" i="15"/>
  <c r="AP72" i="15"/>
  <c r="AW72" i="15"/>
  <c r="AO72" i="15"/>
  <c r="AV72" i="15"/>
  <c r="AN72" i="15"/>
  <c r="BA72" i="15"/>
  <c r="AU72" i="15"/>
  <c r="AM72" i="15"/>
  <c r="AS72" i="15"/>
  <c r="AT72" i="15"/>
  <c r="AX94" i="15"/>
  <c r="AP94" i="15"/>
  <c r="AW94" i="15"/>
  <c r="AO94" i="15"/>
  <c r="AY94" i="15"/>
  <c r="AQ94" i="15"/>
  <c r="AV94" i="15"/>
  <c r="AN94" i="15"/>
  <c r="AU94" i="15"/>
  <c r="AM94" i="15"/>
  <c r="AT94" i="15"/>
  <c r="BA94" i="15"/>
  <c r="AS94" i="15"/>
  <c r="AZ94" i="15"/>
  <c r="AR94" i="15"/>
  <c r="AU61" i="15"/>
  <c r="K144" i="15" s="1"/>
  <c r="AV61" i="15"/>
  <c r="L144" i="15" s="1"/>
  <c r="AL58" i="15"/>
  <c r="B141" i="15" s="1"/>
  <c r="BC64" i="15"/>
  <c r="AM69" i="15"/>
  <c r="C152" i="15" s="1"/>
  <c r="AW61" i="15"/>
  <c r="M144" i="15" s="1"/>
  <c r="BA61" i="15"/>
  <c r="Q144" i="15" s="1"/>
  <c r="AL49" i="15"/>
  <c r="B132" i="15" s="1"/>
  <c r="AL78" i="15"/>
  <c r="B161" i="15" s="1"/>
  <c r="BC82" i="15"/>
  <c r="AM61" i="15"/>
  <c r="C144" i="15" s="1"/>
  <c r="AN61" i="15"/>
  <c r="D144" i="15" s="1"/>
  <c r="BC67" i="15"/>
  <c r="BC87" i="15"/>
  <c r="AO61" i="15"/>
  <c r="E144" i="15" s="1"/>
  <c r="BA76" i="15"/>
  <c r="Q159" i="15" s="1"/>
  <c r="AS76" i="15"/>
  <c r="I159" i="15" s="1"/>
  <c r="AZ76" i="15"/>
  <c r="P159" i="15" s="1"/>
  <c r="AR76" i="15"/>
  <c r="H159" i="15" s="1"/>
  <c r="AY76" i="15"/>
  <c r="O159" i="15" s="1"/>
  <c r="AQ76" i="15"/>
  <c r="G159" i="15" s="1"/>
  <c r="AX76" i="15"/>
  <c r="N159" i="15" s="1"/>
  <c r="AP76" i="15"/>
  <c r="F159" i="15" s="1"/>
  <c r="AW76" i="15"/>
  <c r="M159" i="15" s="1"/>
  <c r="AO76" i="15"/>
  <c r="E159" i="15" s="1"/>
  <c r="AV76" i="15"/>
  <c r="L159" i="15" s="1"/>
  <c r="AN76" i="15"/>
  <c r="D159" i="15" s="1"/>
  <c r="AU76" i="15"/>
  <c r="K159" i="15" s="1"/>
  <c r="AM76" i="15"/>
  <c r="C159" i="15" s="1"/>
  <c r="AT80" i="15"/>
  <c r="J163" i="15" s="1"/>
  <c r="BA80" i="15"/>
  <c r="Q163" i="15" s="1"/>
  <c r="AS80" i="15"/>
  <c r="I163" i="15" s="1"/>
  <c r="AZ80" i="15"/>
  <c r="P163" i="15" s="1"/>
  <c r="AR80" i="15"/>
  <c r="H163" i="15" s="1"/>
  <c r="AY80" i="15"/>
  <c r="O163" i="15" s="1"/>
  <c r="AQ80" i="15"/>
  <c r="G163" i="15" s="1"/>
  <c r="AX80" i="15"/>
  <c r="N163" i="15" s="1"/>
  <c r="AP80" i="15"/>
  <c r="F163" i="15" s="1"/>
  <c r="AW80" i="15"/>
  <c r="M163" i="15" s="1"/>
  <c r="AO80" i="15"/>
  <c r="E163" i="15" s="1"/>
  <c r="AV80" i="15"/>
  <c r="L163" i="15" s="1"/>
  <c r="AN80" i="15"/>
  <c r="D163" i="15" s="1"/>
  <c r="AV92" i="15"/>
  <c r="AN92" i="15"/>
  <c r="AU92" i="15"/>
  <c r="AM92" i="15"/>
  <c r="AT92" i="15"/>
  <c r="BA92" i="15"/>
  <c r="AS92" i="15"/>
  <c r="AZ92" i="15"/>
  <c r="AR92" i="15"/>
  <c r="AY92" i="15"/>
  <c r="AQ92" i="15"/>
  <c r="AX92" i="15"/>
  <c r="AP92" i="15"/>
  <c r="AT76" i="15"/>
  <c r="J159" i="15" s="1"/>
  <c r="AP61" i="15"/>
  <c r="F144" i="15" s="1"/>
  <c r="AX61" i="15"/>
  <c r="N144" i="15" s="1"/>
  <c r="AQ61" i="15"/>
  <c r="G144" i="15" s="1"/>
  <c r="AY61" i="15"/>
  <c r="O144" i="15" s="1"/>
  <c r="AM80" i="15"/>
  <c r="C163" i="15" s="1"/>
  <c r="AR61" i="15"/>
  <c r="H144" i="15" s="1"/>
  <c r="AZ61" i="15"/>
  <c r="P144" i="15" s="1"/>
  <c r="AU80" i="15"/>
  <c r="K163" i="15" s="1"/>
  <c r="AO92" i="15"/>
  <c r="AW92" i="15"/>
  <c r="AL53" i="15"/>
  <c r="B136" i="15" s="1"/>
  <c r="BC53" i="15"/>
  <c r="S136" i="15" s="1"/>
  <c r="AL62" i="15"/>
  <c r="B145" i="15" s="1"/>
  <c r="BC62" i="15"/>
  <c r="S145" i="15" s="1"/>
  <c r="AL77" i="15"/>
  <c r="B160" i="15" s="1"/>
  <c r="BC77" i="15"/>
  <c r="S160" i="15" s="1"/>
  <c r="AL85" i="15"/>
  <c r="B168" i="15" s="1"/>
  <c r="BC85" i="15"/>
  <c r="S168" i="15" s="1"/>
  <c r="AL93" i="15"/>
  <c r="B176" i="15" s="1"/>
  <c r="BC93" i="15"/>
  <c r="S176" i="15" s="1"/>
  <c r="BQ69" i="15"/>
  <c r="AG152" i="15" s="1"/>
  <c r="BI69" i="15"/>
  <c r="Y152" i="15" s="1"/>
  <c r="BM78" i="15"/>
  <c r="AC161" i="15" s="1"/>
  <c r="BE78" i="15"/>
  <c r="U161" i="15" s="1"/>
  <c r="BL78" i="15"/>
  <c r="AB161" i="15" s="1"/>
  <c r="BD78" i="15"/>
  <c r="BK78" i="15"/>
  <c r="AA161" i="15" s="1"/>
  <c r="BR78" i="15"/>
  <c r="AH161" i="15" s="1"/>
  <c r="BJ78" i="15"/>
  <c r="Z161" i="15" s="1"/>
  <c r="BQ78" i="15"/>
  <c r="AG161" i="15" s="1"/>
  <c r="BI78" i="15"/>
  <c r="Y161" i="15" s="1"/>
  <c r="BP78" i="15"/>
  <c r="AF161" i="15" s="1"/>
  <c r="BH78" i="15"/>
  <c r="X161" i="15" s="1"/>
  <c r="BO78" i="15"/>
  <c r="AE161" i="15" s="1"/>
  <c r="BG78" i="15"/>
  <c r="W161" i="15" s="1"/>
  <c r="BO89" i="15"/>
  <c r="AE172" i="15" s="1"/>
  <c r="BG89" i="15"/>
  <c r="W172" i="15" s="1"/>
  <c r="BN89" i="15"/>
  <c r="AD172" i="15" s="1"/>
  <c r="BF89" i="15"/>
  <c r="V172" i="15" s="1"/>
  <c r="BM89" i="15"/>
  <c r="AC172" i="15" s="1"/>
  <c r="BE89" i="15"/>
  <c r="U172" i="15" s="1"/>
  <c r="BL89" i="15"/>
  <c r="AB172" i="15" s="1"/>
  <c r="BD89" i="15"/>
  <c r="BK89" i="15"/>
  <c r="AA172" i="15" s="1"/>
  <c r="BR89" i="15"/>
  <c r="AH172" i="15" s="1"/>
  <c r="BJ89" i="15"/>
  <c r="Z172" i="15" s="1"/>
  <c r="BQ89" i="15"/>
  <c r="AG172" i="15" s="1"/>
  <c r="BI89" i="15"/>
  <c r="Y172" i="15" s="1"/>
  <c r="BC54" i="15"/>
  <c r="S137" i="15" s="1"/>
  <c r="BC57" i="15"/>
  <c r="S140" i="15" s="1"/>
  <c r="BC68" i="15"/>
  <c r="S151" i="15" s="1"/>
  <c r="BC75" i="15"/>
  <c r="S158" i="15" s="1"/>
  <c r="BC83" i="15"/>
  <c r="S166" i="15" s="1"/>
  <c r="BC88" i="15"/>
  <c r="S171" i="15" s="1"/>
  <c r="BC51" i="15"/>
  <c r="S134" i="15" s="1"/>
  <c r="BC56" i="15"/>
  <c r="S139" i="15" s="1"/>
  <c r="BC59" i="15"/>
  <c r="S142" i="15" s="1"/>
  <c r="BC70" i="15"/>
  <c r="S153" i="15" s="1"/>
  <c r="BC90" i="15"/>
  <c r="S173" i="15" s="1"/>
  <c r="BC52" i="15"/>
  <c r="S135" i="15" s="1"/>
  <c r="BC60" i="15"/>
  <c r="S143" i="15" s="1"/>
  <c r="BC65" i="15"/>
  <c r="S148" i="15" s="1"/>
  <c r="BC71" i="15"/>
  <c r="S154" i="15" s="1"/>
  <c r="BC79" i="15"/>
  <c r="S162" i="15" s="1"/>
  <c r="BC84" i="15"/>
  <c r="S167" i="15" s="1"/>
  <c r="BC91" i="15"/>
  <c r="S174" i="15" s="1"/>
  <c r="BC61" i="15"/>
  <c r="S144" i="15" s="1"/>
  <c r="BC76" i="15"/>
  <c r="S159" i="15" s="1"/>
  <c r="BC80" i="15"/>
  <c r="S163" i="15" s="1"/>
  <c r="BC92" i="15"/>
  <c r="S175" i="15" s="1"/>
  <c r="BF49" i="15"/>
  <c r="V132" i="15" s="1"/>
  <c r="BN49" i="15"/>
  <c r="AD132" i="15" s="1"/>
  <c r="BG49" i="15"/>
  <c r="W132" i="15" s="1"/>
  <c r="BO49" i="15"/>
  <c r="AE132" i="15" s="1"/>
  <c r="BI49" i="15"/>
  <c r="Y132" i="15" s="1"/>
  <c r="BQ49" i="15"/>
  <c r="AG132" i="15" s="1"/>
  <c r="BD49" i="15"/>
  <c r="AS64" i="15"/>
  <c r="I147" i="15" s="1"/>
  <c r="BA64" i="15"/>
  <c r="Q147" i="15" s="1"/>
  <c r="AO67" i="15"/>
  <c r="AW67" i="15"/>
  <c r="M150" i="15" s="1"/>
  <c r="AO74" i="15"/>
  <c r="AW74" i="15"/>
  <c r="AS82" i="15"/>
  <c r="BA82" i="15"/>
  <c r="AS87" i="15"/>
  <c r="BA87" i="15"/>
  <c r="AT64" i="15"/>
  <c r="AP67" i="15"/>
  <c r="F150" i="15" s="1"/>
  <c r="AX67" i="15"/>
  <c r="N150" i="15" s="1"/>
  <c r="AP74" i="15"/>
  <c r="AX74" i="15"/>
  <c r="AT82" i="15"/>
  <c r="AT87" i="15"/>
  <c r="J170" i="15" s="1"/>
  <c r="AM82" i="15"/>
  <c r="AU82" i="15"/>
  <c r="AM87" i="15"/>
  <c r="AU87" i="15"/>
  <c r="AM64" i="15"/>
  <c r="C147" i="15" s="1"/>
  <c r="AU64" i="15"/>
  <c r="K147" i="15" s="1"/>
  <c r="AQ67" i="15"/>
  <c r="G150" i="15" s="1"/>
  <c r="AY67" i="15"/>
  <c r="O150" i="15" s="1"/>
  <c r="AQ74" i="15"/>
  <c r="AY74" i="15"/>
  <c r="AN64" i="15"/>
  <c r="D147" i="15" s="1"/>
  <c r="AV64" i="15"/>
  <c r="L147" i="15" s="1"/>
  <c r="AR67" i="15"/>
  <c r="AZ67" i="15"/>
  <c r="P150" i="15" s="1"/>
  <c r="AR74" i="15"/>
  <c r="AZ74" i="15"/>
  <c r="AN82" i="15"/>
  <c r="AV82" i="15"/>
  <c r="AN87" i="15"/>
  <c r="AV87" i="15"/>
  <c r="AO64" i="15"/>
  <c r="AW64" i="15"/>
  <c r="M147" i="15" s="1"/>
  <c r="AS67" i="15"/>
  <c r="I150" i="15" s="1"/>
  <c r="BA67" i="15"/>
  <c r="Q150" i="15" s="1"/>
  <c r="AS74" i="15"/>
  <c r="BA74" i="15"/>
  <c r="AO82" i="15"/>
  <c r="AW82" i="15"/>
  <c r="AO87" i="15"/>
  <c r="AW87" i="15"/>
  <c r="M170" i="15" s="1"/>
  <c r="AP64" i="15"/>
  <c r="AX64" i="15"/>
  <c r="N147" i="15" s="1"/>
  <c r="AT67" i="15"/>
  <c r="J150" i="15" s="1"/>
  <c r="AT74" i="15"/>
  <c r="AP82" i="15"/>
  <c r="AX82" i="15"/>
  <c r="AP87" i="15"/>
  <c r="AX87" i="15"/>
  <c r="AQ64" i="15"/>
  <c r="G147" i="15" s="1"/>
  <c r="AM67" i="15"/>
  <c r="C150" i="15" s="1"/>
  <c r="AM74" i="15"/>
  <c r="AQ82" i="15"/>
  <c r="AQ87" i="15"/>
  <c r="K140" i="15"/>
  <c r="P139" i="15"/>
  <c r="M142" i="15"/>
  <c r="F134" i="15"/>
  <c r="H135" i="15"/>
  <c r="O137" i="15"/>
  <c r="K143" i="15"/>
  <c r="O135" i="15"/>
  <c r="O153" i="15"/>
  <c r="J137" i="15"/>
  <c r="P153" i="15"/>
  <c r="D140" i="15"/>
  <c r="L140" i="15"/>
  <c r="N142" i="15"/>
  <c r="G143" i="15"/>
  <c r="M140" i="15"/>
  <c r="N140" i="15"/>
  <c r="J144" i="15"/>
  <c r="J151" i="15"/>
  <c r="K151" i="15"/>
  <c r="N153" i="15"/>
  <c r="P137" i="15"/>
  <c r="J134" i="15"/>
  <c r="O147" i="15"/>
  <c r="K150" i="15"/>
  <c r="D188" i="15"/>
  <c r="T141" i="15" l="1"/>
  <c r="T172" i="15"/>
  <c r="T161" i="15"/>
  <c r="T164" i="15"/>
  <c r="T138" i="15"/>
  <c r="T169" i="15"/>
  <c r="T133" i="15"/>
  <c r="T132" i="15"/>
  <c r="T146" i="15"/>
  <c r="T152" i="15"/>
  <c r="BA69" i="15"/>
  <c r="Q152" i="15" s="1"/>
  <c r="B152" i="15"/>
  <c r="BG87" i="15"/>
  <c r="W170" i="15" s="1"/>
  <c r="S170" i="15"/>
  <c r="BQ74" i="15"/>
  <c r="AO89" i="15"/>
  <c r="W89" i="15" s="1"/>
  <c r="B172" i="15"/>
  <c r="BH67" i="15"/>
  <c r="X150" i="15" s="1"/>
  <c r="S150" i="15"/>
  <c r="BE82" i="15"/>
  <c r="U165" i="15" s="1"/>
  <c r="S165" i="15"/>
  <c r="AS55" i="15"/>
  <c r="I138" i="15" s="1"/>
  <c r="B138" i="15"/>
  <c r="BG64" i="15"/>
  <c r="W147" i="15" s="1"/>
  <c r="S147" i="15"/>
  <c r="BN64" i="15"/>
  <c r="AD147" i="15" s="1"/>
  <c r="AS69" i="15"/>
  <c r="I152" i="15" s="1"/>
  <c r="AN69" i="15"/>
  <c r="D152" i="15" s="1"/>
  <c r="BH74" i="15"/>
  <c r="X157" i="15" s="1"/>
  <c r="BP74" i="15"/>
  <c r="AF157" i="15" s="1"/>
  <c r="BO74" i="15"/>
  <c r="AE157" i="15" s="1"/>
  <c r="BA89" i="15"/>
  <c r="AI89" i="15" s="1"/>
  <c r="AP89" i="15"/>
  <c r="X89" i="15" s="1"/>
  <c r="BQ64" i="15"/>
  <c r="AG147" i="15" s="1"/>
  <c r="BQ82" i="15"/>
  <c r="AG165" i="15" s="1"/>
  <c r="BE87" i="15"/>
  <c r="U170" i="15" s="1"/>
  <c r="AX89" i="15"/>
  <c r="AF89" i="15" s="1"/>
  <c r="AS89" i="15"/>
  <c r="BH82" i="15"/>
  <c r="X165" i="15" s="1"/>
  <c r="BK82" i="15"/>
  <c r="AA165" i="15" s="1"/>
  <c r="BQ87" i="15"/>
  <c r="AG170" i="15" s="1"/>
  <c r="BM82" i="15"/>
  <c r="AC165" i="15" s="1"/>
  <c r="AW69" i="15"/>
  <c r="M152" i="15" s="1"/>
  <c r="AT69" i="15"/>
  <c r="AT89" i="15"/>
  <c r="J172" i="15" s="1"/>
  <c r="AO69" i="15"/>
  <c r="BI82" i="15"/>
  <c r="Y165" i="15" s="1"/>
  <c r="BL82" i="15"/>
  <c r="AB165" i="15" s="1"/>
  <c r="AM89" i="15"/>
  <c r="U89" i="15" s="1"/>
  <c r="AX69" i="15"/>
  <c r="N152" i="15" s="1"/>
  <c r="V82" i="15"/>
  <c r="AQ69" i="15"/>
  <c r="AP69" i="15"/>
  <c r="F152" i="15" s="1"/>
  <c r="AZ89" i="15"/>
  <c r="AH89" i="15" s="1"/>
  <c r="AY89" i="15"/>
  <c r="AG89" i="15" s="1"/>
  <c r="AW89" i="15"/>
  <c r="M172" i="15" s="1"/>
  <c r="BD82" i="15"/>
  <c r="BR82" i="15"/>
  <c r="AH165" i="15" s="1"/>
  <c r="BO82" i="15"/>
  <c r="AE165" i="15" s="1"/>
  <c r="BN82" i="15"/>
  <c r="AD165" i="15" s="1"/>
  <c r="AR89" i="15"/>
  <c r="H172" i="15" s="1"/>
  <c r="AQ89" i="15"/>
  <c r="Y89" i="15" s="1"/>
  <c r="BJ82" i="15"/>
  <c r="Z165" i="15" s="1"/>
  <c r="BP82" i="15"/>
  <c r="AF165" i="15" s="1"/>
  <c r="BG82" i="15"/>
  <c r="W165" i="15" s="1"/>
  <c r="BF82" i="15"/>
  <c r="V165" i="15" s="1"/>
  <c r="AV69" i="15"/>
  <c r="AU69" i="15"/>
  <c r="AU55" i="15"/>
  <c r="AC55" i="15" s="1"/>
  <c r="BD64" i="15"/>
  <c r="BK64" i="15"/>
  <c r="AA147" i="15" s="1"/>
  <c r="BP87" i="15"/>
  <c r="AF170" i="15" s="1"/>
  <c r="BP64" i="15"/>
  <c r="AF147" i="15" s="1"/>
  <c r="BF87" i="15"/>
  <c r="V170" i="15" s="1"/>
  <c r="BL87" i="15"/>
  <c r="AB170" i="15" s="1"/>
  <c r="BI87" i="15"/>
  <c r="Y170" i="15" s="1"/>
  <c r="BI64" i="15"/>
  <c r="Y147" i="15" s="1"/>
  <c r="BM87" i="15"/>
  <c r="AC170" i="15" s="1"/>
  <c r="BK87" i="15"/>
  <c r="AA170" i="15" s="1"/>
  <c r="BR87" i="15"/>
  <c r="AH170" i="15" s="1"/>
  <c r="BR64" i="15"/>
  <c r="AI64" i="15" s="1"/>
  <c r="BH87" i="15"/>
  <c r="X170" i="15" s="1"/>
  <c r="BH64" i="15"/>
  <c r="X147" i="15" s="1"/>
  <c r="BN87" i="15"/>
  <c r="AE87" i="15" s="1"/>
  <c r="BF64" i="15"/>
  <c r="V147" i="15" s="1"/>
  <c r="X64" i="15"/>
  <c r="J147" i="15"/>
  <c r="BD87" i="15"/>
  <c r="BJ87" i="15"/>
  <c r="Z170" i="15" s="1"/>
  <c r="BJ64" i="15"/>
  <c r="Z147" i="15" s="1"/>
  <c r="BO64" i="15"/>
  <c r="BO87" i="15"/>
  <c r="AE170" i="15" s="1"/>
  <c r="AZ55" i="15"/>
  <c r="AH55" i="15" s="1"/>
  <c r="AM55" i="15"/>
  <c r="AT55" i="15"/>
  <c r="J138" i="15" s="1"/>
  <c r="AR55" i="15"/>
  <c r="AX55" i="15"/>
  <c r="N138" i="15" s="1"/>
  <c r="F147" i="15"/>
  <c r="AY55" i="15"/>
  <c r="AG55" i="15" s="1"/>
  <c r="AP55" i="15"/>
  <c r="F138" i="15" s="1"/>
  <c r="AQ55" i="15"/>
  <c r="G138" i="15" s="1"/>
  <c r="AN55" i="15"/>
  <c r="D138" i="15" s="1"/>
  <c r="BA55" i="15"/>
  <c r="Q138" i="15" s="1"/>
  <c r="AA69" i="15"/>
  <c r="U138" i="15"/>
  <c r="E147" i="15"/>
  <c r="AV55" i="15"/>
  <c r="AW55" i="15"/>
  <c r="AO55" i="15"/>
  <c r="AV50" i="15"/>
  <c r="AN50" i="15"/>
  <c r="AU50" i="15"/>
  <c r="AM50" i="15"/>
  <c r="BA50" i="15"/>
  <c r="AR50" i="15"/>
  <c r="AT50" i="15"/>
  <c r="AS50" i="15"/>
  <c r="AZ50" i="15"/>
  <c r="AQ50" i="15"/>
  <c r="AX50" i="15"/>
  <c r="AP50" i="15"/>
  <c r="AW50" i="15"/>
  <c r="AO50" i="15"/>
  <c r="AY50" i="15"/>
  <c r="U69" i="15"/>
  <c r="AU89" i="15"/>
  <c r="AC89" i="15" s="1"/>
  <c r="AN89" i="15"/>
  <c r="V89" i="15" s="1"/>
  <c r="AV89" i="15"/>
  <c r="AD89" i="15" s="1"/>
  <c r="AY69" i="15"/>
  <c r="AZ69" i="15"/>
  <c r="P152" i="15" s="1"/>
  <c r="AR69" i="15"/>
  <c r="AG157" i="15"/>
  <c r="AH74" i="15"/>
  <c r="BP66" i="15"/>
  <c r="BH66" i="15"/>
  <c r="BO66" i="15"/>
  <c r="BG66" i="15"/>
  <c r="BN66" i="15"/>
  <c r="BF66" i="15"/>
  <c r="BM66" i="15"/>
  <c r="BE66" i="15"/>
  <c r="BL66" i="15"/>
  <c r="BD66" i="15"/>
  <c r="BI66" i="15"/>
  <c r="BK66" i="15"/>
  <c r="BQ66" i="15"/>
  <c r="BR66" i="15"/>
  <c r="BJ66" i="15"/>
  <c r="AW63" i="15"/>
  <c r="AO63" i="15"/>
  <c r="AV63" i="15"/>
  <c r="L146" i="15" s="1"/>
  <c r="AN63" i="15"/>
  <c r="AU63" i="15"/>
  <c r="AM63" i="15"/>
  <c r="AT63" i="15"/>
  <c r="BA63" i="15"/>
  <c r="AS63" i="15"/>
  <c r="AX63" i="15"/>
  <c r="AZ63" i="15"/>
  <c r="AR63" i="15"/>
  <c r="H146" i="15" s="1"/>
  <c r="AY63" i="15"/>
  <c r="AQ63" i="15"/>
  <c r="AP63" i="15"/>
  <c r="BL72" i="15"/>
  <c r="BD72" i="15"/>
  <c r="BK72" i="15"/>
  <c r="BR72" i="15"/>
  <c r="AI72" i="15" s="1"/>
  <c r="BJ72" i="15"/>
  <c r="BQ72" i="15"/>
  <c r="AH72" i="15" s="1"/>
  <c r="BI72" i="15"/>
  <c r="Y155" i="15" s="1"/>
  <c r="BP72" i="15"/>
  <c r="AG72" i="15" s="1"/>
  <c r="BH72" i="15"/>
  <c r="Y72" i="15" s="1"/>
  <c r="BE72" i="15"/>
  <c r="V72" i="15" s="1"/>
  <c r="BO72" i="15"/>
  <c r="AF72" i="15" s="1"/>
  <c r="BG72" i="15"/>
  <c r="X72" i="15" s="1"/>
  <c r="BM72" i="15"/>
  <c r="BN72" i="15"/>
  <c r="AE72" i="15" s="1"/>
  <c r="BF72" i="15"/>
  <c r="W72" i="15" s="1"/>
  <c r="AW86" i="15"/>
  <c r="AO86" i="15"/>
  <c r="AV86" i="15"/>
  <c r="AN86" i="15"/>
  <c r="AU86" i="15"/>
  <c r="AM86" i="15"/>
  <c r="AT86" i="15"/>
  <c r="BA86" i="15"/>
  <c r="AS86" i="15"/>
  <c r="AX86" i="15"/>
  <c r="AP86" i="15"/>
  <c r="AZ86" i="15"/>
  <c r="AR86" i="15"/>
  <c r="AY86" i="15"/>
  <c r="AQ86" i="15"/>
  <c r="BG74" i="15"/>
  <c r="BL74" i="15"/>
  <c r="BK74" i="15"/>
  <c r="AA157" i="15" s="1"/>
  <c r="AU81" i="15"/>
  <c r="AC81" i="15" s="1"/>
  <c r="AM81" i="15"/>
  <c r="U81" i="15" s="1"/>
  <c r="AT81" i="15"/>
  <c r="AB81" i="15" s="1"/>
  <c r="BA81" i="15"/>
  <c r="AI81" i="15" s="1"/>
  <c r="AS81" i="15"/>
  <c r="AA81" i="15" s="1"/>
  <c r="AZ81" i="15"/>
  <c r="AH81" i="15" s="1"/>
  <c r="AR81" i="15"/>
  <c r="Z81" i="15" s="1"/>
  <c r="AV81" i="15"/>
  <c r="AD81" i="15" s="1"/>
  <c r="AN81" i="15"/>
  <c r="V81" i="15" s="1"/>
  <c r="AY81" i="15"/>
  <c r="AG81" i="15" s="1"/>
  <c r="AQ81" i="15"/>
  <c r="Y81" i="15" s="1"/>
  <c r="AX81" i="15"/>
  <c r="AF81" i="15" s="1"/>
  <c r="AP81" i="15"/>
  <c r="X81" i="15" s="1"/>
  <c r="AW81" i="15"/>
  <c r="AE81" i="15" s="1"/>
  <c r="AO81" i="15"/>
  <c r="W81" i="15" s="1"/>
  <c r="AI82" i="15"/>
  <c r="BD74" i="15"/>
  <c r="BR74" i="15"/>
  <c r="AH157" i="15" s="1"/>
  <c r="BN74" i="15"/>
  <c r="AD157" i="15" s="1"/>
  <c r="BM74" i="15"/>
  <c r="BJ74" i="15"/>
  <c r="Z157" i="15" s="1"/>
  <c r="BP94" i="15"/>
  <c r="BH94" i="15"/>
  <c r="BO94" i="15"/>
  <c r="BG94" i="15"/>
  <c r="BN94" i="15"/>
  <c r="BF94" i="15"/>
  <c r="V177" i="15" s="1"/>
  <c r="BM94" i="15"/>
  <c r="BE94" i="15"/>
  <c r="U177" i="15" s="1"/>
  <c r="BL94" i="15"/>
  <c r="BD94" i="15"/>
  <c r="BQ94" i="15"/>
  <c r="BK94" i="15"/>
  <c r="BR94" i="15"/>
  <c r="AH177" i="15" s="1"/>
  <c r="BJ94" i="15"/>
  <c r="BI94" i="15"/>
  <c r="BF74" i="15"/>
  <c r="V157" i="15" s="1"/>
  <c r="BE74" i="15"/>
  <c r="AA89" i="15"/>
  <c r="W82" i="15"/>
  <c r="BI74" i="15"/>
  <c r="Y157" i="15" s="1"/>
  <c r="AT58" i="15"/>
  <c r="BA58" i="15"/>
  <c r="AS58" i="15"/>
  <c r="AU58" i="15"/>
  <c r="AZ58" i="15"/>
  <c r="AR58" i="15"/>
  <c r="AY58" i="15"/>
  <c r="AQ58" i="15"/>
  <c r="AX58" i="15"/>
  <c r="AP58" i="15"/>
  <c r="AW58" i="15"/>
  <c r="AO58" i="15"/>
  <c r="AM58" i="15"/>
  <c r="AV58" i="15"/>
  <c r="AN58" i="15"/>
  <c r="BP67" i="15"/>
  <c r="BQ67" i="15"/>
  <c r="BI67" i="15"/>
  <c r="Y150" i="15" s="1"/>
  <c r="BN67" i="15"/>
  <c r="BR67" i="15"/>
  <c r="AH150" i="15" s="1"/>
  <c r="BF67" i="15"/>
  <c r="V150" i="15" s="1"/>
  <c r="BJ67" i="15"/>
  <c r="Z150" i="15" s="1"/>
  <c r="E150" i="15"/>
  <c r="BO67" i="15"/>
  <c r="AE150" i="15" s="1"/>
  <c r="BM67" i="15"/>
  <c r="AW78" i="15"/>
  <c r="AE78" i="15" s="1"/>
  <c r="AO78" i="15"/>
  <c r="W78" i="15" s="1"/>
  <c r="AV78" i="15"/>
  <c r="AD78" i="15" s="1"/>
  <c r="AN78" i="15"/>
  <c r="V78" i="15" s="1"/>
  <c r="AU78" i="15"/>
  <c r="AC78" i="15" s="1"/>
  <c r="AM78" i="15"/>
  <c r="U78" i="15" s="1"/>
  <c r="AT78" i="15"/>
  <c r="AB78" i="15" s="1"/>
  <c r="BA78" i="15"/>
  <c r="AI78" i="15" s="1"/>
  <c r="AS78" i="15"/>
  <c r="AA78" i="15" s="1"/>
  <c r="AX78" i="15"/>
  <c r="AF78" i="15" s="1"/>
  <c r="AP78" i="15"/>
  <c r="X78" i="15" s="1"/>
  <c r="AZ78" i="15"/>
  <c r="AH78" i="15" s="1"/>
  <c r="AR78" i="15"/>
  <c r="Z78" i="15" s="1"/>
  <c r="AY78" i="15"/>
  <c r="AG78" i="15" s="1"/>
  <c r="AQ78" i="15"/>
  <c r="Y78" i="15" s="1"/>
  <c r="BG67" i="15"/>
  <c r="BE67" i="15"/>
  <c r="BL67" i="15"/>
  <c r="BD67" i="15"/>
  <c r="AV49" i="15"/>
  <c r="AN49" i="15"/>
  <c r="AU49" i="15"/>
  <c r="AM49" i="15"/>
  <c r="AT49" i="15"/>
  <c r="AO49" i="15"/>
  <c r="AW49" i="15"/>
  <c r="BA49" i="15"/>
  <c r="AS49" i="15"/>
  <c r="AZ49" i="15"/>
  <c r="AR49" i="15"/>
  <c r="AY49" i="15"/>
  <c r="AQ49" i="15"/>
  <c r="AX49" i="15"/>
  <c r="N132" i="15" s="1"/>
  <c r="AP49" i="15"/>
  <c r="BL64" i="15"/>
  <c r="BM64" i="15"/>
  <c r="AC147" i="15" s="1"/>
  <c r="BE64" i="15"/>
  <c r="BK67" i="15"/>
  <c r="AA150" i="15" s="1"/>
  <c r="BN88" i="15"/>
  <c r="BF88" i="15"/>
  <c r="BM88" i="15"/>
  <c r="BE88" i="15"/>
  <c r="BL88" i="15"/>
  <c r="BD88" i="15"/>
  <c r="BK88" i="15"/>
  <c r="BR88" i="15"/>
  <c r="BJ88" i="15"/>
  <c r="BQ88" i="15"/>
  <c r="BI88" i="15"/>
  <c r="BP88" i="15"/>
  <c r="BH88" i="15"/>
  <c r="BO88" i="15"/>
  <c r="BG88" i="15"/>
  <c r="BK54" i="15"/>
  <c r="BR54" i="15"/>
  <c r="BJ54" i="15"/>
  <c r="BQ54" i="15"/>
  <c r="BI54" i="15"/>
  <c r="BP54" i="15"/>
  <c r="BH54" i="15"/>
  <c r="BO54" i="15"/>
  <c r="BG54" i="15"/>
  <c r="BN54" i="15"/>
  <c r="BF54" i="15"/>
  <c r="BM54" i="15"/>
  <c r="BE54" i="15"/>
  <c r="BD54" i="15"/>
  <c r="BL54" i="15"/>
  <c r="AT77" i="15"/>
  <c r="BA77" i="15"/>
  <c r="AS77" i="15"/>
  <c r="AZ77" i="15"/>
  <c r="AR77" i="15"/>
  <c r="AY77" i="15"/>
  <c r="AQ77" i="15"/>
  <c r="AX77" i="15"/>
  <c r="AP77" i="15"/>
  <c r="AW77" i="15"/>
  <c r="AO77" i="15"/>
  <c r="AV77" i="15"/>
  <c r="AN77" i="15"/>
  <c r="AU77" i="15"/>
  <c r="AM77" i="15"/>
  <c r="AU62" i="15"/>
  <c r="AM62" i="15"/>
  <c r="AT62" i="15"/>
  <c r="BA62" i="15"/>
  <c r="AS62" i="15"/>
  <c r="AV62" i="15"/>
  <c r="AZ62" i="15"/>
  <c r="AR62" i="15"/>
  <c r="AN62" i="15"/>
  <c r="AY62" i="15"/>
  <c r="AQ62" i="15"/>
  <c r="AX62" i="15"/>
  <c r="AP62" i="15"/>
  <c r="AW62" i="15"/>
  <c r="AO62" i="15"/>
  <c r="BP80" i="15"/>
  <c r="BH80" i="15"/>
  <c r="BO80" i="15"/>
  <c r="BG80" i="15"/>
  <c r="BN80" i="15"/>
  <c r="BF80" i="15"/>
  <c r="BM80" i="15"/>
  <c r="BE80" i="15"/>
  <c r="BL80" i="15"/>
  <c r="BD80" i="15"/>
  <c r="BK80" i="15"/>
  <c r="BR80" i="15"/>
  <c r="BJ80" i="15"/>
  <c r="BI80" i="15"/>
  <c r="BQ80" i="15"/>
  <c r="BK60" i="15"/>
  <c r="BR60" i="15"/>
  <c r="BJ60" i="15"/>
  <c r="BQ60" i="15"/>
  <c r="BI60" i="15"/>
  <c r="BP60" i="15"/>
  <c r="BH60" i="15"/>
  <c r="BO60" i="15"/>
  <c r="BG60" i="15"/>
  <c r="BN60" i="15"/>
  <c r="BF60" i="15"/>
  <c r="BM60" i="15"/>
  <c r="BE60" i="15"/>
  <c r="BL60" i="15"/>
  <c r="BD60" i="15"/>
  <c r="BR70" i="15"/>
  <c r="BJ70" i="15"/>
  <c r="BQ70" i="15"/>
  <c r="BH70" i="15"/>
  <c r="BP70" i="15"/>
  <c r="BG70" i="15"/>
  <c r="BO70" i="15"/>
  <c r="BF70" i="15"/>
  <c r="BN70" i="15"/>
  <c r="BE70" i="15"/>
  <c r="BM70" i="15"/>
  <c r="BD70" i="15"/>
  <c r="BL70" i="15"/>
  <c r="BK70" i="15"/>
  <c r="BI70" i="15"/>
  <c r="BQ83" i="15"/>
  <c r="BI83" i="15"/>
  <c r="BP83" i="15"/>
  <c r="BH83" i="15"/>
  <c r="BO83" i="15"/>
  <c r="BG83" i="15"/>
  <c r="BN83" i="15"/>
  <c r="BF83" i="15"/>
  <c r="BM83" i="15"/>
  <c r="BE83" i="15"/>
  <c r="BL83" i="15"/>
  <c r="BD83" i="15"/>
  <c r="BK83" i="15"/>
  <c r="BR83" i="15"/>
  <c r="BJ83" i="15"/>
  <c r="BK93" i="15"/>
  <c r="AA176" i="15" s="1"/>
  <c r="BR93" i="15"/>
  <c r="AH176" i="15" s="1"/>
  <c r="BJ93" i="15"/>
  <c r="Z176" i="15" s="1"/>
  <c r="BQ93" i="15"/>
  <c r="AG176" i="15" s="1"/>
  <c r="BI93" i="15"/>
  <c r="Y176" i="15" s="1"/>
  <c r="BP93" i="15"/>
  <c r="AF176" i="15" s="1"/>
  <c r="BH93" i="15"/>
  <c r="X176" i="15" s="1"/>
  <c r="BO93" i="15"/>
  <c r="AE176" i="15" s="1"/>
  <c r="BG93" i="15"/>
  <c r="W176" i="15" s="1"/>
  <c r="BN93" i="15"/>
  <c r="AD176" i="15" s="1"/>
  <c r="BF93" i="15"/>
  <c r="V176" i="15" s="1"/>
  <c r="BM93" i="15"/>
  <c r="AC176" i="15" s="1"/>
  <c r="BE93" i="15"/>
  <c r="U176" i="15" s="1"/>
  <c r="BL93" i="15"/>
  <c r="AB176" i="15" s="1"/>
  <c r="BD93" i="15"/>
  <c r="BO76" i="15"/>
  <c r="BG76" i="15"/>
  <c r="BN76" i="15"/>
  <c r="BF76" i="15"/>
  <c r="BM76" i="15"/>
  <c r="BE76" i="15"/>
  <c r="BL76" i="15"/>
  <c r="BD76" i="15"/>
  <c r="BK76" i="15"/>
  <c r="BR76" i="15"/>
  <c r="BJ76" i="15"/>
  <c r="BQ76" i="15"/>
  <c r="BI76" i="15"/>
  <c r="BP76" i="15"/>
  <c r="BH76" i="15"/>
  <c r="BQ91" i="15"/>
  <c r="BI91" i="15"/>
  <c r="BP91" i="15"/>
  <c r="BH91" i="15"/>
  <c r="BO91" i="15"/>
  <c r="BG91" i="15"/>
  <c r="BN91" i="15"/>
  <c r="BF91" i="15"/>
  <c r="BM91" i="15"/>
  <c r="BE91" i="15"/>
  <c r="BL91" i="15"/>
  <c r="BD91" i="15"/>
  <c r="BK91" i="15"/>
  <c r="BR91" i="15"/>
  <c r="BJ91" i="15"/>
  <c r="AW93" i="15"/>
  <c r="AO93" i="15"/>
  <c r="AV93" i="15"/>
  <c r="AN93" i="15"/>
  <c r="AU93" i="15"/>
  <c r="AM93" i="15"/>
  <c r="AT93" i="15"/>
  <c r="BA93" i="15"/>
  <c r="AS93" i="15"/>
  <c r="AZ93" i="15"/>
  <c r="AR93" i="15"/>
  <c r="AY93" i="15"/>
  <c r="AQ93" i="15"/>
  <c r="AX93" i="15"/>
  <c r="AP93" i="15"/>
  <c r="BL84" i="15"/>
  <c r="BD84" i="15"/>
  <c r="BK84" i="15"/>
  <c r="BR84" i="15"/>
  <c r="BJ84" i="15"/>
  <c r="BQ84" i="15"/>
  <c r="BI84" i="15"/>
  <c r="BP84" i="15"/>
  <c r="BH84" i="15"/>
  <c r="BO84" i="15"/>
  <c r="BG84" i="15"/>
  <c r="BN84" i="15"/>
  <c r="BF84" i="15"/>
  <c r="BM84" i="15"/>
  <c r="BE84" i="15"/>
  <c r="BQ52" i="15"/>
  <c r="BI52" i="15"/>
  <c r="BP52" i="15"/>
  <c r="BH52" i="15"/>
  <c r="BO52" i="15"/>
  <c r="BG52" i="15"/>
  <c r="BN52" i="15"/>
  <c r="BF52" i="15"/>
  <c r="BM52" i="15"/>
  <c r="BE52" i="15"/>
  <c r="BL52" i="15"/>
  <c r="BD52" i="15"/>
  <c r="BK52" i="15"/>
  <c r="BR52" i="15"/>
  <c r="BJ52" i="15"/>
  <c r="BK75" i="15"/>
  <c r="BR75" i="15"/>
  <c r="BJ75" i="15"/>
  <c r="BQ75" i="15"/>
  <c r="BI75" i="15"/>
  <c r="BP75" i="15"/>
  <c r="BH75" i="15"/>
  <c r="BO75" i="15"/>
  <c r="BG75" i="15"/>
  <c r="BN75" i="15"/>
  <c r="BF75" i="15"/>
  <c r="BM75" i="15"/>
  <c r="BE75" i="15"/>
  <c r="BL75" i="15"/>
  <c r="BD75" i="15"/>
  <c r="BN85" i="15"/>
  <c r="AD168" i="15" s="1"/>
  <c r="BF85" i="15"/>
  <c r="V168" i="15" s="1"/>
  <c r="BM85" i="15"/>
  <c r="AC168" i="15" s="1"/>
  <c r="BE85" i="15"/>
  <c r="U168" i="15" s="1"/>
  <c r="BL85" i="15"/>
  <c r="AB168" i="15" s="1"/>
  <c r="BD85" i="15"/>
  <c r="BK85" i="15"/>
  <c r="AA168" i="15" s="1"/>
  <c r="BR85" i="15"/>
  <c r="AH168" i="15" s="1"/>
  <c r="BJ85" i="15"/>
  <c r="Z168" i="15" s="1"/>
  <c r="BQ85" i="15"/>
  <c r="AG168" i="15" s="1"/>
  <c r="BI85" i="15"/>
  <c r="Y168" i="15" s="1"/>
  <c r="BP85" i="15"/>
  <c r="AF168" i="15" s="1"/>
  <c r="BH85" i="15"/>
  <c r="X168" i="15" s="1"/>
  <c r="BO85" i="15"/>
  <c r="AE168" i="15" s="1"/>
  <c r="BG85" i="15"/>
  <c r="W168" i="15" s="1"/>
  <c r="BK53" i="15"/>
  <c r="AA136" i="15" s="1"/>
  <c r="BR53" i="15"/>
  <c r="AH136" i="15" s="1"/>
  <c r="BJ53" i="15"/>
  <c r="Z136" i="15" s="1"/>
  <c r="BQ53" i="15"/>
  <c r="AG136" i="15" s="1"/>
  <c r="BI53" i="15"/>
  <c r="Y136" i="15" s="1"/>
  <c r="BP53" i="15"/>
  <c r="AF136" i="15" s="1"/>
  <c r="BH53" i="15"/>
  <c r="X136" i="15" s="1"/>
  <c r="BO53" i="15"/>
  <c r="AE136" i="15" s="1"/>
  <c r="BG53" i="15"/>
  <c r="W136" i="15" s="1"/>
  <c r="BN53" i="15"/>
  <c r="AD136" i="15" s="1"/>
  <c r="BF53" i="15"/>
  <c r="V136" i="15" s="1"/>
  <c r="BM53" i="15"/>
  <c r="AC136" i="15" s="1"/>
  <c r="BE53" i="15"/>
  <c r="U136" i="15" s="1"/>
  <c r="BL53" i="15"/>
  <c r="AB136" i="15" s="1"/>
  <c r="BD53" i="15"/>
  <c r="BO79" i="15"/>
  <c r="BG79" i="15"/>
  <c r="BN79" i="15"/>
  <c r="BF79" i="15"/>
  <c r="BM79" i="15"/>
  <c r="BE79" i="15"/>
  <c r="BL79" i="15"/>
  <c r="BD79" i="15"/>
  <c r="BK79" i="15"/>
  <c r="BR79" i="15"/>
  <c r="BJ79" i="15"/>
  <c r="BQ79" i="15"/>
  <c r="BI79" i="15"/>
  <c r="BP79" i="15"/>
  <c r="BH79" i="15"/>
  <c r="BR59" i="15"/>
  <c r="BJ59" i="15"/>
  <c r="BQ59" i="15"/>
  <c r="BI59" i="15"/>
  <c r="BP59" i="15"/>
  <c r="BH59" i="15"/>
  <c r="BO59" i="15"/>
  <c r="BG59" i="15"/>
  <c r="BN59" i="15"/>
  <c r="BF59" i="15"/>
  <c r="BM59" i="15"/>
  <c r="BE59" i="15"/>
  <c r="BL59" i="15"/>
  <c r="BD59" i="15"/>
  <c r="BK59" i="15"/>
  <c r="BP68" i="15"/>
  <c r="BK68" i="15"/>
  <c r="BJ68" i="15"/>
  <c r="BR68" i="15"/>
  <c r="BI68" i="15"/>
  <c r="BQ68" i="15"/>
  <c r="BH68" i="15"/>
  <c r="BO68" i="15"/>
  <c r="BG68" i="15"/>
  <c r="BN68" i="15"/>
  <c r="BF68" i="15"/>
  <c r="BM68" i="15"/>
  <c r="BE68" i="15"/>
  <c r="BL68" i="15"/>
  <c r="BD68" i="15"/>
  <c r="AZ85" i="15"/>
  <c r="AR85" i="15"/>
  <c r="AY85" i="15"/>
  <c r="AQ85" i="15"/>
  <c r="AX85" i="15"/>
  <c r="AP85" i="15"/>
  <c r="AW85" i="15"/>
  <c r="AO85" i="15"/>
  <c r="AV85" i="15"/>
  <c r="AN85" i="15"/>
  <c r="AU85" i="15"/>
  <c r="AM85" i="15"/>
  <c r="AT85" i="15"/>
  <c r="AS85" i="15"/>
  <c r="BA85" i="15"/>
  <c r="AU53" i="15"/>
  <c r="AM53" i="15"/>
  <c r="AT53" i="15"/>
  <c r="BA53" i="15"/>
  <c r="AS53" i="15"/>
  <c r="AZ53" i="15"/>
  <c r="AR53" i="15"/>
  <c r="AY53" i="15"/>
  <c r="AQ53" i="15"/>
  <c r="AX53" i="15"/>
  <c r="AP53" i="15"/>
  <c r="AW53" i="15"/>
  <c r="AO53" i="15"/>
  <c r="AV53" i="15"/>
  <c r="AN53" i="15"/>
  <c r="BP90" i="15"/>
  <c r="BH90" i="15"/>
  <c r="BO90" i="15"/>
  <c r="BG90" i="15"/>
  <c r="BN90" i="15"/>
  <c r="BF90" i="15"/>
  <c r="BM90" i="15"/>
  <c r="BE90" i="15"/>
  <c r="BL90" i="15"/>
  <c r="BD90" i="15"/>
  <c r="BK90" i="15"/>
  <c r="BR90" i="15"/>
  <c r="BJ90" i="15"/>
  <c r="BQ90" i="15"/>
  <c r="BI90" i="15"/>
  <c r="BM56" i="15"/>
  <c r="BE56" i="15"/>
  <c r="BL56" i="15"/>
  <c r="BD56" i="15"/>
  <c r="BK56" i="15"/>
  <c r="BR56" i="15"/>
  <c r="BJ56" i="15"/>
  <c r="BQ56" i="15"/>
  <c r="BI56" i="15"/>
  <c r="BP56" i="15"/>
  <c r="BH56" i="15"/>
  <c r="BO56" i="15"/>
  <c r="BG56" i="15"/>
  <c r="BN56" i="15"/>
  <c r="BF56" i="15"/>
  <c r="BL61" i="15"/>
  <c r="BD61" i="15"/>
  <c r="BK61" i="15"/>
  <c r="BR61" i="15"/>
  <c r="BJ61" i="15"/>
  <c r="BQ61" i="15"/>
  <c r="BI61" i="15"/>
  <c r="BP61" i="15"/>
  <c r="BH61" i="15"/>
  <c r="BO61" i="15"/>
  <c r="BG61" i="15"/>
  <c r="BN61" i="15"/>
  <c r="BF61" i="15"/>
  <c r="BM61" i="15"/>
  <c r="BE61" i="15"/>
  <c r="BK71" i="15"/>
  <c r="BL71" i="15"/>
  <c r="BJ71" i="15"/>
  <c r="BR71" i="15"/>
  <c r="BI71" i="15"/>
  <c r="BQ71" i="15"/>
  <c r="BH71" i="15"/>
  <c r="BP71" i="15"/>
  <c r="BG71" i="15"/>
  <c r="BO71" i="15"/>
  <c r="BF71" i="15"/>
  <c r="BN71" i="15"/>
  <c r="BE71" i="15"/>
  <c r="BM71" i="15"/>
  <c r="BD71" i="15"/>
  <c r="BP51" i="15"/>
  <c r="BH51" i="15"/>
  <c r="BO51" i="15"/>
  <c r="BG51" i="15"/>
  <c r="BN51" i="15"/>
  <c r="BF51" i="15"/>
  <c r="BM51" i="15"/>
  <c r="BE51" i="15"/>
  <c r="BL51" i="15"/>
  <c r="BD51" i="15"/>
  <c r="BK51" i="15"/>
  <c r="BR51" i="15"/>
  <c r="BJ51" i="15"/>
  <c r="BI51" i="15"/>
  <c r="BQ51" i="15"/>
  <c r="BR92" i="15"/>
  <c r="BJ92" i="15"/>
  <c r="BQ92" i="15"/>
  <c r="BI92" i="15"/>
  <c r="BP92" i="15"/>
  <c r="BH92" i="15"/>
  <c r="BO92" i="15"/>
  <c r="BG92" i="15"/>
  <c r="BN92" i="15"/>
  <c r="BF92" i="15"/>
  <c r="BM92" i="15"/>
  <c r="BE92" i="15"/>
  <c r="BL92" i="15"/>
  <c r="BD92" i="15"/>
  <c r="BK92" i="15"/>
  <c r="BR65" i="15"/>
  <c r="BJ65" i="15"/>
  <c r="BQ65" i="15"/>
  <c r="BI65" i="15"/>
  <c r="BP65" i="15"/>
  <c r="BH65" i="15"/>
  <c r="BO65" i="15"/>
  <c r="BG65" i="15"/>
  <c r="BN65" i="15"/>
  <c r="BF65" i="15"/>
  <c r="BM65" i="15"/>
  <c r="BE65" i="15"/>
  <c r="BL65" i="15"/>
  <c r="BD65" i="15"/>
  <c r="BK65" i="15"/>
  <c r="BP57" i="15"/>
  <c r="BH57" i="15"/>
  <c r="BO57" i="15"/>
  <c r="BG57" i="15"/>
  <c r="BN57" i="15"/>
  <c r="BF57" i="15"/>
  <c r="BM57" i="15"/>
  <c r="BE57" i="15"/>
  <c r="BL57" i="15"/>
  <c r="BD57" i="15"/>
  <c r="BK57" i="15"/>
  <c r="BR57" i="15"/>
  <c r="BJ57" i="15"/>
  <c r="BI57" i="15"/>
  <c r="BQ57" i="15"/>
  <c r="BP77" i="15"/>
  <c r="AF160" i="15" s="1"/>
  <c r="BH77" i="15"/>
  <c r="X160" i="15" s="1"/>
  <c r="BO77" i="15"/>
  <c r="AE160" i="15" s="1"/>
  <c r="BG77" i="15"/>
  <c r="W160" i="15" s="1"/>
  <c r="BN77" i="15"/>
  <c r="AD160" i="15" s="1"/>
  <c r="BF77" i="15"/>
  <c r="V160" i="15" s="1"/>
  <c r="BM77" i="15"/>
  <c r="AC160" i="15" s="1"/>
  <c r="BE77" i="15"/>
  <c r="U160" i="15" s="1"/>
  <c r="BL77" i="15"/>
  <c r="AB160" i="15" s="1"/>
  <c r="BD77" i="15"/>
  <c r="BK77" i="15"/>
  <c r="AA160" i="15" s="1"/>
  <c r="BR77" i="15"/>
  <c r="AH160" i="15" s="1"/>
  <c r="BJ77" i="15"/>
  <c r="Z160" i="15" s="1"/>
  <c r="BI77" i="15"/>
  <c r="Y160" i="15" s="1"/>
  <c r="BQ77" i="15"/>
  <c r="AG160" i="15" s="1"/>
  <c r="BM62" i="15"/>
  <c r="AC145" i="15" s="1"/>
  <c r="BE62" i="15"/>
  <c r="U145" i="15" s="1"/>
  <c r="BL62" i="15"/>
  <c r="AB145" i="15" s="1"/>
  <c r="BD62" i="15"/>
  <c r="BK62" i="15"/>
  <c r="AA145" i="15" s="1"/>
  <c r="BR62" i="15"/>
  <c r="AH145" i="15" s="1"/>
  <c r="BJ62" i="15"/>
  <c r="Z145" i="15" s="1"/>
  <c r="BQ62" i="15"/>
  <c r="AG145" i="15" s="1"/>
  <c r="BI62" i="15"/>
  <c r="Y145" i="15" s="1"/>
  <c r="BP62" i="15"/>
  <c r="AF145" i="15" s="1"/>
  <c r="BH62" i="15"/>
  <c r="X145" i="15" s="1"/>
  <c r="BO62" i="15"/>
  <c r="AE145" i="15" s="1"/>
  <c r="BG62" i="15"/>
  <c r="W145" i="15" s="1"/>
  <c r="BN62" i="15"/>
  <c r="AD145" i="15" s="1"/>
  <c r="BF62" i="15"/>
  <c r="V145" i="15" s="1"/>
  <c r="Y74" i="15"/>
  <c r="X87" i="15"/>
  <c r="H150" i="15"/>
  <c r="BU86" i="15" l="1"/>
  <c r="BU55" i="15"/>
  <c r="BU94" i="15"/>
  <c r="BU49" i="15"/>
  <c r="BU58" i="15"/>
  <c r="BU63" i="15"/>
  <c r="BU57" i="15"/>
  <c r="BU83" i="15"/>
  <c r="BU54" i="15"/>
  <c r="BU50" i="15"/>
  <c r="AA55" i="15"/>
  <c r="T160" i="15"/>
  <c r="BU77" i="15"/>
  <c r="BU90" i="15"/>
  <c r="BU68" i="15"/>
  <c r="BU59" i="15"/>
  <c r="BU67" i="15"/>
  <c r="BU56" i="15"/>
  <c r="BU92" i="15"/>
  <c r="BU78" i="15"/>
  <c r="BU65" i="15"/>
  <c r="BU61" i="15"/>
  <c r="BU91" i="15"/>
  <c r="BU60" i="15"/>
  <c r="BU81" i="15"/>
  <c r="BU75" i="15"/>
  <c r="BU66" i="15"/>
  <c r="T170" i="15"/>
  <c r="BU87" i="15"/>
  <c r="T165" i="15"/>
  <c r="BU82" i="15"/>
  <c r="BU69" i="15"/>
  <c r="BU89" i="15"/>
  <c r="BU51" i="15"/>
  <c r="V69" i="15"/>
  <c r="BU79" i="15"/>
  <c r="T136" i="15"/>
  <c r="BU53" i="15"/>
  <c r="T168" i="15"/>
  <c r="BU85" i="15"/>
  <c r="BU52" i="15"/>
  <c r="BU76" i="15"/>
  <c r="T176" i="15"/>
  <c r="BU93" i="15"/>
  <c r="Z89" i="15"/>
  <c r="T157" i="15"/>
  <c r="BU74" i="15"/>
  <c r="U72" i="15"/>
  <c r="BU72" i="15"/>
  <c r="T147" i="15"/>
  <c r="BU64" i="15"/>
  <c r="T145" i="15"/>
  <c r="BU62" i="15"/>
  <c r="BU71" i="15"/>
  <c r="BU84" i="15"/>
  <c r="BU70" i="15"/>
  <c r="BU80" i="15"/>
  <c r="BU88" i="15"/>
  <c r="AG74" i="15"/>
  <c r="AE64" i="15"/>
  <c r="Y67" i="15"/>
  <c r="AI69" i="15"/>
  <c r="AH64" i="15"/>
  <c r="AB82" i="15"/>
  <c r="AF74" i="15"/>
  <c r="AD82" i="15"/>
  <c r="AI74" i="15"/>
  <c r="AH82" i="15"/>
  <c r="V87" i="15"/>
  <c r="Y64" i="15"/>
  <c r="AD63" i="15"/>
  <c r="Y82" i="15"/>
  <c r="AD87" i="15"/>
  <c r="AB89" i="15"/>
  <c r="AH87" i="15"/>
  <c r="AD170" i="15"/>
  <c r="X69" i="15"/>
  <c r="AA74" i="15"/>
  <c r="AI87" i="15"/>
  <c r="AI85" i="15"/>
  <c r="AF69" i="15"/>
  <c r="AE93" i="15"/>
  <c r="AI93" i="15"/>
  <c r="AC87" i="15"/>
  <c r="P138" i="15"/>
  <c r="AG82" i="15"/>
  <c r="AE89" i="15"/>
  <c r="Y55" i="15"/>
  <c r="Z82" i="15"/>
  <c r="AF85" i="15"/>
  <c r="X82" i="15"/>
  <c r="U82" i="15"/>
  <c r="Y87" i="15"/>
  <c r="X85" i="15"/>
  <c r="Y85" i="15"/>
  <c r="W93" i="15"/>
  <c r="Z85" i="15"/>
  <c r="AA82" i="15"/>
  <c r="AI67" i="15"/>
  <c r="AA64" i="15"/>
  <c r="U64" i="15"/>
  <c r="Z64" i="15"/>
  <c r="AA87" i="15"/>
  <c r="AH93" i="15"/>
  <c r="L152" i="15"/>
  <c r="AD69" i="15"/>
  <c r="AB69" i="15"/>
  <c r="J152" i="15"/>
  <c r="AE69" i="15"/>
  <c r="AC69" i="15"/>
  <c r="K152" i="15"/>
  <c r="AG64" i="15"/>
  <c r="AF82" i="15"/>
  <c r="G152" i="15"/>
  <c r="Y69" i="15"/>
  <c r="AE74" i="15"/>
  <c r="X93" i="15"/>
  <c r="AB93" i="15"/>
  <c r="X55" i="15"/>
  <c r="Z72" i="15"/>
  <c r="W69" i="15"/>
  <c r="E152" i="15"/>
  <c r="AF87" i="15"/>
  <c r="AE82" i="15"/>
  <c r="AG87" i="15"/>
  <c r="AC82" i="15"/>
  <c r="V55" i="15"/>
  <c r="V93" i="15"/>
  <c r="AB55" i="15"/>
  <c r="W74" i="15"/>
  <c r="K138" i="15"/>
  <c r="AB87" i="15"/>
  <c r="Z87" i="15"/>
  <c r="W64" i="15"/>
  <c r="U87" i="15"/>
  <c r="AD93" i="15"/>
  <c r="AE147" i="15"/>
  <c r="AF64" i="15"/>
  <c r="W87" i="15"/>
  <c r="AH147" i="15"/>
  <c r="U93" i="15"/>
  <c r="AB74" i="15"/>
  <c r="AB64" i="15"/>
  <c r="AF55" i="15"/>
  <c r="AA85" i="15"/>
  <c r="O138" i="15"/>
  <c r="H138" i="15"/>
  <c r="Z55" i="15"/>
  <c r="AI55" i="15"/>
  <c r="AC93" i="15"/>
  <c r="C138" i="15"/>
  <c r="U55" i="15"/>
  <c r="AA93" i="15"/>
  <c r="AH69" i="15"/>
  <c r="AB85" i="15"/>
  <c r="AF93" i="15"/>
  <c r="Z63" i="15"/>
  <c r="AA50" i="15"/>
  <c r="I133" i="15"/>
  <c r="V94" i="15"/>
  <c r="O133" i="15"/>
  <c r="AG50" i="15"/>
  <c r="J133" i="15"/>
  <c r="AB50" i="15"/>
  <c r="M138" i="15"/>
  <c r="AE55" i="15"/>
  <c r="AG69" i="15"/>
  <c r="O152" i="15"/>
  <c r="E138" i="15"/>
  <c r="W55" i="15"/>
  <c r="AJ81" i="15"/>
  <c r="E133" i="15"/>
  <c r="W50" i="15"/>
  <c r="Z50" i="15"/>
  <c r="H133" i="15"/>
  <c r="L138" i="15"/>
  <c r="AD55" i="15"/>
  <c r="AE50" i="15"/>
  <c r="M133" i="15"/>
  <c r="AI50" i="15"/>
  <c r="Q133" i="15"/>
  <c r="AE85" i="15"/>
  <c r="F133" i="15"/>
  <c r="X50" i="15"/>
  <c r="C133" i="15"/>
  <c r="U50" i="15"/>
  <c r="N133" i="15"/>
  <c r="AF50" i="15"/>
  <c r="AC50" i="15"/>
  <c r="K133" i="15"/>
  <c r="H152" i="15"/>
  <c r="Z69" i="15"/>
  <c r="G133" i="15"/>
  <c r="Y50" i="15"/>
  <c r="D133" i="15"/>
  <c r="V50" i="15"/>
  <c r="AH50" i="15"/>
  <c r="P133" i="15"/>
  <c r="AD50" i="15"/>
  <c r="L133" i="15"/>
  <c r="AC157" i="15"/>
  <c r="AD74" i="15"/>
  <c r="AI63" i="15"/>
  <c r="Q146" i="15"/>
  <c r="AA67" i="15"/>
  <c r="AD177" i="15"/>
  <c r="AE94" i="15"/>
  <c r="AI94" i="15"/>
  <c r="P169" i="15"/>
  <c r="AH86" i="15"/>
  <c r="D169" i="15"/>
  <c r="V86" i="15"/>
  <c r="AA155" i="15"/>
  <c r="AB72" i="15"/>
  <c r="N146" i="15"/>
  <c r="AF63" i="15"/>
  <c r="E146" i="15"/>
  <c r="W63" i="15"/>
  <c r="AB149" i="15"/>
  <c r="AC66" i="15"/>
  <c r="AF149" i="15"/>
  <c r="AG66" i="15"/>
  <c r="AA177" i="15"/>
  <c r="AB94" i="15"/>
  <c r="W177" i="15"/>
  <c r="X94" i="15"/>
  <c r="F169" i="15"/>
  <c r="X86" i="15"/>
  <c r="L169" i="15"/>
  <c r="AD86" i="15"/>
  <c r="AA63" i="15"/>
  <c r="I146" i="15"/>
  <c r="AE63" i="15"/>
  <c r="M146" i="15"/>
  <c r="U149" i="15"/>
  <c r="V66" i="15"/>
  <c r="Z149" i="15"/>
  <c r="AA66" i="15"/>
  <c r="U85" i="15"/>
  <c r="Y93" i="15"/>
  <c r="T177" i="15"/>
  <c r="U94" i="15"/>
  <c r="X177" i="15"/>
  <c r="Y94" i="15"/>
  <c r="I169" i="15"/>
  <c r="AA86" i="15"/>
  <c r="M169" i="15"/>
  <c r="AE86" i="15"/>
  <c r="F146" i="15"/>
  <c r="X63" i="15"/>
  <c r="J146" i="15"/>
  <c r="AB63" i="15"/>
  <c r="AH149" i="15"/>
  <c r="AI66" i="15"/>
  <c r="W66" i="15"/>
  <c r="V149" i="15"/>
  <c r="U74" i="15"/>
  <c r="AB155" i="15"/>
  <c r="AC72" i="15"/>
  <c r="AC149" i="15"/>
  <c r="AD66" i="15"/>
  <c r="Z74" i="15"/>
  <c r="AJ78" i="15"/>
  <c r="U157" i="15"/>
  <c r="V74" i="15"/>
  <c r="AB177" i="15"/>
  <c r="AC94" i="15"/>
  <c r="AF177" i="15"/>
  <c r="AG94" i="15"/>
  <c r="W157" i="15"/>
  <c r="X74" i="15"/>
  <c r="Q169" i="15"/>
  <c r="AI86" i="15"/>
  <c r="G146" i="15"/>
  <c r="Y63" i="15"/>
  <c r="C146" i="15"/>
  <c r="U63" i="15"/>
  <c r="AG149" i="15"/>
  <c r="AH66" i="15"/>
  <c r="AD149" i="15"/>
  <c r="AE66" i="15"/>
  <c r="AE177" i="15"/>
  <c r="AF94" i="15"/>
  <c r="E169" i="15"/>
  <c r="W86" i="15"/>
  <c r="G169" i="15"/>
  <c r="Y86" i="15"/>
  <c r="J169" i="15"/>
  <c r="AB86" i="15"/>
  <c r="AG63" i="15"/>
  <c r="O146" i="15"/>
  <c r="K146" i="15"/>
  <c r="AC63" i="15"/>
  <c r="AA149" i="15"/>
  <c r="AB66" i="15"/>
  <c r="W149" i="15"/>
  <c r="X66" i="15"/>
  <c r="AD85" i="15"/>
  <c r="Y177" i="15"/>
  <c r="Z94" i="15"/>
  <c r="AC177" i="15"/>
  <c r="AD94" i="15"/>
  <c r="O169" i="15"/>
  <c r="AG86" i="15"/>
  <c r="C169" i="15"/>
  <c r="U86" i="15"/>
  <c r="AC155" i="15"/>
  <c r="AD72" i="15"/>
  <c r="Z155" i="15"/>
  <c r="AA72" i="15"/>
  <c r="D146" i="15"/>
  <c r="V63" i="15"/>
  <c r="Z66" i="15"/>
  <c r="Y149" i="15"/>
  <c r="AE149" i="15"/>
  <c r="AF66" i="15"/>
  <c r="AG177" i="15"/>
  <c r="AH94" i="15"/>
  <c r="N169" i="15"/>
  <c r="AF86" i="15"/>
  <c r="Z67" i="15"/>
  <c r="Z177" i="15"/>
  <c r="AA94" i="15"/>
  <c r="W94" i="15"/>
  <c r="AB157" i="15"/>
  <c r="AC74" i="15"/>
  <c r="H169" i="15"/>
  <c r="Z86" i="15"/>
  <c r="K169" i="15"/>
  <c r="AC86" i="15"/>
  <c r="AH63" i="15"/>
  <c r="P146" i="15"/>
  <c r="T149" i="15"/>
  <c r="U66" i="15"/>
  <c r="X149" i="15"/>
  <c r="Y66" i="15"/>
  <c r="AC85" i="15"/>
  <c r="AG93" i="15"/>
  <c r="Y49" i="15"/>
  <c r="G132" i="15"/>
  <c r="AB49" i="15"/>
  <c r="J132" i="15"/>
  <c r="U150" i="15"/>
  <c r="V67" i="15"/>
  <c r="W58" i="15"/>
  <c r="E141" i="15"/>
  <c r="AC58" i="15"/>
  <c r="K141" i="15"/>
  <c r="AH58" i="15"/>
  <c r="P141" i="15"/>
  <c r="O132" i="15"/>
  <c r="AG49" i="15"/>
  <c r="C132" i="15"/>
  <c r="U49" i="15"/>
  <c r="W150" i="15"/>
  <c r="X67" i="15"/>
  <c r="M141" i="15"/>
  <c r="AE58" i="15"/>
  <c r="I141" i="15"/>
  <c r="AA58" i="15"/>
  <c r="E132" i="15"/>
  <c r="W49" i="15"/>
  <c r="AF150" i="15"/>
  <c r="AG67" i="15"/>
  <c r="H132" i="15"/>
  <c r="Z49" i="15"/>
  <c r="K132" i="15"/>
  <c r="AC49" i="15"/>
  <c r="F141" i="15"/>
  <c r="X58" i="15"/>
  <c r="AI58" i="15"/>
  <c r="Q141" i="15"/>
  <c r="AB150" i="15"/>
  <c r="AC67" i="15"/>
  <c r="C141" i="15"/>
  <c r="U58" i="15"/>
  <c r="AF49" i="15"/>
  <c r="W85" i="15"/>
  <c r="U147" i="15"/>
  <c r="V64" i="15"/>
  <c r="AH49" i="15"/>
  <c r="P132" i="15"/>
  <c r="V49" i="15"/>
  <c r="D132" i="15"/>
  <c r="AC150" i="15"/>
  <c r="AD67" i="15"/>
  <c r="AF67" i="15"/>
  <c r="N141" i="15"/>
  <c r="AF58" i="15"/>
  <c r="AB58" i="15"/>
  <c r="J141" i="15"/>
  <c r="I132" i="15"/>
  <c r="AA49" i="15"/>
  <c r="L132" i="15"/>
  <c r="AD49" i="15"/>
  <c r="AD64" i="15"/>
  <c r="G141" i="15"/>
  <c r="Y58" i="15"/>
  <c r="AB67" i="15"/>
  <c r="AB147" i="15"/>
  <c r="AC64" i="15"/>
  <c r="AI49" i="15"/>
  <c r="Q132" i="15"/>
  <c r="T150" i="15"/>
  <c r="U67" i="15"/>
  <c r="AD150" i="15"/>
  <c r="AE67" i="15"/>
  <c r="V58" i="15"/>
  <c r="D141" i="15"/>
  <c r="AG58" i="15"/>
  <c r="O141" i="15"/>
  <c r="W67" i="15"/>
  <c r="F132" i="15"/>
  <c r="X49" i="15"/>
  <c r="AE49" i="15"/>
  <c r="M132" i="15"/>
  <c r="AG150" i="15"/>
  <c r="AH67" i="15"/>
  <c r="L141" i="15"/>
  <c r="AD58" i="15"/>
  <c r="H141" i="15"/>
  <c r="Z58" i="15"/>
  <c r="W140" i="15"/>
  <c r="X57" i="15"/>
  <c r="U144" i="15"/>
  <c r="V61" i="15"/>
  <c r="AB173" i="15"/>
  <c r="AC90" i="15"/>
  <c r="AH53" i="15"/>
  <c r="P136" i="15"/>
  <c r="AC135" i="15"/>
  <c r="AD52" i="15"/>
  <c r="AB166" i="15"/>
  <c r="AC83" i="15"/>
  <c r="U153" i="15"/>
  <c r="V70" i="15"/>
  <c r="AA143" i="15"/>
  <c r="AB60" i="15"/>
  <c r="AC163" i="15"/>
  <c r="AD80" i="15"/>
  <c r="P145" i="15"/>
  <c r="AH62" i="15"/>
  <c r="U137" i="15"/>
  <c r="V54" i="15"/>
  <c r="U171" i="15"/>
  <c r="V88" i="15"/>
  <c r="AA140" i="15"/>
  <c r="AB57" i="15"/>
  <c r="T175" i="15"/>
  <c r="U92" i="15"/>
  <c r="X175" i="15"/>
  <c r="Y92" i="15"/>
  <c r="AB134" i="15"/>
  <c r="AC51" i="15"/>
  <c r="AF134" i="15"/>
  <c r="AG51" i="15"/>
  <c r="T154" i="15"/>
  <c r="U71" i="15"/>
  <c r="X154" i="15"/>
  <c r="Y71" i="15"/>
  <c r="AC144" i="15"/>
  <c r="AD61" i="15"/>
  <c r="AG144" i="15"/>
  <c r="AH61" i="15"/>
  <c r="Y139" i="15"/>
  <c r="Z56" i="15"/>
  <c r="AC139" i="15"/>
  <c r="AD56" i="15"/>
  <c r="U173" i="15"/>
  <c r="V90" i="15"/>
  <c r="E136" i="15"/>
  <c r="W53" i="15"/>
  <c r="I136" i="15"/>
  <c r="AA53" i="15"/>
  <c r="AG85" i="15"/>
  <c r="AD151" i="15"/>
  <c r="AE68" i="15"/>
  <c r="AA151" i="15"/>
  <c r="AB68" i="15"/>
  <c r="AD142" i="15"/>
  <c r="AE59" i="15"/>
  <c r="AH142" i="15"/>
  <c r="AI59" i="15"/>
  <c r="X162" i="15"/>
  <c r="Y79" i="15"/>
  <c r="AB162" i="15"/>
  <c r="AC79" i="15"/>
  <c r="AD158" i="15"/>
  <c r="AE75" i="15"/>
  <c r="AH158" i="15"/>
  <c r="AI75" i="15"/>
  <c r="V135" i="15"/>
  <c r="W52" i="15"/>
  <c r="U167" i="15"/>
  <c r="V84" i="15"/>
  <c r="Y167" i="15"/>
  <c r="Z84" i="15"/>
  <c r="Z93" i="15"/>
  <c r="Z174" i="15"/>
  <c r="AA91" i="15"/>
  <c r="AD174" i="15"/>
  <c r="AE91" i="15"/>
  <c r="AF159" i="15"/>
  <c r="AG76" i="15"/>
  <c r="U159" i="15"/>
  <c r="V76" i="15"/>
  <c r="U166" i="15"/>
  <c r="V83" i="15"/>
  <c r="Y166" i="15"/>
  <c r="Z83" i="15"/>
  <c r="AD153" i="15"/>
  <c r="AE70" i="15"/>
  <c r="AH153" i="15"/>
  <c r="AI70" i="15"/>
  <c r="AF60" i="15"/>
  <c r="AE143" i="15"/>
  <c r="Y163" i="15"/>
  <c r="Z80" i="15"/>
  <c r="V163" i="15"/>
  <c r="W80" i="15"/>
  <c r="M145" i="15"/>
  <c r="AE62" i="15"/>
  <c r="L145" i="15"/>
  <c r="AD62" i="15"/>
  <c r="D160" i="15"/>
  <c r="V77" i="15"/>
  <c r="H160" i="15"/>
  <c r="Z77" i="15"/>
  <c r="AC137" i="15"/>
  <c r="AD54" i="15"/>
  <c r="AG137" i="15"/>
  <c r="AH54" i="15"/>
  <c r="Y171" i="15"/>
  <c r="Z88" i="15"/>
  <c r="AC171" i="15"/>
  <c r="AD88" i="15"/>
  <c r="AH148" i="15"/>
  <c r="AI65" i="15"/>
  <c r="X134" i="15"/>
  <c r="Y51" i="15"/>
  <c r="U139" i="15"/>
  <c r="V56" i="15"/>
  <c r="AD53" i="15"/>
  <c r="L136" i="15"/>
  <c r="Z151" i="15"/>
  <c r="AA68" i="15"/>
  <c r="AB159" i="15"/>
  <c r="AC76" i="15"/>
  <c r="Z153" i="15"/>
  <c r="AA70" i="15"/>
  <c r="W143" i="15"/>
  <c r="X60" i="15"/>
  <c r="AG163" i="15"/>
  <c r="AH80" i="15"/>
  <c r="O160" i="15"/>
  <c r="AG77" i="15"/>
  <c r="AF171" i="15"/>
  <c r="AG88" i="15"/>
  <c r="W148" i="15"/>
  <c r="X65" i="15"/>
  <c r="T140" i="15"/>
  <c r="U57" i="15"/>
  <c r="X140" i="15"/>
  <c r="Y57" i="15"/>
  <c r="AB175" i="15"/>
  <c r="AC92" i="15"/>
  <c r="AF175" i="15"/>
  <c r="AG92" i="15"/>
  <c r="U134" i="15"/>
  <c r="V51" i="15"/>
  <c r="AC154" i="15"/>
  <c r="AD71" i="15"/>
  <c r="AG154" i="15"/>
  <c r="AH71" i="15"/>
  <c r="V144" i="15"/>
  <c r="W61" i="15"/>
  <c r="Z144" i="15"/>
  <c r="AA61" i="15"/>
  <c r="AG139" i="15"/>
  <c r="AH56" i="15"/>
  <c r="Z90" i="15"/>
  <c r="Y173" i="15"/>
  <c r="AC173" i="15"/>
  <c r="AD90" i="15"/>
  <c r="M136" i="15"/>
  <c r="AE53" i="15"/>
  <c r="Q136" i="15"/>
  <c r="AI53" i="15"/>
  <c r="V85" i="15"/>
  <c r="W151" i="15"/>
  <c r="X68" i="15"/>
  <c r="AF151" i="15"/>
  <c r="AG68" i="15"/>
  <c r="W142" i="15"/>
  <c r="X59" i="15"/>
  <c r="AF162" i="15"/>
  <c r="AG79" i="15"/>
  <c r="U162" i="15"/>
  <c r="V79" i="15"/>
  <c r="W158" i="15"/>
  <c r="X75" i="15"/>
  <c r="AA158" i="15"/>
  <c r="AB75" i="15"/>
  <c r="Z135" i="15"/>
  <c r="AA52" i="15"/>
  <c r="AD135" i="15"/>
  <c r="AE52" i="15"/>
  <c r="AC167" i="15"/>
  <c r="AD84" i="15"/>
  <c r="AG167" i="15"/>
  <c r="AH84" i="15"/>
  <c r="AH174" i="15"/>
  <c r="AI91" i="15"/>
  <c r="W174" i="15"/>
  <c r="X91" i="15"/>
  <c r="Y159" i="15"/>
  <c r="Z76" i="15"/>
  <c r="AC159" i="15"/>
  <c r="AD76" i="15"/>
  <c r="AC166" i="15"/>
  <c r="AD83" i="15"/>
  <c r="AG166" i="15"/>
  <c r="AH83" i="15"/>
  <c r="V153" i="15"/>
  <c r="W70" i="15"/>
  <c r="T143" i="15"/>
  <c r="U60" i="15"/>
  <c r="X143" i="15"/>
  <c r="Y60" i="15"/>
  <c r="Z163" i="15"/>
  <c r="AA80" i="15"/>
  <c r="AD163" i="15"/>
  <c r="AE80" i="15"/>
  <c r="F145" i="15"/>
  <c r="X62" i="15"/>
  <c r="I145" i="15"/>
  <c r="AA62" i="15"/>
  <c r="L160" i="15"/>
  <c r="AD77" i="15"/>
  <c r="P160" i="15"/>
  <c r="AH77" i="15"/>
  <c r="V137" i="15"/>
  <c r="W54" i="15"/>
  <c r="Z137" i="15"/>
  <c r="AA54" i="15"/>
  <c r="AG171" i="15"/>
  <c r="AH88" i="15"/>
  <c r="V171" i="15"/>
  <c r="W88" i="15"/>
  <c r="AH140" i="15"/>
  <c r="AI57" i="15"/>
  <c r="AD148" i="15"/>
  <c r="AE65" i="15"/>
  <c r="AA175" i="15"/>
  <c r="AB92" i="15"/>
  <c r="T134" i="15"/>
  <c r="U51" i="15"/>
  <c r="AF173" i="15"/>
  <c r="AG90" i="15"/>
  <c r="V158" i="15"/>
  <c r="W75" i="15"/>
  <c r="AG135" i="15"/>
  <c r="AH52" i="15"/>
  <c r="AF167" i="15"/>
  <c r="AG84" i="15"/>
  <c r="AF166" i="15"/>
  <c r="AG83" i="15"/>
  <c r="E145" i="15"/>
  <c r="W62" i="15"/>
  <c r="K160" i="15"/>
  <c r="AC77" i="15"/>
  <c r="Y137" i="15"/>
  <c r="Z54" i="15"/>
  <c r="AE140" i="15"/>
  <c r="AF57" i="15"/>
  <c r="AA148" i="15"/>
  <c r="AB65" i="15"/>
  <c r="AE148" i="15"/>
  <c r="AF65" i="15"/>
  <c r="AB140" i="15"/>
  <c r="AC57" i="15"/>
  <c r="AF140" i="15"/>
  <c r="AG57" i="15"/>
  <c r="T148" i="15"/>
  <c r="U65" i="15"/>
  <c r="X148" i="15"/>
  <c r="Y65" i="15"/>
  <c r="U175" i="15"/>
  <c r="V92" i="15"/>
  <c r="Y175" i="15"/>
  <c r="Z92" i="15"/>
  <c r="AG134" i="15"/>
  <c r="AH51" i="15"/>
  <c r="AC134" i="15"/>
  <c r="AD51" i="15"/>
  <c r="U154" i="15"/>
  <c r="V71" i="15"/>
  <c r="Y154" i="15"/>
  <c r="Z71" i="15"/>
  <c r="AD144" i="15"/>
  <c r="AE61" i="15"/>
  <c r="AH144" i="15"/>
  <c r="AI61" i="15"/>
  <c r="W56" i="15"/>
  <c r="V139" i="15"/>
  <c r="Z139" i="15"/>
  <c r="AA56" i="15"/>
  <c r="AH90" i="15"/>
  <c r="AG173" i="15"/>
  <c r="V173" i="15"/>
  <c r="W90" i="15"/>
  <c r="X53" i="15"/>
  <c r="F136" i="15"/>
  <c r="J136" i="15"/>
  <c r="AB53" i="15"/>
  <c r="AH85" i="15"/>
  <c r="AF68" i="15"/>
  <c r="AE151" i="15"/>
  <c r="AA142" i="15"/>
  <c r="AB59" i="15"/>
  <c r="AE142" i="15"/>
  <c r="AF59" i="15"/>
  <c r="Y162" i="15"/>
  <c r="Z79" i="15"/>
  <c r="AC162" i="15"/>
  <c r="AD79" i="15"/>
  <c r="AF75" i="15"/>
  <c r="AE158" i="15"/>
  <c r="AH135" i="15"/>
  <c r="AI52" i="15"/>
  <c r="W135" i="15"/>
  <c r="X52" i="15"/>
  <c r="V167" i="15"/>
  <c r="W84" i="15"/>
  <c r="Z167" i="15"/>
  <c r="AA84" i="15"/>
  <c r="AA174" i="15"/>
  <c r="AB91" i="15"/>
  <c r="AE174" i="15"/>
  <c r="AF91" i="15"/>
  <c r="AG159" i="15"/>
  <c r="AH76" i="15"/>
  <c r="V159" i="15"/>
  <c r="W76" i="15"/>
  <c r="V166" i="15"/>
  <c r="W83" i="15"/>
  <c r="Y153" i="15"/>
  <c r="Z70" i="15"/>
  <c r="AE153" i="15"/>
  <c r="AF70" i="15"/>
  <c r="AB143" i="15"/>
  <c r="AC60" i="15"/>
  <c r="AF143" i="15"/>
  <c r="AG60" i="15"/>
  <c r="AH163" i="15"/>
  <c r="AI80" i="15"/>
  <c r="W163" i="15"/>
  <c r="X80" i="15"/>
  <c r="AF62" i="15"/>
  <c r="N145" i="15"/>
  <c r="Q145" i="15"/>
  <c r="AI62" i="15"/>
  <c r="E160" i="15"/>
  <c r="W77" i="15"/>
  <c r="I160" i="15"/>
  <c r="AA77" i="15"/>
  <c r="AD137" i="15"/>
  <c r="AE54" i="15"/>
  <c r="AH137" i="15"/>
  <c r="AI54" i="15"/>
  <c r="Z171" i="15"/>
  <c r="AA88" i="15"/>
  <c r="AD171" i="15"/>
  <c r="AE88" i="15"/>
  <c r="Y144" i="15"/>
  <c r="Z61" i="15"/>
  <c r="V151" i="15"/>
  <c r="W68" i="15"/>
  <c r="Z142" i="15"/>
  <c r="AA59" i="15"/>
  <c r="X159" i="15"/>
  <c r="Y76" i="15"/>
  <c r="U140" i="15"/>
  <c r="V57" i="15"/>
  <c r="AB148" i="15"/>
  <c r="AC65" i="15"/>
  <c r="AF148" i="15"/>
  <c r="AG65" i="15"/>
  <c r="AC175" i="15"/>
  <c r="AD92" i="15"/>
  <c r="AG175" i="15"/>
  <c r="AH92" i="15"/>
  <c r="Y134" i="15"/>
  <c r="Z51" i="15"/>
  <c r="V134" i="15"/>
  <c r="W51" i="15"/>
  <c r="AD154" i="15"/>
  <c r="AE71" i="15"/>
  <c r="AH154" i="15"/>
  <c r="AI71" i="15"/>
  <c r="W144" i="15"/>
  <c r="X61" i="15"/>
  <c r="AA144" i="15"/>
  <c r="AB61" i="15"/>
  <c r="AD139" i="15"/>
  <c r="AE56" i="15"/>
  <c r="AH139" i="15"/>
  <c r="AI56" i="15"/>
  <c r="Z173" i="15"/>
  <c r="AA90" i="15"/>
  <c r="AD173" i="15"/>
  <c r="AE90" i="15"/>
  <c r="AF53" i="15"/>
  <c r="N136" i="15"/>
  <c r="C136" i="15"/>
  <c r="U53" i="15"/>
  <c r="T151" i="15"/>
  <c r="U68" i="15"/>
  <c r="X151" i="15"/>
  <c r="Y68" i="15"/>
  <c r="T142" i="15"/>
  <c r="U59" i="15"/>
  <c r="X142" i="15"/>
  <c r="Y59" i="15"/>
  <c r="AG162" i="15"/>
  <c r="AH79" i="15"/>
  <c r="V162" i="15"/>
  <c r="W79" i="15"/>
  <c r="T158" i="15"/>
  <c r="U75" i="15"/>
  <c r="X158" i="15"/>
  <c r="Y75" i="15"/>
  <c r="AA135" i="15"/>
  <c r="AB52" i="15"/>
  <c r="AE135" i="15"/>
  <c r="AF52" i="15"/>
  <c r="AD167" i="15"/>
  <c r="AE84" i="15"/>
  <c r="AH167" i="15"/>
  <c r="AI84" i="15"/>
  <c r="T174" i="15"/>
  <c r="U91" i="15"/>
  <c r="X174" i="15"/>
  <c r="Y91" i="15"/>
  <c r="Z159" i="15"/>
  <c r="AA76" i="15"/>
  <c r="AD159" i="15"/>
  <c r="AE76" i="15"/>
  <c r="Z166" i="15"/>
  <c r="AA83" i="15"/>
  <c r="AD166" i="15"/>
  <c r="AE83" i="15"/>
  <c r="AA153" i="15"/>
  <c r="AB70" i="15"/>
  <c r="W153" i="15"/>
  <c r="X70" i="15"/>
  <c r="U143" i="15"/>
  <c r="V60" i="15"/>
  <c r="Y143" i="15"/>
  <c r="Z60" i="15"/>
  <c r="AB80" i="15"/>
  <c r="AA163" i="15"/>
  <c r="AE163" i="15"/>
  <c r="AF80" i="15"/>
  <c r="G145" i="15"/>
  <c r="Y62" i="15"/>
  <c r="J145" i="15"/>
  <c r="AB62" i="15"/>
  <c r="M160" i="15"/>
  <c r="AE77" i="15"/>
  <c r="Q160" i="15"/>
  <c r="AI77" i="15"/>
  <c r="W137" i="15"/>
  <c r="X54" i="15"/>
  <c r="AA137" i="15"/>
  <c r="AB54" i="15"/>
  <c r="AH171" i="15"/>
  <c r="AI88" i="15"/>
  <c r="AG140" i="15"/>
  <c r="AH57" i="15"/>
  <c r="AC140" i="15"/>
  <c r="AD57" i="15"/>
  <c r="U148" i="15"/>
  <c r="V65" i="15"/>
  <c r="Y148" i="15"/>
  <c r="Z65" i="15"/>
  <c r="V175" i="15"/>
  <c r="W92" i="15"/>
  <c r="Z175" i="15"/>
  <c r="AA92" i="15"/>
  <c r="Z134" i="15"/>
  <c r="AA51" i="15"/>
  <c r="AD134" i="15"/>
  <c r="AE51" i="15"/>
  <c r="V154" i="15"/>
  <c r="W71" i="15"/>
  <c r="Z154" i="15"/>
  <c r="AA71" i="15"/>
  <c r="AE144" i="15"/>
  <c r="AF61" i="15"/>
  <c r="T144" i="15"/>
  <c r="U61" i="15"/>
  <c r="W139" i="15"/>
  <c r="X56" i="15"/>
  <c r="AA139" i="15"/>
  <c r="AB56" i="15"/>
  <c r="AH173" i="15"/>
  <c r="AI90" i="15"/>
  <c r="W173" i="15"/>
  <c r="X90" i="15"/>
  <c r="G136" i="15"/>
  <c r="Y53" i="15"/>
  <c r="K136" i="15"/>
  <c r="AC53" i="15"/>
  <c r="AB151" i="15"/>
  <c r="AC68" i="15"/>
  <c r="AG151" i="15"/>
  <c r="AH68" i="15"/>
  <c r="AB142" i="15"/>
  <c r="AC59" i="15"/>
  <c r="AF142" i="15"/>
  <c r="AG59" i="15"/>
  <c r="AA79" i="15"/>
  <c r="Z162" i="15"/>
  <c r="AD162" i="15"/>
  <c r="AE79" i="15"/>
  <c r="AB158" i="15"/>
  <c r="AC75" i="15"/>
  <c r="AF158" i="15"/>
  <c r="AG75" i="15"/>
  <c r="T135" i="15"/>
  <c r="U52" i="15"/>
  <c r="X135" i="15"/>
  <c r="Y52" i="15"/>
  <c r="W167" i="15"/>
  <c r="X84" i="15"/>
  <c r="AA167" i="15"/>
  <c r="AB84" i="15"/>
  <c r="AB174" i="15"/>
  <c r="AC91" i="15"/>
  <c r="AF174" i="15"/>
  <c r="AG91" i="15"/>
  <c r="AH159" i="15"/>
  <c r="AI76" i="15"/>
  <c r="W159" i="15"/>
  <c r="X76" i="15"/>
  <c r="AH166" i="15"/>
  <c r="AI83" i="15"/>
  <c r="W166" i="15"/>
  <c r="X83" i="15"/>
  <c r="AB153" i="15"/>
  <c r="AC70" i="15"/>
  <c r="AF153" i="15"/>
  <c r="AG70" i="15"/>
  <c r="AC143" i="15"/>
  <c r="AD60" i="15"/>
  <c r="AG143" i="15"/>
  <c r="AH60" i="15"/>
  <c r="T163" i="15"/>
  <c r="U80" i="15"/>
  <c r="X163" i="15"/>
  <c r="Y80" i="15"/>
  <c r="O145" i="15"/>
  <c r="AG62" i="15"/>
  <c r="C145" i="15"/>
  <c r="U62" i="15"/>
  <c r="F160" i="15"/>
  <c r="X77" i="15"/>
  <c r="J160" i="15"/>
  <c r="AB77" i="15"/>
  <c r="AE137" i="15"/>
  <c r="AF54" i="15"/>
  <c r="W171" i="15"/>
  <c r="X88" i="15"/>
  <c r="AA171" i="15"/>
  <c r="AB88" i="15"/>
  <c r="AF154" i="15"/>
  <c r="AG71" i="15"/>
  <c r="Z158" i="15"/>
  <c r="AA75" i="15"/>
  <c r="V174" i="15"/>
  <c r="W91" i="15"/>
  <c r="Y140" i="15"/>
  <c r="Z57" i="15"/>
  <c r="V140" i="15"/>
  <c r="W57" i="15"/>
  <c r="AD65" i="15"/>
  <c r="AC148" i="15"/>
  <c r="AG148" i="15"/>
  <c r="AH65" i="15"/>
  <c r="AD175" i="15"/>
  <c r="AE92" i="15"/>
  <c r="AH175" i="15"/>
  <c r="AI92" i="15"/>
  <c r="AH134" i="15"/>
  <c r="AI51" i="15"/>
  <c r="W134" i="15"/>
  <c r="X51" i="15"/>
  <c r="AE154" i="15"/>
  <c r="AF71" i="15"/>
  <c r="AB154" i="15"/>
  <c r="AC71" i="15"/>
  <c r="X144" i="15"/>
  <c r="Y61" i="15"/>
  <c r="AB144" i="15"/>
  <c r="AC61" i="15"/>
  <c r="AE139" i="15"/>
  <c r="AF56" i="15"/>
  <c r="T139" i="15"/>
  <c r="U56" i="15"/>
  <c r="AA173" i="15"/>
  <c r="AB90" i="15"/>
  <c r="AE173" i="15"/>
  <c r="AF90" i="15"/>
  <c r="O136" i="15"/>
  <c r="AG53" i="15"/>
  <c r="U151" i="15"/>
  <c r="V68" i="15"/>
  <c r="Y151" i="15"/>
  <c r="Z68" i="15"/>
  <c r="U142" i="15"/>
  <c r="V59" i="15"/>
  <c r="Y142" i="15"/>
  <c r="Z59" i="15"/>
  <c r="AH162" i="15"/>
  <c r="AI79" i="15"/>
  <c r="W162" i="15"/>
  <c r="X79" i="15"/>
  <c r="U158" i="15"/>
  <c r="V75" i="15"/>
  <c r="Y158" i="15"/>
  <c r="Z75" i="15"/>
  <c r="AB135" i="15"/>
  <c r="AC52" i="15"/>
  <c r="AF135" i="15"/>
  <c r="AG52" i="15"/>
  <c r="AE167" i="15"/>
  <c r="AF84" i="15"/>
  <c r="T167" i="15"/>
  <c r="U84" i="15"/>
  <c r="U174" i="15"/>
  <c r="V91" i="15"/>
  <c r="Y174" i="15"/>
  <c r="Z91" i="15"/>
  <c r="AA159" i="15"/>
  <c r="AB76" i="15"/>
  <c r="AE159" i="15"/>
  <c r="AF76" i="15"/>
  <c r="AA166" i="15"/>
  <c r="AB83" i="15"/>
  <c r="AF83" i="15"/>
  <c r="AE166" i="15"/>
  <c r="T153" i="15"/>
  <c r="U70" i="15"/>
  <c r="X153" i="15"/>
  <c r="Y70" i="15"/>
  <c r="W60" i="15"/>
  <c r="V143" i="15"/>
  <c r="Z143" i="15"/>
  <c r="AA60" i="15"/>
  <c r="AB163" i="15"/>
  <c r="AC80" i="15"/>
  <c r="AF163" i="15"/>
  <c r="AG80" i="15"/>
  <c r="D145" i="15"/>
  <c r="V62" i="15"/>
  <c r="K145" i="15"/>
  <c r="AC62" i="15"/>
  <c r="N160" i="15"/>
  <c r="AF77" i="15"/>
  <c r="AB137" i="15"/>
  <c r="AC54" i="15"/>
  <c r="X137" i="15"/>
  <c r="Y54" i="15"/>
  <c r="AE171" i="15"/>
  <c r="AF88" i="15"/>
  <c r="T171" i="15"/>
  <c r="U88" i="15"/>
  <c r="AE175" i="15"/>
  <c r="AF92" i="15"/>
  <c r="AF139" i="15"/>
  <c r="AG56" i="15"/>
  <c r="W59" i="15"/>
  <c r="V142" i="15"/>
  <c r="T162" i="15"/>
  <c r="U79" i="15"/>
  <c r="Z140" i="15"/>
  <c r="AA57" i="15"/>
  <c r="AD140" i="15"/>
  <c r="AE57" i="15"/>
  <c r="V148" i="15"/>
  <c r="W65" i="15"/>
  <c r="Z148" i="15"/>
  <c r="AA65" i="15"/>
  <c r="W175" i="15"/>
  <c r="X92" i="15"/>
  <c r="AA134" i="15"/>
  <c r="AB51" i="15"/>
  <c r="AE134" i="15"/>
  <c r="AF51" i="15"/>
  <c r="W154" i="15"/>
  <c r="X71" i="15"/>
  <c r="AA154" i="15"/>
  <c r="AB71" i="15"/>
  <c r="AF144" i="15"/>
  <c r="AG61" i="15"/>
  <c r="X139" i="15"/>
  <c r="Y56" i="15"/>
  <c r="AB139" i="15"/>
  <c r="AC56" i="15"/>
  <c r="T173" i="15"/>
  <c r="U90" i="15"/>
  <c r="X173" i="15"/>
  <c r="Y90" i="15"/>
  <c r="D136" i="15"/>
  <c r="V53" i="15"/>
  <c r="H136" i="15"/>
  <c r="Z53" i="15"/>
  <c r="AC151" i="15"/>
  <c r="AD68" i="15"/>
  <c r="AH151" i="15"/>
  <c r="AI68" i="15"/>
  <c r="AC142" i="15"/>
  <c r="AD59" i="15"/>
  <c r="AG142" i="15"/>
  <c r="AH59" i="15"/>
  <c r="AA162" i="15"/>
  <c r="AB79" i="15"/>
  <c r="AE162" i="15"/>
  <c r="AF79" i="15"/>
  <c r="AC158" i="15"/>
  <c r="AD75" i="15"/>
  <c r="AG158" i="15"/>
  <c r="AH75" i="15"/>
  <c r="U135" i="15"/>
  <c r="V52" i="15"/>
  <c r="Y135" i="15"/>
  <c r="Z52" i="15"/>
  <c r="X167" i="15"/>
  <c r="Y84" i="15"/>
  <c r="AB167" i="15"/>
  <c r="AC84" i="15"/>
  <c r="AC174" i="15"/>
  <c r="AD91" i="15"/>
  <c r="AG174" i="15"/>
  <c r="AH91" i="15"/>
  <c r="T159" i="15"/>
  <c r="U76" i="15"/>
  <c r="T166" i="15"/>
  <c r="U83" i="15"/>
  <c r="X166" i="15"/>
  <c r="Y83" i="15"/>
  <c r="AC153" i="15"/>
  <c r="AD70" i="15"/>
  <c r="AG153" i="15"/>
  <c r="AH70" i="15"/>
  <c r="AD143" i="15"/>
  <c r="AE60" i="15"/>
  <c r="AH143" i="15"/>
  <c r="AI60" i="15"/>
  <c r="U163" i="15"/>
  <c r="V80" i="15"/>
  <c r="H145" i="15"/>
  <c r="Z62" i="15"/>
  <c r="C160" i="15"/>
  <c r="U77" i="15"/>
  <c r="G160" i="15"/>
  <c r="Y77" i="15"/>
  <c r="U54" i="15"/>
  <c r="T137" i="15"/>
  <c r="AG54" i="15"/>
  <c r="AF137" i="15"/>
  <c r="X171" i="15"/>
  <c r="Y88" i="15"/>
  <c r="AB171" i="15"/>
  <c r="AC88" i="15"/>
  <c r="BU95" i="15" l="1"/>
  <c r="BX50" i="15"/>
  <c r="BX58" i="15"/>
  <c r="BX66" i="15"/>
  <c r="BX74" i="15"/>
  <c r="BX82" i="15"/>
  <c r="BX90" i="15"/>
  <c r="BX51" i="15"/>
  <c r="BX59" i="15"/>
  <c r="BX67" i="15"/>
  <c r="BX75" i="15"/>
  <c r="BX83" i="15"/>
  <c r="BX91" i="15"/>
  <c r="BX89" i="15"/>
  <c r="BX52" i="15"/>
  <c r="BX60" i="15"/>
  <c r="BX68" i="15"/>
  <c r="BX76" i="15"/>
  <c r="BX84" i="15"/>
  <c r="BX92" i="15"/>
  <c r="BX73" i="15"/>
  <c r="BX53" i="15"/>
  <c r="BX61" i="15"/>
  <c r="BX69" i="15"/>
  <c r="BX77" i="15"/>
  <c r="BX85" i="15"/>
  <c r="BX93" i="15"/>
  <c r="BX57" i="15"/>
  <c r="BX54" i="15"/>
  <c r="BX62" i="15"/>
  <c r="BX70" i="15"/>
  <c r="BX78" i="15"/>
  <c r="BX86" i="15"/>
  <c r="BX94" i="15"/>
  <c r="BX81" i="15"/>
  <c r="BX55" i="15"/>
  <c r="BX63" i="15"/>
  <c r="BX71" i="15"/>
  <c r="BX79" i="15"/>
  <c r="BX87" i="15"/>
  <c r="BX49" i="15"/>
  <c r="BX56" i="15"/>
  <c r="BX64" i="15"/>
  <c r="BX72" i="15"/>
  <c r="BX80" i="15"/>
  <c r="BX88" i="15"/>
  <c r="BX65" i="15"/>
  <c r="AJ89" i="15"/>
  <c r="AJ82" i="15"/>
  <c r="AJ87" i="15"/>
  <c r="AJ74" i="15"/>
  <c r="AJ69" i="15"/>
  <c r="AJ55" i="15"/>
  <c r="AJ72" i="15"/>
  <c r="AJ63" i="15"/>
  <c r="AJ50" i="15"/>
  <c r="AJ66" i="15"/>
  <c r="AJ86" i="15"/>
  <c r="Z95" i="15"/>
  <c r="H73" i="15" s="1"/>
  <c r="AJ94" i="15"/>
  <c r="AF95" i="15"/>
  <c r="N73" i="15" s="1"/>
  <c r="AJ64" i="15"/>
  <c r="AI95" i="15"/>
  <c r="Q73" i="15" s="1"/>
  <c r="AB95" i="15"/>
  <c r="J73" i="15" s="1"/>
  <c r="AJ67" i="15"/>
  <c r="AJ53" i="15"/>
  <c r="AJ58" i="15"/>
  <c r="AJ85" i="15"/>
  <c r="AJ93" i="15"/>
  <c r="AJ49" i="15"/>
  <c r="Y95" i="15"/>
  <c r="G73" i="15" s="1"/>
  <c r="W95" i="15"/>
  <c r="E73" i="15" s="1"/>
  <c r="AJ65" i="15"/>
  <c r="AA95" i="15"/>
  <c r="I73" i="15" s="1"/>
  <c r="AG95" i="15"/>
  <c r="O73" i="15" s="1"/>
  <c r="AJ92" i="15"/>
  <c r="AJ79" i="15"/>
  <c r="AJ91" i="15"/>
  <c r="AJ75" i="15"/>
  <c r="AJ59" i="15"/>
  <c r="AJ54" i="15"/>
  <c r="AJ56" i="15"/>
  <c r="AJ71" i="15"/>
  <c r="AJ83" i="15"/>
  <c r="AJ84" i="15"/>
  <c r="AC95" i="15"/>
  <c r="K73" i="15" s="1"/>
  <c r="AE95" i="15"/>
  <c r="M73" i="15" s="1"/>
  <c r="AJ57" i="15"/>
  <c r="AJ90" i="15"/>
  <c r="AJ70" i="15"/>
  <c r="AJ77" i="15"/>
  <c r="AH95" i="15"/>
  <c r="P73" i="15" s="1"/>
  <c r="AJ88" i="15"/>
  <c r="AD95" i="15"/>
  <c r="L73" i="15" s="1"/>
  <c r="AJ80" i="15"/>
  <c r="AJ61" i="15"/>
  <c r="X95" i="15"/>
  <c r="F73" i="15" s="1"/>
  <c r="AJ68" i="15"/>
  <c r="U95" i="15"/>
  <c r="C73" i="15" s="1"/>
  <c r="AJ51" i="15"/>
  <c r="AJ60" i="15"/>
  <c r="AJ76" i="15"/>
  <c r="AJ62" i="15"/>
  <c r="AJ52" i="15"/>
  <c r="V95" i="15"/>
  <c r="D73" i="15" s="1"/>
  <c r="U35" i="15"/>
  <c r="AC35" i="15"/>
  <c r="AB30" i="15"/>
  <c r="AB29" i="15"/>
  <c r="V35" i="15"/>
  <c r="AD35" i="15"/>
  <c r="U30" i="15"/>
  <c r="AC30" i="15"/>
  <c r="U21" i="15"/>
  <c r="AC21" i="15"/>
  <c r="W21" i="15"/>
  <c r="AE21" i="15"/>
  <c r="AC29" i="15"/>
  <c r="W35" i="15"/>
  <c r="AE35" i="15"/>
  <c r="V30" i="15"/>
  <c r="AD30" i="15"/>
  <c r="AA21" i="15"/>
  <c r="AI21" i="15"/>
  <c r="V21" i="15"/>
  <c r="AD21" i="15"/>
  <c r="Y21" i="15"/>
  <c r="Y35" i="15"/>
  <c r="AG35" i="15"/>
  <c r="X30" i="15"/>
  <c r="AF30" i="15"/>
  <c r="AG21" i="15"/>
  <c r="X21" i="15"/>
  <c r="AF21" i="15"/>
  <c r="Z26" i="15"/>
  <c r="AH26" i="15"/>
  <c r="AE22" i="15"/>
  <c r="V29" i="15"/>
  <c r="X35" i="15"/>
  <c r="AF35" i="15"/>
  <c r="AA36" i="15"/>
  <c r="W30" i="15"/>
  <c r="AE30" i="15"/>
  <c r="AA35" i="15"/>
  <c r="AI35" i="15"/>
  <c r="Z30" i="15"/>
  <c r="AH30" i="15"/>
  <c r="AA38" i="15"/>
  <c r="Z21" i="15"/>
  <c r="AB26" i="15"/>
  <c r="AH21" i="15"/>
  <c r="X29" i="15"/>
  <c r="AF29" i="15"/>
  <c r="Z35" i="15"/>
  <c r="AH35" i="15"/>
  <c r="AI37" i="15"/>
  <c r="U36" i="15"/>
  <c r="AC36" i="15"/>
  <c r="AE37" i="15"/>
  <c r="Y30" i="15"/>
  <c r="AG30" i="15"/>
  <c r="AB21" i="15"/>
  <c r="V26" i="15"/>
  <c r="AA22" i="15"/>
  <c r="AI22" i="15"/>
  <c r="Y23" i="15"/>
  <c r="AA29" i="15"/>
  <c r="AI29" i="15"/>
  <c r="AB35" i="15"/>
  <c r="V37" i="15"/>
  <c r="AE36" i="15"/>
  <c r="X36" i="15"/>
  <c r="AF36" i="15"/>
  <c r="AA30" i="15"/>
  <c r="AI30" i="15"/>
  <c r="AJ95" i="15" l="1"/>
  <c r="R73" i="15" s="1"/>
  <c r="W31" i="15"/>
  <c r="V31" i="15"/>
  <c r="AD26" i="15"/>
  <c r="AG22" i="15"/>
  <c r="Z36" i="15"/>
  <c r="U25" i="15"/>
  <c r="AD37" i="15"/>
  <c r="AA25" i="15"/>
  <c r="AE31" i="15"/>
  <c r="AC20" i="15"/>
  <c r="AG33" i="15"/>
  <c r="W25" i="15"/>
  <c r="AF31" i="15"/>
  <c r="AD31" i="15"/>
  <c r="AA37" i="15"/>
  <c r="X31" i="15"/>
  <c r="W37" i="15"/>
  <c r="AG36" i="15"/>
  <c r="AH36" i="15"/>
  <c r="Y36" i="15"/>
  <c r="AC25" i="15"/>
  <c r="V34" i="15"/>
  <c r="AI25" i="15"/>
  <c r="AA20" i="15"/>
  <c r="U22" i="15"/>
  <c r="AB24" i="15"/>
  <c r="AI38" i="15"/>
  <c r="U29" i="15"/>
  <c r="Z24" i="15"/>
  <c r="AI28" i="15"/>
  <c r="AF25" i="15"/>
  <c r="X22" i="15"/>
  <c r="AC26" i="15"/>
  <c r="AD25" i="15"/>
  <c r="W36" i="15"/>
  <c r="AE25" i="15"/>
  <c r="V25" i="15"/>
  <c r="AD34" i="15"/>
  <c r="X38" i="15"/>
  <c r="AG38" i="15"/>
  <c r="Y29" i="15"/>
  <c r="X28" i="15"/>
  <c r="U28" i="15"/>
  <c r="AE33" i="15"/>
  <c r="AI20" i="15"/>
  <c r="AE29" i="15"/>
  <c r="AD28" i="15"/>
  <c r="AH33" i="15"/>
  <c r="AC33" i="15"/>
  <c r="W23" i="15"/>
  <c r="AA28" i="15"/>
  <c r="AH29" i="15"/>
  <c r="Y33" i="15"/>
  <c r="AC31" i="15"/>
  <c r="Y38" i="15"/>
  <c r="V38" i="15"/>
  <c r="AE38" i="15"/>
  <c r="W29" i="15"/>
  <c r="AC22" i="15"/>
  <c r="AB23" i="15"/>
  <c r="U33" i="15"/>
  <c r="Z28" i="15"/>
  <c r="AE20" i="15"/>
  <c r="AC23" i="15"/>
  <c r="U26" i="15"/>
  <c r="AE34" i="15"/>
  <c r="AG28" i="15"/>
  <c r="W20" i="15"/>
  <c r="AG25" i="15"/>
  <c r="AH28" i="15"/>
  <c r="V23" i="15"/>
  <c r="Z37" i="15"/>
  <c r="X23" i="15"/>
  <c r="Y32" i="15"/>
  <c r="AH23" i="15"/>
  <c r="V27" i="15"/>
  <c r="W32" i="15"/>
  <c r="AB38" i="15"/>
  <c r="Z29" i="15"/>
  <c r="W34" i="15"/>
  <c r="AF24" i="15"/>
  <c r="U19" i="15"/>
  <c r="AG20" i="15"/>
  <c r="AD22" i="15"/>
  <c r="AG23" i="15"/>
  <c r="Y28" i="15"/>
  <c r="U20" i="15"/>
  <c r="W19" i="15"/>
  <c r="AI27" i="15"/>
  <c r="Y22" i="15"/>
  <c r="U31" i="15"/>
  <c r="AB37" i="15"/>
  <c r="Y37" i="15"/>
  <c r="U23" i="15"/>
  <c r="V24" i="15"/>
  <c r="AA31" i="15"/>
  <c r="W38" i="15"/>
  <c r="AH37" i="15"/>
  <c r="X33" i="15"/>
  <c r="AF22" i="15"/>
  <c r="Y24" i="15"/>
  <c r="AF23" i="15"/>
  <c r="AE27" i="15"/>
  <c r="AB33" i="15"/>
  <c r="AI24" i="15"/>
  <c r="AD27" i="15"/>
  <c r="AB27" i="15"/>
  <c r="AH20" i="15"/>
  <c r="AB32" i="15"/>
  <c r="Z20" i="15"/>
  <c r="Z23" i="15"/>
  <c r="X19" i="15"/>
  <c r="AE32" i="15"/>
  <c r="Y25" i="15"/>
  <c r="AE23" i="15"/>
  <c r="AI36" i="15"/>
  <c r="AB20" i="15"/>
  <c r="X25" i="15"/>
  <c r="AD23" i="15"/>
  <c r="AH22" i="15"/>
  <c r="AA23" i="15"/>
  <c r="AF26" i="15"/>
  <c r="AF34" i="15"/>
  <c r="AH32" i="15"/>
  <c r="V22" i="15"/>
  <c r="AG26" i="15"/>
  <c r="AA24" i="15"/>
  <c r="AB19" i="15"/>
  <c r="U34" i="15"/>
  <c r="AI33" i="15"/>
  <c r="AH38" i="15"/>
  <c r="AC27" i="15"/>
  <c r="AI34" i="15"/>
  <c r="AE28" i="15"/>
  <c r="X24" i="15"/>
  <c r="AD36" i="15"/>
  <c r="AI19" i="15"/>
  <c r="Y27" i="15"/>
  <c r="AI32" i="15"/>
  <c r="W22" i="15"/>
  <c r="AA26" i="15"/>
  <c r="W24" i="15"/>
  <c r="AI26" i="15"/>
  <c r="Z22" i="15"/>
  <c r="W27" i="15"/>
  <c r="AD19" i="15"/>
  <c r="AG31" i="15"/>
  <c r="AC38" i="15"/>
  <c r="AB28" i="15"/>
  <c r="Z32" i="15"/>
  <c r="Y26" i="15"/>
  <c r="AF20" i="15"/>
  <c r="AF19" i="15"/>
  <c r="Z38" i="15"/>
  <c r="AC37" i="15"/>
  <c r="AA33" i="15"/>
  <c r="AH24" i="15"/>
  <c r="AC34" i="15"/>
  <c r="U27" i="15"/>
  <c r="AF38" i="15"/>
  <c r="AA34" i="15"/>
  <c r="W28" i="15"/>
  <c r="AC32" i="15"/>
  <c r="AA27" i="15"/>
  <c r="V36" i="15"/>
  <c r="AG29" i="15"/>
  <c r="AF28" i="15"/>
  <c r="AD29" i="15"/>
  <c r="AG34" i="15"/>
  <c r="AC28" i="15"/>
  <c r="AA19" i="15"/>
  <c r="AA32" i="15"/>
  <c r="AH27" i="15"/>
  <c r="AB36" i="15"/>
  <c r="Z27" i="15"/>
  <c r="AH25" i="15"/>
  <c r="AD32" i="15"/>
  <c r="AI23" i="15"/>
  <c r="Y19" i="15"/>
  <c r="AD20" i="15"/>
  <c r="V19" i="15"/>
  <c r="Y31" i="15"/>
  <c r="U38" i="15"/>
  <c r="AF37" i="15"/>
  <c r="X34" i="15"/>
  <c r="AD33" i="15"/>
  <c r="AF27" i="15"/>
  <c r="AB22" i="15"/>
  <c r="X20" i="15"/>
  <c r="U37" i="15"/>
  <c r="AB31" i="15"/>
  <c r="U32" i="15"/>
  <c r="AB34" i="15"/>
  <c r="AH31" i="15"/>
  <c r="AD38" i="15"/>
  <c r="Y34" i="15"/>
  <c r="AH34" i="15"/>
  <c r="Z25" i="15"/>
  <c r="V32" i="15"/>
  <c r="X26" i="15"/>
  <c r="V20" i="15"/>
  <c r="Z19" i="15"/>
  <c r="X37" i="15"/>
  <c r="V33" i="15"/>
  <c r="AC24" i="15"/>
  <c r="X27" i="15"/>
  <c r="AF32" i="15"/>
  <c r="AE26" i="15"/>
  <c r="AE19" i="15"/>
  <c r="AC19" i="15"/>
  <c r="Z31" i="15"/>
  <c r="AG37" i="15"/>
  <c r="W33" i="15"/>
  <c r="AD24" i="15"/>
  <c r="AG27" i="15"/>
  <c r="AE24" i="15"/>
  <c r="AI31" i="15"/>
  <c r="Z34" i="15"/>
  <c r="V28" i="15"/>
  <c r="AF33" i="15"/>
  <c r="Z33" i="15"/>
  <c r="AG24" i="15"/>
  <c r="Y20" i="15"/>
  <c r="AG32" i="15"/>
  <c r="AG19" i="15"/>
  <c r="AH19" i="15"/>
  <c r="U24" i="15"/>
  <c r="AB25" i="15"/>
  <c r="X32" i="15"/>
  <c r="W26" i="15"/>
  <c r="AJ21" i="15"/>
  <c r="AJ35" i="15"/>
  <c r="AJ30" i="15"/>
  <c r="G72" i="15"/>
  <c r="P51" i="15"/>
  <c r="H81" i="15"/>
  <c r="D62" i="15"/>
  <c r="J61" i="15"/>
  <c r="I63" i="15"/>
  <c r="X40" i="15" l="1"/>
  <c r="AA40" i="15"/>
  <c r="AF40" i="15"/>
  <c r="Z40" i="15"/>
  <c r="AC40" i="15"/>
  <c r="AB40" i="15"/>
  <c r="V40" i="15"/>
  <c r="AH39" i="15"/>
  <c r="AG39" i="15"/>
  <c r="AI40" i="15"/>
  <c r="AE39" i="15"/>
  <c r="AF39" i="15"/>
  <c r="AI39" i="15"/>
  <c r="Y40" i="15"/>
  <c r="AD40" i="15"/>
  <c r="AB39" i="15"/>
  <c r="X39" i="15"/>
  <c r="W39" i="15"/>
  <c r="AG40" i="15"/>
  <c r="AE40" i="15"/>
  <c r="V39" i="15"/>
  <c r="AH40" i="15"/>
  <c r="U40" i="15"/>
  <c r="Y39" i="15"/>
  <c r="AA39" i="15"/>
  <c r="AC39" i="15"/>
  <c r="Z39" i="15"/>
  <c r="AD39" i="15"/>
  <c r="U39" i="15"/>
  <c r="W40" i="15"/>
  <c r="AJ37" i="15"/>
  <c r="AJ34" i="15"/>
  <c r="AJ20" i="15"/>
  <c r="AJ25" i="15"/>
  <c r="AJ36" i="15"/>
  <c r="AJ31" i="15"/>
  <c r="AJ27" i="15"/>
  <c r="AJ26" i="15"/>
  <c r="AJ33" i="15"/>
  <c r="AJ32" i="15"/>
  <c r="AJ19" i="15"/>
  <c r="AJ38" i="15"/>
  <c r="AJ28" i="15"/>
  <c r="AJ22" i="15"/>
  <c r="AJ24" i="15"/>
  <c r="AJ23" i="15"/>
  <c r="AJ29" i="15"/>
  <c r="H56" i="15"/>
  <c r="L62" i="15"/>
  <c r="L69" i="15"/>
  <c r="O50" i="15"/>
  <c r="O91" i="15"/>
  <c r="H55" i="15"/>
  <c r="C64" i="15"/>
  <c r="R78" i="15"/>
  <c r="Q68" i="15"/>
  <c r="Q82" i="15"/>
  <c r="I60" i="15"/>
  <c r="M49" i="15"/>
  <c r="K89" i="15"/>
  <c r="N58" i="15"/>
  <c r="K78" i="15"/>
  <c r="H65" i="15"/>
  <c r="K64" i="15"/>
  <c r="M84" i="15"/>
  <c r="M87" i="15"/>
  <c r="F80" i="15"/>
  <c r="L75" i="15"/>
  <c r="F94" i="15"/>
  <c r="P81" i="15"/>
  <c r="I82" i="15"/>
  <c r="D69" i="15"/>
  <c r="C70" i="15"/>
  <c r="C93" i="15"/>
  <c r="C61" i="15"/>
  <c r="C76" i="15"/>
  <c r="C51" i="15"/>
  <c r="C77" i="15"/>
  <c r="C54" i="15"/>
  <c r="C58" i="15"/>
  <c r="C83" i="15"/>
  <c r="C66" i="15"/>
  <c r="C82" i="15"/>
  <c r="C74" i="15"/>
  <c r="C79" i="15"/>
  <c r="C75" i="15"/>
  <c r="C49" i="15"/>
  <c r="C85" i="15"/>
  <c r="C81" i="15"/>
  <c r="C91" i="15"/>
  <c r="C94" i="15"/>
  <c r="C62" i="15"/>
  <c r="C60" i="15"/>
  <c r="C84" i="15"/>
  <c r="C52" i="15"/>
  <c r="C50" i="15"/>
  <c r="C68" i="15"/>
  <c r="C55" i="15"/>
  <c r="C56" i="15"/>
  <c r="C92" i="15"/>
  <c r="C53" i="15"/>
  <c r="C65" i="15"/>
  <c r="C88" i="15"/>
  <c r="C69" i="15"/>
  <c r="C90" i="15"/>
  <c r="C72" i="15"/>
  <c r="C63" i="15"/>
  <c r="C87" i="15"/>
  <c r="C59" i="15"/>
  <c r="C80" i="15"/>
  <c r="C67" i="15"/>
  <c r="C57" i="15"/>
  <c r="C86" i="15"/>
  <c r="P57" i="15"/>
  <c r="C89" i="15"/>
  <c r="I76" i="15"/>
  <c r="N94" i="15"/>
  <c r="K72" i="15"/>
  <c r="K63" i="15"/>
  <c r="K56" i="15"/>
  <c r="K59" i="15"/>
  <c r="K80" i="15"/>
  <c r="K67" i="15"/>
  <c r="K57" i="15"/>
  <c r="K61" i="15"/>
  <c r="K60" i="15"/>
  <c r="K51" i="15"/>
  <c r="K90" i="15"/>
  <c r="K86" i="15"/>
  <c r="K92" i="15"/>
  <c r="K69" i="15"/>
  <c r="K79" i="15"/>
  <c r="K77" i="15"/>
  <c r="K58" i="15"/>
  <c r="K83" i="15"/>
  <c r="K66" i="15"/>
  <c r="K74" i="15"/>
  <c r="K75" i="15"/>
  <c r="K76" i="15"/>
  <c r="K53" i="15"/>
  <c r="K49" i="15"/>
  <c r="K70" i="15"/>
  <c r="K93" i="15"/>
  <c r="K85" i="15"/>
  <c r="K81" i="15"/>
  <c r="K91" i="15"/>
  <c r="K94" i="15"/>
  <c r="K84" i="15"/>
  <c r="K65" i="15"/>
  <c r="K88" i="15"/>
  <c r="K54" i="15"/>
  <c r="K50" i="15"/>
  <c r="K68" i="15"/>
  <c r="K55" i="15"/>
  <c r="K87" i="15"/>
  <c r="K62" i="15"/>
  <c r="K82" i="15"/>
  <c r="K52" i="15"/>
  <c r="C78" i="15"/>
  <c r="H57" i="15"/>
  <c r="N88" i="15"/>
  <c r="P56" i="15"/>
  <c r="E84" i="15"/>
  <c r="J53" i="15"/>
  <c r="M59" i="15"/>
  <c r="M67" i="15"/>
  <c r="M57" i="15"/>
  <c r="M80" i="15"/>
  <c r="M83" i="15"/>
  <c r="M86" i="15"/>
  <c r="M68" i="15"/>
  <c r="M56" i="15"/>
  <c r="M75" i="15"/>
  <c r="M78" i="15"/>
  <c r="M51" i="15"/>
  <c r="M85" i="15"/>
  <c r="M62" i="15"/>
  <c r="M66" i="15"/>
  <c r="M58" i="15"/>
  <c r="M71" i="15"/>
  <c r="M61" i="15"/>
  <c r="M60" i="15"/>
  <c r="M50" i="15"/>
  <c r="M74" i="15"/>
  <c r="M64" i="15"/>
  <c r="M53" i="15"/>
  <c r="M90" i="15"/>
  <c r="M93" i="15"/>
  <c r="M94" i="15"/>
  <c r="M54" i="15"/>
  <c r="M55" i="15"/>
  <c r="M52" i="15"/>
  <c r="M82" i="15"/>
  <c r="M92" i="15"/>
  <c r="M88" i="15"/>
  <c r="M91" i="15"/>
  <c r="M63" i="15"/>
  <c r="M81" i="15"/>
  <c r="M89" i="15"/>
  <c r="M77" i="15"/>
  <c r="M72" i="15"/>
  <c r="M76" i="15"/>
  <c r="M65" i="15"/>
  <c r="M69" i="15"/>
  <c r="P66" i="15"/>
  <c r="H92" i="15"/>
  <c r="F58" i="15"/>
  <c r="H51" i="15"/>
  <c r="D90" i="15"/>
  <c r="I54" i="15"/>
  <c r="O59" i="15"/>
  <c r="K71" i="15"/>
  <c r="Q57" i="15"/>
  <c r="Q83" i="15"/>
  <c r="Q81" i="15"/>
  <c r="Q70" i="15"/>
  <c r="Q53" i="15"/>
  <c r="Q56" i="15"/>
  <c r="Q72" i="15"/>
  <c r="Q78" i="15"/>
  <c r="Q52" i="15"/>
  <c r="Q79" i="15"/>
  <c r="Q90" i="15"/>
  <c r="Q75" i="15"/>
  <c r="Q89" i="15"/>
  <c r="Q51" i="15"/>
  <c r="Q61" i="15"/>
  <c r="Q62" i="15"/>
  <c r="Q50" i="15"/>
  <c r="Q77" i="15"/>
  <c r="Q92" i="15"/>
  <c r="Q94" i="15"/>
  <c r="Q88" i="15"/>
  <c r="Q71" i="15"/>
  <c r="Q65" i="15"/>
  <c r="Q55" i="15"/>
  <c r="Q84" i="15"/>
  <c r="Q80" i="15"/>
  <c r="Q87" i="15"/>
  <c r="Q69" i="15"/>
  <c r="Q93" i="15"/>
  <c r="Q64" i="15"/>
  <c r="Q59" i="15"/>
  <c r="Q91" i="15"/>
  <c r="Q58" i="15"/>
  <c r="Q85" i="15"/>
  <c r="Q74" i="15"/>
  <c r="Q86" i="15"/>
  <c r="Q66" i="15"/>
  <c r="Q49" i="15"/>
  <c r="Q67" i="15"/>
  <c r="E49" i="15"/>
  <c r="N80" i="15"/>
  <c r="E87" i="15"/>
  <c r="Q63" i="15"/>
  <c r="E70" i="15"/>
  <c r="Q54" i="15"/>
  <c r="P92" i="15"/>
  <c r="M79" i="15"/>
  <c r="G49" i="15"/>
  <c r="G94" i="15"/>
  <c r="G57" i="15"/>
  <c r="G75" i="15"/>
  <c r="G64" i="15"/>
  <c r="G76" i="15"/>
  <c r="G56" i="15"/>
  <c r="G58" i="15"/>
  <c r="G62" i="15"/>
  <c r="G61" i="15"/>
  <c r="G66" i="15"/>
  <c r="G92" i="15"/>
  <c r="G60" i="15"/>
  <c r="G74" i="15"/>
  <c r="G89" i="15"/>
  <c r="G77" i="15"/>
  <c r="G81" i="15"/>
  <c r="G80" i="15"/>
  <c r="G90" i="15"/>
  <c r="G71" i="15"/>
  <c r="G68" i="15"/>
  <c r="G51" i="15"/>
  <c r="G84" i="15"/>
  <c r="G53" i="15"/>
  <c r="G67" i="15"/>
  <c r="G86" i="15"/>
  <c r="G55" i="15"/>
  <c r="G70" i="15"/>
  <c r="G54" i="15"/>
  <c r="G83" i="15"/>
  <c r="G87" i="15"/>
  <c r="G52" i="15"/>
  <c r="G82" i="15"/>
  <c r="G88" i="15"/>
  <c r="G65" i="15"/>
  <c r="G79" i="15"/>
  <c r="G63" i="15"/>
  <c r="G69" i="15"/>
  <c r="G93" i="15"/>
  <c r="G78" i="15"/>
  <c r="Q76" i="15"/>
  <c r="I53" i="15"/>
  <c r="I64" i="15"/>
  <c r="I56" i="15"/>
  <c r="I72" i="15"/>
  <c r="I84" i="15"/>
  <c r="I65" i="15"/>
  <c r="I80" i="15"/>
  <c r="I87" i="15"/>
  <c r="I69" i="15"/>
  <c r="I78" i="15"/>
  <c r="I52" i="15"/>
  <c r="I75" i="15"/>
  <c r="I89" i="15"/>
  <c r="I49" i="15"/>
  <c r="I51" i="15"/>
  <c r="I90" i="15"/>
  <c r="I61" i="15"/>
  <c r="I62" i="15"/>
  <c r="I50" i="15"/>
  <c r="I91" i="15"/>
  <c r="I58" i="15"/>
  <c r="I59" i="15"/>
  <c r="I55" i="15"/>
  <c r="I86" i="15"/>
  <c r="I66" i="15"/>
  <c r="I88" i="15"/>
  <c r="I71" i="15"/>
  <c r="I93" i="15"/>
  <c r="I70" i="15"/>
  <c r="I57" i="15"/>
  <c r="I79" i="15"/>
  <c r="I85" i="15"/>
  <c r="I74" i="15"/>
  <c r="I92" i="15"/>
  <c r="I77" i="15"/>
  <c r="I83" i="15"/>
  <c r="I81" i="15"/>
  <c r="I94" i="15"/>
  <c r="D75" i="15"/>
  <c r="G50" i="15"/>
  <c r="E79" i="15"/>
  <c r="G85" i="15"/>
  <c r="P55" i="15"/>
  <c r="O52" i="15"/>
  <c r="O82" i="15"/>
  <c r="O76" i="15"/>
  <c r="O83" i="15"/>
  <c r="O87" i="15"/>
  <c r="O63" i="15"/>
  <c r="O57" i="15"/>
  <c r="O49" i="15"/>
  <c r="O75" i="15"/>
  <c r="O88" i="15"/>
  <c r="O69" i="15"/>
  <c r="O64" i="15"/>
  <c r="O56" i="15"/>
  <c r="O58" i="15"/>
  <c r="O62" i="15"/>
  <c r="O61" i="15"/>
  <c r="O66" i="15"/>
  <c r="O92" i="15"/>
  <c r="O74" i="15"/>
  <c r="O54" i="15"/>
  <c r="O79" i="15"/>
  <c r="O60" i="15"/>
  <c r="O78" i="15"/>
  <c r="O51" i="15"/>
  <c r="O84" i="15"/>
  <c r="O86" i="15"/>
  <c r="O70" i="15"/>
  <c r="O94" i="15"/>
  <c r="O77" i="15"/>
  <c r="O81" i="15"/>
  <c r="O80" i="15"/>
  <c r="O65" i="15"/>
  <c r="O55" i="15"/>
  <c r="O53" i="15"/>
  <c r="O67" i="15"/>
  <c r="O89" i="15"/>
  <c r="O90" i="15"/>
  <c r="O71" i="15"/>
  <c r="O68" i="15"/>
  <c r="O93" i="15"/>
  <c r="Q60" i="15"/>
  <c r="C71" i="15"/>
  <c r="I67" i="15"/>
  <c r="O72" i="15"/>
  <c r="J63" i="15"/>
  <c r="J62" i="15"/>
  <c r="J89" i="15"/>
  <c r="J67" i="15"/>
  <c r="J91" i="15"/>
  <c r="J69" i="15"/>
  <c r="J71" i="15"/>
  <c r="J76" i="15"/>
  <c r="J60" i="15"/>
  <c r="J51" i="15"/>
  <c r="J78" i="15"/>
  <c r="J88" i="15"/>
  <c r="J70" i="15"/>
  <c r="J64" i="15"/>
  <c r="J75" i="15"/>
  <c r="J54" i="15"/>
  <c r="J56" i="15"/>
  <c r="J57" i="15"/>
  <c r="J81" i="15"/>
  <c r="J80" i="15"/>
  <c r="J87" i="15"/>
  <c r="J90" i="15"/>
  <c r="J65" i="15"/>
  <c r="J49" i="15"/>
  <c r="J55" i="15"/>
  <c r="J72" i="15"/>
  <c r="J58" i="15"/>
  <c r="J79" i="15"/>
  <c r="J66" i="15"/>
  <c r="J85" i="15"/>
  <c r="J94" i="15"/>
  <c r="J50" i="15"/>
  <c r="J84" i="15"/>
  <c r="J92" i="15"/>
  <c r="J59" i="15"/>
  <c r="J82" i="15"/>
  <c r="J68" i="15"/>
  <c r="J74" i="15"/>
  <c r="J93" i="15"/>
  <c r="F52" i="15"/>
  <c r="F72" i="15"/>
  <c r="F62" i="15"/>
  <c r="F75" i="15"/>
  <c r="F64" i="15"/>
  <c r="F63" i="15"/>
  <c r="F85" i="15"/>
  <c r="F84" i="15"/>
  <c r="F91" i="15"/>
  <c r="F57" i="15"/>
  <c r="F60" i="15"/>
  <c r="F51" i="15"/>
  <c r="F83" i="15"/>
  <c r="F78" i="15"/>
  <c r="F68" i="15"/>
  <c r="F92" i="15"/>
  <c r="F54" i="15"/>
  <c r="F56" i="15"/>
  <c r="F50" i="15"/>
  <c r="F66" i="15"/>
  <c r="F65" i="15"/>
  <c r="F55" i="15"/>
  <c r="F81" i="15"/>
  <c r="F77" i="15"/>
  <c r="F70" i="15"/>
  <c r="F87" i="15"/>
  <c r="F76" i="15"/>
  <c r="F79" i="15"/>
  <c r="F93" i="15"/>
  <c r="F59" i="15"/>
  <c r="F89" i="15"/>
  <c r="F49" i="15"/>
  <c r="F71" i="15"/>
  <c r="F53" i="15"/>
  <c r="F86" i="15"/>
  <c r="F67" i="15"/>
  <c r="F69" i="15"/>
  <c r="F61" i="15"/>
  <c r="F82" i="15"/>
  <c r="F90" i="15"/>
  <c r="H86" i="15"/>
  <c r="H61" i="15"/>
  <c r="H52" i="15"/>
  <c r="H89" i="15"/>
  <c r="H63" i="15"/>
  <c r="H94" i="15"/>
  <c r="H64" i="15"/>
  <c r="H83" i="15"/>
  <c r="H74" i="15"/>
  <c r="H58" i="15"/>
  <c r="H78" i="15"/>
  <c r="H75" i="15"/>
  <c r="H77" i="15"/>
  <c r="H76" i="15"/>
  <c r="H50" i="15"/>
  <c r="H91" i="15"/>
  <c r="H70" i="15"/>
  <c r="H62" i="15"/>
  <c r="H60" i="15"/>
  <c r="H59" i="15"/>
  <c r="H72" i="15"/>
  <c r="H79" i="15"/>
  <c r="H71" i="15"/>
  <c r="H88" i="15"/>
  <c r="H68" i="15"/>
  <c r="H67" i="15"/>
  <c r="H85" i="15"/>
  <c r="H84" i="15"/>
  <c r="H53" i="15"/>
  <c r="H82" i="15"/>
  <c r="H87" i="15"/>
  <c r="H54" i="15"/>
  <c r="H80" i="15"/>
  <c r="H49" i="15"/>
  <c r="H93" i="15"/>
  <c r="H90" i="15"/>
  <c r="H69" i="15"/>
  <c r="J83" i="15"/>
  <c r="M70" i="15"/>
  <c r="G91" i="15"/>
  <c r="L49" i="15"/>
  <c r="L65" i="15"/>
  <c r="L64" i="15"/>
  <c r="L74" i="15"/>
  <c r="L56" i="15"/>
  <c r="L61" i="15"/>
  <c r="L60" i="15"/>
  <c r="L55" i="15"/>
  <c r="L86" i="15"/>
  <c r="L76" i="15"/>
  <c r="L94" i="15"/>
  <c r="L53" i="15"/>
  <c r="L54" i="15"/>
  <c r="L57" i="15"/>
  <c r="L71" i="15"/>
  <c r="L51" i="15"/>
  <c r="L80" i="15"/>
  <c r="L66" i="15"/>
  <c r="L79" i="15"/>
  <c r="L78" i="15"/>
  <c r="L82" i="15"/>
  <c r="L92" i="15"/>
  <c r="L77" i="15"/>
  <c r="L85" i="15"/>
  <c r="L63" i="15"/>
  <c r="L68" i="15"/>
  <c r="L72" i="15"/>
  <c r="L58" i="15"/>
  <c r="L67" i="15"/>
  <c r="L70" i="15"/>
  <c r="L93" i="15"/>
  <c r="L52" i="15"/>
  <c r="L81" i="15"/>
  <c r="L91" i="15"/>
  <c r="L88" i="15"/>
  <c r="L87" i="15"/>
  <c r="L50" i="15"/>
  <c r="L89" i="15"/>
  <c r="L83" i="15"/>
  <c r="L59" i="15"/>
  <c r="L84" i="15"/>
  <c r="F74" i="15"/>
  <c r="O85" i="15"/>
  <c r="P80" i="15"/>
  <c r="P86" i="15"/>
  <c r="P77" i="15"/>
  <c r="P64" i="15"/>
  <c r="P83" i="15"/>
  <c r="P53" i="15"/>
  <c r="P88" i="15"/>
  <c r="P61" i="15"/>
  <c r="P58" i="15"/>
  <c r="P78" i="15"/>
  <c r="P75" i="15"/>
  <c r="P52" i="15"/>
  <c r="P76" i="15"/>
  <c r="P50" i="15"/>
  <c r="P54" i="15"/>
  <c r="P49" i="15"/>
  <c r="P82" i="15"/>
  <c r="P84" i="15"/>
  <c r="P87" i="15"/>
  <c r="P69" i="15"/>
  <c r="P60" i="15"/>
  <c r="P59" i="15"/>
  <c r="P79" i="15"/>
  <c r="P90" i="15"/>
  <c r="P71" i="15"/>
  <c r="P68" i="15"/>
  <c r="P72" i="15"/>
  <c r="P89" i="15"/>
  <c r="P94" i="15"/>
  <c r="P63" i="15"/>
  <c r="P62" i="15"/>
  <c r="P91" i="15"/>
  <c r="P67" i="15"/>
  <c r="P85" i="15"/>
  <c r="P74" i="15"/>
  <c r="P93" i="15"/>
  <c r="P70" i="15"/>
  <c r="E56" i="15"/>
  <c r="E82" i="15"/>
  <c r="E92" i="15"/>
  <c r="E91" i="15"/>
  <c r="E75" i="15"/>
  <c r="E78" i="15"/>
  <c r="E51" i="15"/>
  <c r="E85" i="15"/>
  <c r="E62" i="15"/>
  <c r="E66" i="15"/>
  <c r="E71" i="15"/>
  <c r="E61" i="15"/>
  <c r="E60" i="15"/>
  <c r="E63" i="15"/>
  <c r="E81" i="15"/>
  <c r="E89" i="15"/>
  <c r="E77" i="15"/>
  <c r="E54" i="15"/>
  <c r="E58" i="15"/>
  <c r="E52" i="15"/>
  <c r="E55" i="15"/>
  <c r="E88" i="15"/>
  <c r="E57" i="15"/>
  <c r="E80" i="15"/>
  <c r="E72" i="15"/>
  <c r="E64" i="15"/>
  <c r="E74" i="15"/>
  <c r="E93" i="15"/>
  <c r="E59" i="15"/>
  <c r="E67" i="15"/>
  <c r="E83" i="15"/>
  <c r="E86" i="15"/>
  <c r="E68" i="15"/>
  <c r="E94" i="15"/>
  <c r="E50" i="15"/>
  <c r="E53" i="15"/>
  <c r="E76" i="15"/>
  <c r="E65" i="15"/>
  <c r="E69" i="15"/>
  <c r="E90" i="15"/>
  <c r="G59" i="15"/>
  <c r="J52" i="15"/>
  <c r="D64" i="15"/>
  <c r="D85" i="15"/>
  <c r="D93" i="15"/>
  <c r="D63" i="15"/>
  <c r="D56" i="15"/>
  <c r="D94" i="15"/>
  <c r="D61" i="15"/>
  <c r="D77" i="15"/>
  <c r="D54" i="15"/>
  <c r="D57" i="15"/>
  <c r="D71" i="15"/>
  <c r="D51" i="15"/>
  <c r="D50" i="15"/>
  <c r="D89" i="15"/>
  <c r="D68" i="15"/>
  <c r="D70" i="15"/>
  <c r="D58" i="15"/>
  <c r="D80" i="15"/>
  <c r="D72" i="15"/>
  <c r="D52" i="15"/>
  <c r="D53" i="15"/>
  <c r="D83" i="15"/>
  <c r="D81" i="15"/>
  <c r="D91" i="15"/>
  <c r="D88" i="15"/>
  <c r="D86" i="15"/>
  <c r="D60" i="15"/>
  <c r="D74" i="15"/>
  <c r="D67" i="15"/>
  <c r="D76" i="15"/>
  <c r="D49" i="15"/>
  <c r="D66" i="15"/>
  <c r="D82" i="15"/>
  <c r="D92" i="15"/>
  <c r="D87" i="15"/>
  <c r="D65" i="15"/>
  <c r="D55" i="15"/>
  <c r="D59" i="15"/>
  <c r="D84" i="15"/>
  <c r="D79" i="15"/>
  <c r="D78" i="15"/>
  <c r="N53" i="15"/>
  <c r="N87" i="15"/>
  <c r="N71" i="15"/>
  <c r="N52" i="15"/>
  <c r="N51" i="15"/>
  <c r="N55" i="15"/>
  <c r="N72" i="15"/>
  <c r="N64" i="15"/>
  <c r="N86" i="15"/>
  <c r="N76" i="15"/>
  <c r="N79" i="15"/>
  <c r="N89" i="15"/>
  <c r="N93" i="15"/>
  <c r="N60" i="15"/>
  <c r="N83" i="15"/>
  <c r="N78" i="15"/>
  <c r="N68" i="15"/>
  <c r="N54" i="15"/>
  <c r="N56" i="15"/>
  <c r="N81" i="15"/>
  <c r="N92" i="15"/>
  <c r="N49" i="15"/>
  <c r="N75" i="15"/>
  <c r="N61" i="15"/>
  <c r="N82" i="15"/>
  <c r="N90" i="15"/>
  <c r="N77" i="15"/>
  <c r="N70" i="15"/>
  <c r="N65" i="15"/>
  <c r="N63" i="15"/>
  <c r="N85" i="15"/>
  <c r="N84" i="15"/>
  <c r="N50" i="15"/>
  <c r="N57" i="15"/>
  <c r="N59" i="15"/>
  <c r="N66" i="15"/>
  <c r="N62" i="15"/>
  <c r="N91" i="15"/>
  <c r="N67" i="15"/>
  <c r="N69" i="15"/>
  <c r="N74" i="15"/>
  <c r="H66" i="15"/>
  <c r="I68" i="15"/>
  <c r="P65" i="15"/>
  <c r="F88" i="15"/>
  <c r="J77" i="15"/>
  <c r="L90" i="15"/>
  <c r="J86" i="15"/>
  <c r="AE43" i="15" l="1"/>
  <c r="M185" i="15" s="1"/>
  <c r="M192" i="15" s="1"/>
  <c r="AJ39" i="15"/>
  <c r="AJ40" i="15"/>
  <c r="AF43" i="15"/>
  <c r="N185" i="15" s="1"/>
  <c r="N192" i="15" s="1"/>
  <c r="AA43" i="15"/>
  <c r="I185" i="15" s="1"/>
  <c r="I192" i="15" s="1"/>
  <c r="AH43" i="15"/>
  <c r="P185" i="15" s="1"/>
  <c r="P192" i="15" s="1"/>
  <c r="W43" i="15"/>
  <c r="E185" i="15" s="1"/>
  <c r="E192" i="15" s="1"/>
  <c r="Y43" i="15"/>
  <c r="G185" i="15" s="1"/>
  <c r="G192" i="15" s="1"/>
  <c r="X43" i="15"/>
  <c r="F185" i="15" s="1"/>
  <c r="F192" i="15" s="1"/>
  <c r="AC43" i="15"/>
  <c r="K185" i="15" s="1"/>
  <c r="K192" i="15" s="1"/>
  <c r="AI43" i="15"/>
  <c r="Q185" i="15" s="1"/>
  <c r="Q192" i="15" s="1"/>
  <c r="U43" i="15"/>
  <c r="C185" i="15" s="1"/>
  <c r="Z43" i="15"/>
  <c r="H185" i="15" s="1"/>
  <c r="H192" i="15" s="1"/>
  <c r="V43" i="15"/>
  <c r="D185" i="15" s="1"/>
  <c r="D192" i="15" s="1"/>
  <c r="AG43" i="15"/>
  <c r="O185" i="15" s="1"/>
  <c r="O192" i="15" s="1"/>
  <c r="AB43" i="15"/>
  <c r="J185" i="15" s="1"/>
  <c r="J192" i="15" s="1"/>
  <c r="AD43" i="15"/>
  <c r="L185" i="15" s="1"/>
  <c r="L192" i="15" s="1"/>
  <c r="R92" i="15"/>
  <c r="R61" i="15"/>
  <c r="R63" i="15"/>
  <c r="R60" i="15"/>
  <c r="R82" i="15"/>
  <c r="R57" i="15"/>
  <c r="D30" i="15"/>
  <c r="O30" i="15"/>
  <c r="Q30" i="15"/>
  <c r="E30" i="15"/>
  <c r="P30" i="15"/>
  <c r="O28" i="15"/>
  <c r="G30" i="15"/>
  <c r="M30" i="15"/>
  <c r="K30" i="15"/>
  <c r="L30" i="15"/>
  <c r="R87" i="15"/>
  <c r="R85" i="15"/>
  <c r="I30" i="15"/>
  <c r="H30" i="15"/>
  <c r="G28" i="15"/>
  <c r="M37" i="15"/>
  <c r="R66" i="15"/>
  <c r="R77" i="15"/>
  <c r="N30" i="15"/>
  <c r="F30" i="15"/>
  <c r="J30" i="15"/>
  <c r="C21" i="15"/>
  <c r="R56" i="15"/>
  <c r="R64" i="15"/>
  <c r="R91" i="15"/>
  <c r="R93" i="15"/>
  <c r="R65" i="15"/>
  <c r="R54" i="15"/>
  <c r="P20" i="15"/>
  <c r="R53" i="15"/>
  <c r="R67" i="15"/>
  <c r="R90" i="15"/>
  <c r="R76" i="15"/>
  <c r="R55" i="15"/>
  <c r="R58" i="15"/>
  <c r="R50" i="15"/>
  <c r="R72" i="15"/>
  <c r="R80" i="15"/>
  <c r="R89" i="15"/>
  <c r="R49" i="15"/>
  <c r="R51" i="15"/>
  <c r="R83" i="15"/>
  <c r="R75" i="15"/>
  <c r="R71" i="15"/>
  <c r="R81" i="15"/>
  <c r="R52" i="15"/>
  <c r="R21" i="15" s="1"/>
  <c r="R79" i="15"/>
  <c r="R59" i="15"/>
  <c r="R62" i="15"/>
  <c r="R69" i="15"/>
  <c r="R84" i="15"/>
  <c r="R86" i="15"/>
  <c r="R35" i="15" s="1"/>
  <c r="R68" i="15"/>
  <c r="R30" i="15" s="1"/>
  <c r="R94" i="15"/>
  <c r="R70" i="15"/>
  <c r="R74" i="15"/>
  <c r="R88" i="15"/>
  <c r="D28" i="15"/>
  <c r="F35" i="15"/>
  <c r="F29" i="15"/>
  <c r="O26" i="15"/>
  <c r="I26" i="15"/>
  <c r="N38" i="15"/>
  <c r="N35" i="15"/>
  <c r="D36" i="15"/>
  <c r="D21" i="15"/>
  <c r="D22" i="15"/>
  <c r="E33" i="15"/>
  <c r="E232" i="15" s="1"/>
  <c r="E26" i="15"/>
  <c r="E38" i="15"/>
  <c r="P33" i="15"/>
  <c r="P232" i="15" s="1"/>
  <c r="P32" i="15"/>
  <c r="L32" i="15"/>
  <c r="L24" i="15"/>
  <c r="H19" i="15"/>
  <c r="H22" i="15"/>
  <c r="H35" i="15"/>
  <c r="F22" i="15"/>
  <c r="O37" i="15"/>
  <c r="G21" i="15"/>
  <c r="G24" i="15"/>
  <c r="Q38" i="15"/>
  <c r="P29" i="15"/>
  <c r="M21" i="15"/>
  <c r="M28" i="15"/>
  <c r="M23" i="15"/>
  <c r="K32" i="15"/>
  <c r="K25" i="15"/>
  <c r="K23" i="15"/>
  <c r="K34" i="15"/>
  <c r="O23" i="15"/>
  <c r="N19" i="15"/>
  <c r="D32" i="15"/>
  <c r="E35" i="15"/>
  <c r="H34" i="15"/>
  <c r="J26" i="15"/>
  <c r="I33" i="15"/>
  <c r="I232" i="15" s="1"/>
  <c r="H29" i="15"/>
  <c r="N25" i="15"/>
  <c r="N21" i="15"/>
  <c r="D38" i="15"/>
  <c r="D24" i="15"/>
  <c r="E24" i="15"/>
  <c r="P21" i="15"/>
  <c r="L21" i="15"/>
  <c r="L38" i="15"/>
  <c r="L28" i="15"/>
  <c r="L33" i="15"/>
  <c r="L232" i="15" s="1"/>
  <c r="H23" i="15"/>
  <c r="H32" i="15"/>
  <c r="H37" i="15"/>
  <c r="F38" i="15"/>
  <c r="F32" i="15"/>
  <c r="F21" i="15"/>
  <c r="J31" i="15"/>
  <c r="O34" i="15"/>
  <c r="O24" i="15"/>
  <c r="O22" i="15"/>
  <c r="I21" i="15"/>
  <c r="Q33" i="15"/>
  <c r="Q232" i="15" s="1"/>
  <c r="G31" i="15"/>
  <c r="G38" i="15"/>
  <c r="G33" i="15"/>
  <c r="G232" i="15" s="1"/>
  <c r="M38" i="15"/>
  <c r="K33" i="15"/>
  <c r="K232" i="15" s="1"/>
  <c r="C38" i="15"/>
  <c r="M36" i="15"/>
  <c r="I25" i="15"/>
  <c r="L26" i="15"/>
  <c r="N33" i="15"/>
  <c r="N232" i="15" s="1"/>
  <c r="D27" i="15"/>
  <c r="H20" i="15"/>
  <c r="F36" i="15"/>
  <c r="F24" i="15"/>
  <c r="J25" i="15"/>
  <c r="O32" i="15"/>
  <c r="G25" i="15"/>
  <c r="M35" i="15"/>
  <c r="L31" i="15"/>
  <c r="N24" i="15"/>
  <c r="N34" i="15"/>
  <c r="N23" i="15"/>
  <c r="D20" i="15"/>
  <c r="J21" i="15"/>
  <c r="E25" i="15"/>
  <c r="P37" i="15"/>
  <c r="L22" i="15"/>
  <c r="L35" i="15"/>
  <c r="H33" i="15"/>
  <c r="H232" i="15" s="1"/>
  <c r="M20" i="15"/>
  <c r="J19" i="15"/>
  <c r="J36" i="15"/>
  <c r="J24" i="15"/>
  <c r="O35" i="15"/>
  <c r="O27" i="15"/>
  <c r="O36" i="15"/>
  <c r="O33" i="15"/>
  <c r="O232" i="15" s="1"/>
  <c r="I20" i="15"/>
  <c r="I19" i="15"/>
  <c r="G34" i="15"/>
  <c r="G36" i="15"/>
  <c r="G35" i="15"/>
  <c r="G27" i="15"/>
  <c r="Q19" i="15"/>
  <c r="Q27" i="15"/>
  <c r="Q28" i="15"/>
  <c r="E32" i="15"/>
  <c r="M31" i="15"/>
  <c r="M29" i="15"/>
  <c r="K31" i="15"/>
  <c r="K37" i="15"/>
  <c r="H24" i="15"/>
  <c r="N20" i="15"/>
  <c r="D33" i="15"/>
  <c r="D232" i="15" s="1"/>
  <c r="P36" i="15"/>
  <c r="J32" i="15"/>
  <c r="G22" i="15"/>
  <c r="N26" i="15"/>
  <c r="N37" i="15"/>
  <c r="N27" i="15"/>
  <c r="N36" i="15"/>
  <c r="D34" i="15"/>
  <c r="D29" i="15"/>
  <c r="E28" i="15"/>
  <c r="E22" i="15"/>
  <c r="E37" i="15"/>
  <c r="E34" i="15"/>
  <c r="L34" i="15"/>
  <c r="L27" i="15"/>
  <c r="H25" i="15"/>
  <c r="F19" i="15"/>
  <c r="F34" i="15"/>
  <c r="F25" i="15"/>
  <c r="F27" i="15"/>
  <c r="J23" i="15"/>
  <c r="J28" i="15"/>
  <c r="O25" i="15"/>
  <c r="O38" i="15"/>
  <c r="O31" i="15"/>
  <c r="I37" i="15"/>
  <c r="G29" i="15"/>
  <c r="Q32" i="15"/>
  <c r="Q23" i="15"/>
  <c r="M22" i="15"/>
  <c r="P24" i="15"/>
  <c r="K26" i="15"/>
  <c r="K28" i="15"/>
  <c r="K22" i="15"/>
  <c r="K38" i="15"/>
  <c r="K27" i="15"/>
  <c r="E23" i="15"/>
  <c r="Q25" i="15"/>
  <c r="N31" i="15"/>
  <c r="N28" i="15"/>
  <c r="D25" i="15"/>
  <c r="P19" i="15"/>
  <c r="L20" i="15"/>
  <c r="L36" i="15"/>
  <c r="L19" i="15"/>
  <c r="H31" i="15"/>
  <c r="H28" i="15"/>
  <c r="H26" i="15"/>
  <c r="H27" i="15"/>
  <c r="H21" i="15"/>
  <c r="F31" i="15"/>
  <c r="J29" i="15"/>
  <c r="J34" i="15"/>
  <c r="J37" i="15"/>
  <c r="I29" i="15"/>
  <c r="I23" i="15"/>
  <c r="I34" i="15"/>
  <c r="G32" i="15"/>
  <c r="E36" i="15"/>
  <c r="Q29" i="15"/>
  <c r="Q20" i="15"/>
  <c r="Q24" i="15"/>
  <c r="M33" i="15"/>
  <c r="M232" i="15" s="1"/>
  <c r="M27" i="15"/>
  <c r="K36" i="15"/>
  <c r="K19" i="15"/>
  <c r="K35" i="15"/>
  <c r="G23" i="15"/>
  <c r="M19" i="15"/>
  <c r="N32" i="15"/>
  <c r="P27" i="15"/>
  <c r="O19" i="15"/>
  <c r="I36" i="15"/>
  <c r="E19" i="15"/>
  <c r="D31" i="15"/>
  <c r="J35" i="15"/>
  <c r="N29" i="15"/>
  <c r="D35" i="15"/>
  <c r="E29" i="15"/>
  <c r="P28" i="15"/>
  <c r="P22" i="15"/>
  <c r="P25" i="15"/>
  <c r="P35" i="15"/>
  <c r="L37" i="15"/>
  <c r="L25" i="15"/>
  <c r="L23" i="15"/>
  <c r="F37" i="15"/>
  <c r="F33" i="15"/>
  <c r="F232" i="15" s="1"/>
  <c r="F20" i="15"/>
  <c r="F28" i="15"/>
  <c r="F23" i="15"/>
  <c r="F26" i="15"/>
  <c r="J27" i="15"/>
  <c r="J33" i="15"/>
  <c r="J232" i="15" s="1"/>
  <c r="O29" i="15"/>
  <c r="O21" i="15"/>
  <c r="I38" i="15"/>
  <c r="I35" i="15"/>
  <c r="I24" i="15"/>
  <c r="G37" i="15"/>
  <c r="G26" i="15"/>
  <c r="G20" i="15"/>
  <c r="G19" i="15"/>
  <c r="M32" i="15"/>
  <c r="Q35" i="15"/>
  <c r="Q31" i="15"/>
  <c r="Q26" i="15"/>
  <c r="Q37" i="15"/>
  <c r="Q21" i="15"/>
  <c r="H38" i="15"/>
  <c r="M26" i="15"/>
  <c r="M34" i="15"/>
  <c r="M24" i="15"/>
  <c r="E20" i="15"/>
  <c r="K20" i="15"/>
  <c r="K24" i="15"/>
  <c r="Q22" i="15"/>
  <c r="D26" i="15"/>
  <c r="E21" i="15"/>
  <c r="N22" i="15"/>
  <c r="D23" i="15"/>
  <c r="D19" i="15"/>
  <c r="D37" i="15"/>
  <c r="E31" i="15"/>
  <c r="E27" i="15"/>
  <c r="P26" i="15"/>
  <c r="P31" i="15"/>
  <c r="P34" i="15"/>
  <c r="P23" i="15"/>
  <c r="L29" i="15"/>
  <c r="H36" i="15"/>
  <c r="J38" i="15"/>
  <c r="J20" i="15"/>
  <c r="J22" i="15"/>
  <c r="O20" i="15"/>
  <c r="I32" i="15"/>
  <c r="I28" i="15"/>
  <c r="I31" i="15"/>
  <c r="I27" i="15"/>
  <c r="P38" i="15"/>
  <c r="Q36" i="15"/>
  <c r="Q34" i="15"/>
  <c r="M25" i="15"/>
  <c r="K21" i="15"/>
  <c r="K29" i="15"/>
  <c r="I22" i="15"/>
  <c r="C28" i="15"/>
  <c r="C31" i="15"/>
  <c r="C37" i="15"/>
  <c r="C36" i="15"/>
  <c r="C35" i="15"/>
  <c r="C33" i="15"/>
  <c r="C232" i="15" s="1"/>
  <c r="C32" i="15"/>
  <c r="C27" i="15"/>
  <c r="C26" i="15"/>
  <c r="C25" i="15"/>
  <c r="C24" i="15"/>
  <c r="C23" i="15"/>
  <c r="C22" i="15"/>
  <c r="C19" i="15"/>
  <c r="C30" i="15"/>
  <c r="C20" i="15"/>
  <c r="C29" i="15"/>
  <c r="C34" i="15"/>
  <c r="F95" i="15"/>
  <c r="M95" i="15"/>
  <c r="C95" i="15"/>
  <c r="N95" i="15"/>
  <c r="L95" i="15"/>
  <c r="J95" i="15"/>
  <c r="I95" i="15"/>
  <c r="Q95" i="15"/>
  <c r="E95" i="15"/>
  <c r="G95" i="15"/>
  <c r="D95" i="15"/>
  <c r="P95" i="15"/>
  <c r="H95" i="15"/>
  <c r="O95" i="15"/>
  <c r="K95" i="1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M41" i="15" l="1"/>
  <c r="H41" i="15"/>
  <c r="L41" i="15"/>
  <c r="L42" i="15"/>
  <c r="G42" i="15"/>
  <c r="J42" i="15"/>
  <c r="O42" i="15"/>
  <c r="P42" i="15"/>
  <c r="E41" i="15"/>
  <c r="F41" i="15"/>
  <c r="K42" i="15"/>
  <c r="D41" i="15"/>
  <c r="K41" i="15"/>
  <c r="C41" i="15"/>
  <c r="I42" i="15"/>
  <c r="M42" i="15"/>
  <c r="O41" i="15"/>
  <c r="H42" i="15"/>
  <c r="Q42" i="15"/>
  <c r="F42" i="15"/>
  <c r="I41" i="15"/>
  <c r="G41" i="15"/>
  <c r="D42" i="15"/>
  <c r="P41" i="15"/>
  <c r="C42" i="15"/>
  <c r="E42" i="15"/>
  <c r="J41" i="15"/>
  <c r="N42" i="15"/>
  <c r="Q41" i="15"/>
  <c r="N41" i="15"/>
  <c r="D40" i="15"/>
  <c r="E40" i="15"/>
  <c r="I40" i="15"/>
  <c r="K40" i="15"/>
  <c r="L40" i="15"/>
  <c r="C40" i="15"/>
  <c r="F40" i="15"/>
  <c r="P40" i="15"/>
  <c r="N40" i="15"/>
  <c r="Q40" i="15"/>
  <c r="G40" i="15"/>
  <c r="H40" i="15"/>
  <c r="M40" i="15"/>
  <c r="O40" i="15"/>
  <c r="J40" i="15"/>
  <c r="C192" i="15"/>
  <c r="B185" i="15"/>
  <c r="B192" i="15" s="1"/>
  <c r="AJ43" i="15"/>
  <c r="AG117" i="15"/>
  <c r="T117" i="15"/>
  <c r="W117" i="15"/>
  <c r="U117" i="15"/>
  <c r="AH117" i="15"/>
  <c r="AH119" i="15"/>
  <c r="AD117" i="15"/>
  <c r="AF117" i="15"/>
  <c r="Y117" i="15"/>
  <c r="AB117" i="15"/>
  <c r="AA117" i="15"/>
  <c r="AC117" i="15"/>
  <c r="V117" i="15"/>
  <c r="X117" i="15"/>
  <c r="AE117" i="15"/>
  <c r="Z117" i="15"/>
  <c r="C102" i="15"/>
  <c r="G103" i="15"/>
  <c r="H114" i="15"/>
  <c r="Q102" i="15"/>
  <c r="N107" i="15"/>
  <c r="L117" i="15"/>
  <c r="N104" i="15"/>
  <c r="N102" i="15"/>
  <c r="M104" i="15"/>
  <c r="H105" i="15"/>
  <c r="M113" i="15"/>
  <c r="E113" i="15"/>
  <c r="C107" i="15"/>
  <c r="J103" i="15"/>
  <c r="E110" i="15"/>
  <c r="Q105" i="15"/>
  <c r="Q104" i="15"/>
  <c r="G109" i="15"/>
  <c r="J110" i="15"/>
  <c r="L108" i="15"/>
  <c r="N112" i="15"/>
  <c r="M102" i="15"/>
  <c r="Q103" i="15"/>
  <c r="L102" i="15"/>
  <c r="E106" i="15"/>
  <c r="Q106" i="15"/>
  <c r="J106" i="15"/>
  <c r="G110" i="15"/>
  <c r="O110" i="15"/>
  <c r="L105" i="15"/>
  <c r="L114" i="15"/>
  <c r="D110" i="15"/>
  <c r="G117" i="15"/>
  <c r="J114" i="15"/>
  <c r="N108" i="15"/>
  <c r="O106" i="15"/>
  <c r="P112" i="15"/>
  <c r="H102" i="15"/>
  <c r="D105" i="15"/>
  <c r="N113" i="15"/>
  <c r="C112" i="15"/>
  <c r="C108" i="15"/>
  <c r="C114" i="15"/>
  <c r="E114" i="15"/>
  <c r="K107" i="15"/>
  <c r="F109" i="15"/>
  <c r="G106" i="15"/>
  <c r="Q112" i="15"/>
  <c r="J112" i="15"/>
  <c r="K110" i="15"/>
  <c r="F110" i="15"/>
  <c r="N109" i="15"/>
  <c r="K114" i="15"/>
  <c r="N117" i="15"/>
  <c r="F104" i="15"/>
  <c r="H112" i="15"/>
  <c r="L107" i="15"/>
  <c r="D104" i="15"/>
  <c r="G113" i="15"/>
  <c r="Q113" i="15"/>
  <c r="C106" i="15"/>
  <c r="J105" i="15"/>
  <c r="D109" i="15"/>
  <c r="J117" i="15"/>
  <c r="M105" i="15"/>
  <c r="N110" i="15"/>
  <c r="H103" i="15"/>
  <c r="E117" i="15"/>
  <c r="C103" i="15"/>
  <c r="K103" i="15"/>
  <c r="I107" i="15"/>
  <c r="L103" i="15"/>
  <c r="G112" i="15"/>
  <c r="E105" i="15"/>
  <c r="M112" i="15"/>
  <c r="J107" i="15"/>
  <c r="G108" i="15"/>
  <c r="I117" i="15"/>
  <c r="G107" i="15"/>
  <c r="C104" i="15"/>
  <c r="C113" i="15"/>
  <c r="C110" i="15"/>
  <c r="I105" i="15"/>
  <c r="I114" i="15"/>
  <c r="L112" i="15"/>
  <c r="D102" i="15"/>
  <c r="E103" i="15"/>
  <c r="Q114" i="15"/>
  <c r="P108" i="15"/>
  <c r="E102" i="15"/>
  <c r="K102" i="15"/>
  <c r="H104" i="15"/>
  <c r="P102" i="15"/>
  <c r="K105" i="15"/>
  <c r="M114" i="15"/>
  <c r="J104" i="15"/>
  <c r="I108" i="15"/>
  <c r="Q117" i="15"/>
  <c r="P104" i="15"/>
  <c r="J109" i="15"/>
  <c r="K108" i="15"/>
  <c r="G104" i="15"/>
  <c r="L113" i="15"/>
  <c r="O113" i="15"/>
  <c r="K112" i="15"/>
  <c r="P106" i="15"/>
  <c r="D106" i="15"/>
  <c r="M107" i="15"/>
  <c r="F103" i="15"/>
  <c r="P105" i="15"/>
  <c r="H110" i="15"/>
  <c r="D108" i="15"/>
  <c r="O114" i="15"/>
  <c r="F102" i="15"/>
  <c r="D112" i="15"/>
  <c r="I102" i="15"/>
  <c r="J102" i="15"/>
  <c r="D103" i="15"/>
  <c r="J108" i="15"/>
  <c r="I104" i="15"/>
  <c r="E107" i="15"/>
  <c r="P117" i="15"/>
  <c r="J113" i="15"/>
  <c r="H113" i="15"/>
  <c r="P109" i="15"/>
  <c r="L106" i="15"/>
  <c r="Q107" i="15"/>
  <c r="Q108" i="15"/>
  <c r="H107" i="15"/>
  <c r="F112" i="15"/>
  <c r="C109" i="15"/>
  <c r="I110" i="15"/>
  <c r="Q109" i="15"/>
  <c r="F106" i="15"/>
  <c r="D114" i="15"/>
  <c r="F114" i="15"/>
  <c r="F108" i="15"/>
  <c r="G105" i="15"/>
  <c r="E108" i="15"/>
  <c r="L109" i="15"/>
  <c r="G114" i="15"/>
  <c r="L104" i="15"/>
  <c r="K106" i="15"/>
  <c r="P103" i="15"/>
  <c r="C117" i="15"/>
  <c r="K104" i="15"/>
  <c r="N105" i="15"/>
  <c r="O104" i="15"/>
  <c r="F117" i="15"/>
  <c r="O102" i="15"/>
  <c r="M110" i="15"/>
  <c r="I106" i="15"/>
  <c r="H109" i="15"/>
  <c r="K109" i="15"/>
  <c r="H108" i="15"/>
  <c r="D117" i="15"/>
  <c r="I103" i="15"/>
  <c r="M103" i="15"/>
  <c r="N106" i="15"/>
  <c r="F107" i="15"/>
  <c r="O105" i="15"/>
  <c r="D107" i="15"/>
  <c r="M106" i="15"/>
  <c r="F105" i="15"/>
  <c r="I109" i="15"/>
  <c r="K113" i="15"/>
  <c r="P113" i="15"/>
  <c r="D113" i="15"/>
  <c r="C105" i="15"/>
  <c r="M108" i="15"/>
  <c r="O103" i="15"/>
  <c r="P114" i="15"/>
  <c r="E104" i="15"/>
  <c r="M109" i="15"/>
  <c r="G102" i="15"/>
  <c r="O112" i="15"/>
  <c r="E112" i="15"/>
  <c r="P110" i="15"/>
  <c r="M117" i="15"/>
  <c r="I112" i="15"/>
  <c r="N114" i="15"/>
  <c r="P107" i="15"/>
  <c r="O108" i="15"/>
  <c r="L110" i="15"/>
  <c r="N103" i="15"/>
  <c r="Q110" i="15"/>
  <c r="O117" i="15"/>
  <c r="H117" i="15"/>
  <c r="K117" i="15"/>
  <c r="O107" i="15"/>
  <c r="H106" i="15"/>
  <c r="E109" i="15"/>
  <c r="O109" i="15"/>
  <c r="F113" i="15"/>
  <c r="I113" i="15"/>
  <c r="R29" i="15"/>
  <c r="R31" i="15"/>
  <c r="R26" i="15"/>
  <c r="R25" i="15"/>
  <c r="R36" i="15"/>
  <c r="R22" i="15"/>
  <c r="R34" i="15"/>
  <c r="R38" i="15"/>
  <c r="R24" i="15"/>
  <c r="R33" i="15"/>
  <c r="R23" i="15"/>
  <c r="R95" i="15"/>
  <c r="R19" i="15"/>
  <c r="R27" i="15"/>
  <c r="R20" i="15"/>
  <c r="R28" i="15"/>
  <c r="R37" i="15"/>
  <c r="R32" i="15"/>
  <c r="F39" i="15"/>
  <c r="P39" i="15"/>
  <c r="G39" i="15"/>
  <c r="E39" i="15"/>
  <c r="K39" i="15"/>
  <c r="L39" i="15"/>
  <c r="N39" i="15"/>
  <c r="M39" i="15"/>
  <c r="Q39" i="15"/>
  <c r="H39" i="15"/>
  <c r="D39" i="15"/>
  <c r="O39" i="15"/>
  <c r="I39" i="15"/>
  <c r="J39" i="15"/>
  <c r="C39" i="15"/>
  <c r="R41" i="15" l="1"/>
  <c r="R42" i="15"/>
  <c r="R40" i="15"/>
  <c r="AE119" i="15"/>
  <c r="Z119" i="15"/>
  <c r="Y119" i="15"/>
  <c r="AA119" i="15"/>
  <c r="W119" i="15"/>
  <c r="X119" i="15"/>
  <c r="AB119" i="15"/>
  <c r="K119" i="15" s="1"/>
  <c r="K234" i="15" s="1"/>
  <c r="T119" i="15"/>
  <c r="C119" i="15" s="1"/>
  <c r="C234" i="15" s="1"/>
  <c r="N119" i="15"/>
  <c r="N234" i="15" s="1"/>
  <c r="I119" i="15"/>
  <c r="I234" i="15" s="1"/>
  <c r="F119" i="15"/>
  <c r="F234" i="15" s="1"/>
  <c r="J119" i="15"/>
  <c r="J234" i="15" s="1"/>
  <c r="H119" i="15"/>
  <c r="H234" i="15" s="1"/>
  <c r="G119" i="15"/>
  <c r="G234" i="15" s="1"/>
  <c r="AG119" i="15"/>
  <c r="Q119" i="15"/>
  <c r="Q234" i="15" s="1"/>
  <c r="AD119" i="15"/>
  <c r="AC119" i="15"/>
  <c r="V119" i="15"/>
  <c r="AF119" i="15"/>
  <c r="U119" i="15"/>
  <c r="F43" i="15"/>
  <c r="M43" i="15"/>
  <c r="N43" i="15"/>
  <c r="C43" i="15"/>
  <c r="L43" i="15"/>
  <c r="E43" i="15"/>
  <c r="J43" i="15"/>
  <c r="D43" i="15"/>
  <c r="H43" i="15"/>
  <c r="I43" i="15"/>
  <c r="P43" i="15"/>
  <c r="Q43" i="15"/>
  <c r="G43" i="15"/>
  <c r="K43" i="15"/>
  <c r="O43" i="15"/>
  <c r="C123" i="15"/>
  <c r="H123" i="15"/>
  <c r="Q123" i="15"/>
  <c r="J123" i="15"/>
  <c r="D123" i="15"/>
  <c r="P123" i="15"/>
  <c r="E123" i="15"/>
  <c r="L123" i="15"/>
  <c r="N123" i="15"/>
  <c r="O123" i="15"/>
  <c r="G123" i="15"/>
  <c r="I123" i="15"/>
  <c r="F123" i="15"/>
  <c r="K123" i="15"/>
  <c r="M123" i="15"/>
  <c r="R39" i="15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K34" i="7"/>
  <c r="K21" i="7"/>
  <c r="C196" i="15" l="1" a="1"/>
  <c r="B4" i="8"/>
  <c r="O119" i="15"/>
  <c r="O234" i="15" s="1"/>
  <c r="E119" i="15"/>
  <c r="E234" i="15" s="1"/>
  <c r="L119" i="15"/>
  <c r="L234" i="15" s="1"/>
  <c r="M119" i="15"/>
  <c r="M234" i="15" s="1"/>
  <c r="P119" i="15"/>
  <c r="P234" i="15" s="1"/>
  <c r="D119" i="15"/>
  <c r="D234" i="15" s="1"/>
  <c r="R43" i="15"/>
  <c r="G14" i="8"/>
  <c r="G13" i="8"/>
  <c r="G12" i="8"/>
  <c r="G15" i="8"/>
  <c r="G8" i="8"/>
  <c r="G11" i="8"/>
  <c r="G9" i="8"/>
  <c r="G10" i="8"/>
  <c r="E196" i="15" l="1"/>
  <c r="E200" i="15" s="1"/>
  <c r="H196" i="15"/>
  <c r="H200" i="15" s="1"/>
  <c r="O196" i="15"/>
  <c r="O200" i="15" s="1"/>
  <c r="M196" i="15"/>
  <c r="M200" i="15" s="1"/>
  <c r="L196" i="15"/>
  <c r="L200" i="15" s="1"/>
  <c r="G196" i="15"/>
  <c r="G200" i="15" s="1"/>
  <c r="C196" i="15"/>
  <c r="N196" i="15"/>
  <c r="N200" i="15" s="1"/>
  <c r="F196" i="15"/>
  <c r="F200" i="15" s="1"/>
  <c r="I196" i="15"/>
  <c r="I200" i="15" s="1"/>
  <c r="K196" i="15"/>
  <c r="K200" i="15" s="1"/>
  <c r="D196" i="15"/>
  <c r="D200" i="15" s="1"/>
  <c r="P196" i="15"/>
  <c r="P200" i="15" s="1"/>
  <c r="J196" i="15"/>
  <c r="J200" i="15" s="1"/>
  <c r="Q196" i="15"/>
  <c r="Q200" i="15" s="1"/>
  <c r="G7" i="8"/>
  <c r="H7" i="8" s="1"/>
  <c r="Q203" i="15" l="1"/>
  <c r="Q207" i="15"/>
  <c r="B196" i="15"/>
  <c r="B200" i="15" s="1"/>
  <c r="C200" i="15"/>
  <c r="J203" i="15"/>
  <c r="J207" i="15"/>
  <c r="G203" i="15"/>
  <c r="G207" i="15"/>
  <c r="P203" i="15"/>
  <c r="P207" i="15"/>
  <c r="L203" i="15"/>
  <c r="L207" i="15"/>
  <c r="M203" i="15"/>
  <c r="M207" i="15"/>
  <c r="K203" i="15"/>
  <c r="K207" i="15"/>
  <c r="O203" i="15"/>
  <c r="O207" i="15"/>
  <c r="N203" i="15"/>
  <c r="N207" i="15"/>
  <c r="D207" i="15"/>
  <c r="D203" i="15"/>
  <c r="I207" i="15"/>
  <c r="I203" i="15"/>
  <c r="H203" i="15"/>
  <c r="H207" i="15"/>
  <c r="F207" i="15"/>
  <c r="F203" i="15"/>
  <c r="E203" i="15"/>
  <c r="E207" i="15"/>
  <c r="H13" i="8"/>
  <c r="H12" i="8"/>
  <c r="H15" i="8"/>
  <c r="H8" i="8"/>
  <c r="H10" i="8"/>
  <c r="H11" i="8"/>
  <c r="H14" i="8"/>
  <c r="H9" i="8"/>
  <c r="I210" i="15" l="1"/>
  <c r="I211" i="15" s="1"/>
  <c r="I230" i="15"/>
  <c r="I220" i="15"/>
  <c r="I225" i="15"/>
  <c r="I229" i="15"/>
  <c r="I219" i="15"/>
  <c r="I228" i="15"/>
  <c r="I221" i="15"/>
  <c r="I222" i="15"/>
  <c r="I224" i="15"/>
  <c r="I218" i="15"/>
  <c r="I223" i="15"/>
  <c r="I226" i="15"/>
  <c r="I238" i="15"/>
  <c r="K210" i="15"/>
  <c r="K211" i="15" s="1"/>
  <c r="K230" i="15"/>
  <c r="K220" i="15"/>
  <c r="K223" i="15"/>
  <c r="K221" i="15"/>
  <c r="K228" i="15"/>
  <c r="K224" i="15"/>
  <c r="K219" i="15"/>
  <c r="K218" i="15"/>
  <c r="K225" i="15"/>
  <c r="K229" i="15"/>
  <c r="K222" i="15"/>
  <c r="K226" i="15"/>
  <c r="K238" i="15"/>
  <c r="G210" i="15"/>
  <c r="G211" i="15" s="1"/>
  <c r="G219" i="15"/>
  <c r="G224" i="15"/>
  <c r="G220" i="15"/>
  <c r="G223" i="15"/>
  <c r="G225" i="15"/>
  <c r="G222" i="15"/>
  <c r="G229" i="15"/>
  <c r="G230" i="15"/>
  <c r="G226" i="15"/>
  <c r="G228" i="15"/>
  <c r="G221" i="15"/>
  <c r="G218" i="15"/>
  <c r="G238" i="15"/>
  <c r="P210" i="15"/>
  <c r="P211" i="15" s="1"/>
  <c r="P222" i="15"/>
  <c r="P220" i="15"/>
  <c r="P224" i="15"/>
  <c r="P230" i="15"/>
  <c r="P221" i="15"/>
  <c r="P225" i="15"/>
  <c r="P218" i="15"/>
  <c r="P229" i="15"/>
  <c r="P228" i="15"/>
  <c r="P223" i="15"/>
  <c r="P226" i="15"/>
  <c r="P219" i="15"/>
  <c r="P238" i="15"/>
  <c r="E210" i="15"/>
  <c r="E211" i="15" s="1"/>
  <c r="E229" i="15"/>
  <c r="E225" i="15"/>
  <c r="E219" i="15"/>
  <c r="E230" i="15"/>
  <c r="E224" i="15"/>
  <c r="E226" i="15"/>
  <c r="E228" i="15"/>
  <c r="E220" i="15"/>
  <c r="E223" i="15"/>
  <c r="E218" i="15"/>
  <c r="E221" i="15"/>
  <c r="E222" i="15"/>
  <c r="E238" i="15"/>
  <c r="M210" i="15"/>
  <c r="M211" i="15" s="1"/>
  <c r="M225" i="15"/>
  <c r="M219" i="15"/>
  <c r="M224" i="15"/>
  <c r="M221" i="15"/>
  <c r="M228" i="15"/>
  <c r="M226" i="15"/>
  <c r="M220" i="15"/>
  <c r="M218" i="15"/>
  <c r="M230" i="15"/>
  <c r="M229" i="15"/>
  <c r="M222" i="15"/>
  <c r="M223" i="15"/>
  <c r="M238" i="15"/>
  <c r="J210" i="15"/>
  <c r="J211" i="15" s="1"/>
  <c r="J222" i="15"/>
  <c r="J226" i="15"/>
  <c r="J225" i="15"/>
  <c r="J220" i="15"/>
  <c r="J228" i="15"/>
  <c r="J223" i="15"/>
  <c r="J230" i="15"/>
  <c r="J229" i="15"/>
  <c r="J218" i="15"/>
  <c r="J219" i="15"/>
  <c r="J224" i="15"/>
  <c r="J221" i="15"/>
  <c r="J238" i="15"/>
  <c r="O210" i="15"/>
  <c r="O211" i="15" s="1"/>
  <c r="O226" i="15"/>
  <c r="O220" i="15"/>
  <c r="O218" i="15"/>
  <c r="O223" i="15"/>
  <c r="O229" i="15"/>
  <c r="O225" i="15"/>
  <c r="O221" i="15"/>
  <c r="O219" i="15"/>
  <c r="O228" i="15"/>
  <c r="O222" i="15"/>
  <c r="O230" i="15"/>
  <c r="O224" i="15"/>
  <c r="O238" i="15"/>
  <c r="D210" i="15"/>
  <c r="D211" i="15" s="1"/>
  <c r="D224" i="15"/>
  <c r="D221" i="15"/>
  <c r="D225" i="15"/>
  <c r="D218" i="15"/>
  <c r="D226" i="15"/>
  <c r="D228" i="15"/>
  <c r="D223" i="15"/>
  <c r="D222" i="15"/>
  <c r="D219" i="15"/>
  <c r="D230" i="15"/>
  <c r="D220" i="15"/>
  <c r="D229" i="15"/>
  <c r="D238" i="15"/>
  <c r="L210" i="15"/>
  <c r="L211" i="15" s="1"/>
  <c r="L220" i="15"/>
  <c r="L222" i="15"/>
  <c r="L218" i="15"/>
  <c r="L226" i="15"/>
  <c r="L224" i="15"/>
  <c r="L221" i="15"/>
  <c r="L228" i="15"/>
  <c r="L230" i="15"/>
  <c r="L225" i="15"/>
  <c r="L229" i="15"/>
  <c r="L219" i="15"/>
  <c r="L223" i="15"/>
  <c r="L238" i="15"/>
  <c r="B207" i="15"/>
  <c r="B203" i="15"/>
  <c r="B210" i="15" s="1"/>
  <c r="B211" i="15" s="1"/>
  <c r="H210" i="15"/>
  <c r="H211" i="15" s="1"/>
  <c r="H226" i="15"/>
  <c r="H224" i="15"/>
  <c r="H229" i="15"/>
  <c r="H221" i="15"/>
  <c r="H223" i="15"/>
  <c r="H220" i="15"/>
  <c r="H225" i="15"/>
  <c r="H222" i="15"/>
  <c r="H219" i="15"/>
  <c r="H228" i="15"/>
  <c r="H230" i="15"/>
  <c r="H218" i="15"/>
  <c r="H238" i="15"/>
  <c r="Q210" i="15"/>
  <c r="Q211" i="15" s="1"/>
  <c r="Q228" i="15"/>
  <c r="Q223" i="15"/>
  <c r="Q226" i="15"/>
  <c r="Q222" i="15"/>
  <c r="Q221" i="15"/>
  <c r="Q224" i="15"/>
  <c r="Q218" i="15"/>
  <c r="Q220" i="15"/>
  <c r="Q229" i="15"/>
  <c r="Q225" i="15"/>
  <c r="Q230" i="15"/>
  <c r="Q219" i="15"/>
  <c r="Q238" i="15"/>
  <c r="F210" i="15"/>
  <c r="F211" i="15" s="1"/>
  <c r="F224" i="15"/>
  <c r="F228" i="15"/>
  <c r="F230" i="15"/>
  <c r="F225" i="15"/>
  <c r="F218" i="15"/>
  <c r="F223" i="15"/>
  <c r="F221" i="15"/>
  <c r="F219" i="15"/>
  <c r="F222" i="15"/>
  <c r="F226" i="15"/>
  <c r="F229" i="15"/>
  <c r="F220" i="15"/>
  <c r="F238" i="15"/>
  <c r="C203" i="15"/>
  <c r="C207" i="15"/>
  <c r="N210" i="15"/>
  <c r="N211" i="15" s="1"/>
  <c r="N230" i="15"/>
  <c r="N219" i="15"/>
  <c r="N229" i="15"/>
  <c r="N226" i="15"/>
  <c r="N223" i="15"/>
  <c r="N224" i="15"/>
  <c r="N222" i="15"/>
  <c r="N225" i="15"/>
  <c r="N218" i="15"/>
  <c r="N221" i="15"/>
  <c r="N228" i="15"/>
  <c r="N220" i="15"/>
  <c r="N238" i="15"/>
  <c r="J30" i="9"/>
  <c r="K31" i="9"/>
  <c r="J34" i="9"/>
  <c r="I41" i="9"/>
  <c r="J41" i="9"/>
  <c r="K32" i="9"/>
  <c r="C210" i="15" l="1"/>
  <c r="C211" i="15" s="1"/>
  <c r="C226" i="15"/>
  <c r="C224" i="15"/>
  <c r="C219" i="15"/>
  <c r="C222" i="15"/>
  <c r="C230" i="15"/>
  <c r="C220" i="15"/>
  <c r="C225" i="15"/>
  <c r="C223" i="15"/>
  <c r="C221" i="15"/>
  <c r="C228" i="15"/>
  <c r="C229" i="15"/>
  <c r="C218" i="15"/>
  <c r="C238" i="15"/>
  <c r="I22" i="9"/>
  <c r="I28" i="9"/>
  <c r="I23" i="9"/>
  <c r="I29" i="9"/>
  <c r="I24" i="9"/>
  <c r="I30" i="9"/>
  <c r="I20" i="9"/>
  <c r="I25" i="9"/>
  <c r="K26" i="9"/>
  <c r="I36" i="9"/>
  <c r="K33" i="9"/>
  <c r="I33" i="9"/>
  <c r="K35" i="9"/>
  <c r="J31" i="9"/>
  <c r="K41" i="9"/>
  <c r="K29" i="9"/>
  <c r="K21" i="9"/>
  <c r="J37" i="9"/>
  <c r="K25" i="9"/>
  <c r="J27" i="9"/>
  <c r="K23" i="9"/>
  <c r="J36" i="9"/>
  <c r="J32" i="9"/>
  <c r="K24" i="9"/>
  <c r="J25" i="9"/>
  <c r="J28" i="9"/>
  <c r="K34" i="9"/>
  <c r="J21" i="9"/>
  <c r="I34" i="9"/>
  <c r="K27" i="9"/>
  <c r="K20" i="9"/>
  <c r="J29" i="9"/>
  <c r="I31" i="9"/>
  <c r="K28" i="9"/>
  <c r="K30" i="9"/>
  <c r="J24" i="9"/>
  <c r="I32" i="9"/>
  <c r="I26" i="9"/>
  <c r="J33" i="9"/>
  <c r="K37" i="9"/>
  <c r="J20" i="9"/>
  <c r="J26" i="9"/>
  <c r="J23" i="9"/>
  <c r="I37" i="9"/>
  <c r="I21" i="9"/>
  <c r="J35" i="9"/>
  <c r="I35" i="9"/>
  <c r="K22" i="9"/>
  <c r="J22" i="9"/>
  <c r="K36" i="9"/>
  <c r="I27" i="9"/>
  <c r="I9" i="9" l="1"/>
  <c r="I15" i="9"/>
  <c r="I10" i="9"/>
  <c r="J8" i="9"/>
  <c r="I16" i="9"/>
  <c r="J14" i="9"/>
  <c r="I11" i="9"/>
  <c r="J9" i="9"/>
  <c r="K18" i="9"/>
  <c r="I17" i="9"/>
  <c r="J10" i="9"/>
  <c r="J16" i="9"/>
  <c r="K38" i="9"/>
  <c r="K13" i="9"/>
  <c r="I18" i="9"/>
  <c r="J11" i="9"/>
  <c r="K39" i="9"/>
  <c r="I7" i="9"/>
  <c r="J17" i="9"/>
  <c r="K40" i="9"/>
  <c r="K7" i="9"/>
  <c r="J12" i="9"/>
  <c r="K16" i="9"/>
  <c r="J18" i="9"/>
  <c r="K17" i="9"/>
  <c r="K19" i="9"/>
  <c r="J7" i="9"/>
  <c r="H41" i="9"/>
  <c r="J15" i="9"/>
  <c r="J13" i="9"/>
  <c r="J19" i="9"/>
  <c r="H36" i="9"/>
  <c r="K11" i="9"/>
  <c r="I13" i="9"/>
  <c r="K10" i="9"/>
  <c r="H20" i="9"/>
  <c r="I38" i="9"/>
  <c r="K12" i="9"/>
  <c r="J38" i="9"/>
  <c r="H30" i="9"/>
  <c r="I12" i="9"/>
  <c r="J40" i="9"/>
  <c r="I39" i="9"/>
  <c r="K8" i="9"/>
  <c r="H31" i="9"/>
  <c r="J39" i="9"/>
  <c r="I40" i="9"/>
  <c r="H37" i="9"/>
  <c r="K14" i="9"/>
  <c r="H34" i="9"/>
  <c r="K9" i="9"/>
  <c r="I8" i="9"/>
  <c r="H32" i="9"/>
  <c r="I19" i="9"/>
  <c r="K15" i="9"/>
  <c r="I14" i="9"/>
  <c r="H25" i="9" l="1"/>
  <c r="H29" i="9"/>
  <c r="H8" i="9"/>
  <c r="H9" i="9"/>
  <c r="H15" i="9"/>
  <c r="H10" i="9"/>
  <c r="H16" i="9"/>
  <c r="H11" i="9"/>
  <c r="H17" i="9"/>
  <c r="H12" i="9"/>
  <c r="H18" i="9"/>
  <c r="H24" i="9"/>
  <c r="H26" i="9"/>
  <c r="H33" i="9"/>
  <c r="H7" i="9"/>
  <c r="H14" i="9"/>
  <c r="H21" i="9"/>
  <c r="H35" i="9"/>
  <c r="H13" i="9"/>
  <c r="H27" i="9"/>
  <c r="H19" i="9"/>
  <c r="H22" i="9"/>
  <c r="H28" i="9"/>
  <c r="H23" i="9"/>
  <c r="H38" i="9" l="1"/>
  <c r="H39" i="9"/>
  <c r="H40" i="9"/>
  <c r="K40" i="7" l="1"/>
  <c r="K39" i="7"/>
  <c r="K38" i="7"/>
  <c r="K37" i="7"/>
  <c r="K36" i="7"/>
  <c r="K35" i="7"/>
  <c r="K33" i="7"/>
  <c r="K32" i="7"/>
  <c r="K31" i="7"/>
  <c r="K30" i="7"/>
  <c r="K29" i="7"/>
  <c r="K28" i="7"/>
  <c r="K22" i="7"/>
  <c r="K27" i="7"/>
  <c r="K23" i="7"/>
  <c r="K24" i="7"/>
  <c r="K26" i="7"/>
  <c r="K25" i="7"/>
  <c r="K20" i="7"/>
  <c r="K19" i="7"/>
  <c r="K18" i="7"/>
  <c r="K17" i="7"/>
  <c r="K16" i="7"/>
  <c r="K15" i="7"/>
  <c r="K13" i="7"/>
  <c r="K12" i="7"/>
  <c r="K11" i="7"/>
  <c r="K10" i="7"/>
  <c r="K9" i="7"/>
  <c r="K8" i="7"/>
  <c r="A1" i="1" l="1"/>
  <c r="C148" i="15" l="1"/>
  <c r="C111" i="15"/>
  <c r="C227" i="15" s="1"/>
  <c r="T115" i="15"/>
  <c r="T116" i="15" s="1"/>
  <c r="C158" i="15" l="1"/>
  <c r="C156" i="15"/>
  <c r="T156" i="15"/>
  <c r="T118" i="15"/>
  <c r="C161" i="15" s="1"/>
  <c r="T155" i="15"/>
  <c r="C155" i="15"/>
  <c r="C125" i="15"/>
  <c r="C240" i="15" s="1"/>
  <c r="T121" i="15"/>
  <c r="T122" i="15"/>
  <c r="C116" i="15"/>
  <c r="T120" i="15"/>
  <c r="C157" i="15"/>
  <c r="C165" i="15" l="1"/>
  <c r="C166" i="15"/>
  <c r="C162" i="15"/>
  <c r="C118" i="15"/>
  <c r="C233" i="15" s="1"/>
  <c r="C168" i="15"/>
  <c r="C167" i="15"/>
  <c r="C164" i="15"/>
  <c r="C120" i="15"/>
  <c r="C235" i="15" s="1"/>
  <c r="C170" i="15"/>
  <c r="C171" i="15"/>
  <c r="C176" i="15"/>
  <c r="C177" i="15"/>
  <c r="C122" i="15"/>
  <c r="C237" i="15" s="1"/>
  <c r="C175" i="15"/>
  <c r="C231" i="15"/>
  <c r="C174" i="15"/>
  <c r="C173" i="15"/>
  <c r="C121" i="15"/>
  <c r="C236" i="15" s="1"/>
  <c r="C172" i="15"/>
  <c r="C124" i="15" l="1"/>
  <c r="C239" i="15" s="1"/>
  <c r="C126" i="15"/>
  <c r="C241" i="15" s="1"/>
  <c r="C127" i="15"/>
  <c r="C242" i="15" s="1"/>
  <c r="H148" i="15"/>
  <c r="D111" i="15"/>
  <c r="H111" i="15"/>
  <c r="J148" i="15"/>
  <c r="G111" i="15"/>
  <c r="G227" i="15" s="1"/>
  <c r="G148" i="15"/>
  <c r="F148" i="15"/>
  <c r="F111" i="15"/>
  <c r="N111" i="15"/>
  <c r="Q148" i="15"/>
  <c r="M148" i="15"/>
  <c r="O111" i="15"/>
  <c r="K111" i="15"/>
  <c r="I111" i="15"/>
  <c r="O148" i="15"/>
  <c r="M111" i="15"/>
  <c r="L148" i="15"/>
  <c r="P148" i="15"/>
  <c r="I148" i="15"/>
  <c r="E148" i="15"/>
  <c r="AD115" i="15"/>
  <c r="AD116" i="15" s="1"/>
  <c r="N148" i="15"/>
  <c r="X115" i="15"/>
  <c r="X116" i="15" s="1"/>
  <c r="D148" i="15"/>
  <c r="K148" i="15"/>
  <c r="J111" i="15"/>
  <c r="J227" i="15" s="1"/>
  <c r="AB115" i="15"/>
  <c r="AB116" i="15" s="1"/>
  <c r="K156" i="15" s="1"/>
  <c r="AA115" i="15"/>
  <c r="AA116" i="15" s="1"/>
  <c r="AF115" i="15"/>
  <c r="AF116" i="15" s="1"/>
  <c r="AE115" i="15"/>
  <c r="AE116" i="15" s="1"/>
  <c r="Z115" i="15"/>
  <c r="Z116" i="15" s="1"/>
  <c r="W115" i="15"/>
  <c r="W116" i="15" s="1"/>
  <c r="AC115" i="15"/>
  <c r="AC116" i="15" s="1"/>
  <c r="L111" i="15"/>
  <c r="AG115" i="15"/>
  <c r="AG116" i="15" s="1"/>
  <c r="P111" i="15"/>
  <c r="Y115" i="15"/>
  <c r="Y116" i="15" s="1"/>
  <c r="V115" i="15"/>
  <c r="V116" i="15" s="1"/>
  <c r="E111" i="15"/>
  <c r="AH115" i="15"/>
  <c r="AH116" i="15" s="1"/>
  <c r="Q111" i="15"/>
  <c r="U115" i="15"/>
  <c r="U116" i="15" s="1"/>
  <c r="M158" i="15" l="1"/>
  <c r="M156" i="15"/>
  <c r="AD156" i="15"/>
  <c r="J158" i="15"/>
  <c r="J156" i="15"/>
  <c r="O156" i="15"/>
  <c r="AF156" i="15"/>
  <c r="D158" i="15"/>
  <c r="D156" i="15"/>
  <c r="U156" i="15"/>
  <c r="P158" i="15"/>
  <c r="P156" i="15"/>
  <c r="AG156" i="15"/>
  <c r="L158" i="15"/>
  <c r="L156" i="15"/>
  <c r="H158" i="15"/>
  <c r="H156" i="15"/>
  <c r="Q156" i="15"/>
  <c r="AH156" i="15"/>
  <c r="F156" i="15"/>
  <c r="W156" i="15"/>
  <c r="I158" i="15"/>
  <c r="I156" i="15"/>
  <c r="G158" i="15"/>
  <c r="G156" i="15"/>
  <c r="X156" i="15"/>
  <c r="E156" i="15"/>
  <c r="V156" i="15"/>
  <c r="N156" i="15"/>
  <c r="AE156" i="15"/>
  <c r="AH155" i="15"/>
  <c r="Q158" i="15"/>
  <c r="W155" i="15"/>
  <c r="F158" i="15"/>
  <c r="AB120" i="15"/>
  <c r="K120" i="15" s="1"/>
  <c r="K235" i="15" s="1"/>
  <c r="K158" i="15"/>
  <c r="V155" i="15"/>
  <c r="E158" i="15"/>
  <c r="AE155" i="15"/>
  <c r="N158" i="15"/>
  <c r="AF155" i="15"/>
  <c r="O158" i="15"/>
  <c r="P155" i="15"/>
  <c r="AG155" i="15"/>
  <c r="D157" i="15"/>
  <c r="U155" i="15"/>
  <c r="X155" i="15"/>
  <c r="Z121" i="15"/>
  <c r="I121" i="15" s="1"/>
  <c r="I236" i="15" s="1"/>
  <c r="I155" i="15"/>
  <c r="AD155" i="15"/>
  <c r="M155" i="15"/>
  <c r="F125" i="15"/>
  <c r="F240" i="15" s="1"/>
  <c r="D227" i="15"/>
  <c r="D125" i="15"/>
  <c r="D240" i="15" s="1"/>
  <c r="L227" i="15"/>
  <c r="L125" i="15"/>
  <c r="L240" i="15" s="1"/>
  <c r="K227" i="15"/>
  <c r="K125" i="15"/>
  <c r="K240" i="15" s="1"/>
  <c r="P125" i="15"/>
  <c r="P240" i="15" s="1"/>
  <c r="Q227" i="15"/>
  <c r="Q125" i="15"/>
  <c r="Q240" i="15" s="1"/>
  <c r="O227" i="15"/>
  <c r="O125" i="15"/>
  <c r="O240" i="15" s="1"/>
  <c r="I227" i="15"/>
  <c r="I125" i="15"/>
  <c r="I240" i="15" s="1"/>
  <c r="J125" i="15"/>
  <c r="J240" i="15" s="1"/>
  <c r="M227" i="15"/>
  <c r="M125" i="15"/>
  <c r="M240" i="15" s="1"/>
  <c r="N125" i="15"/>
  <c r="N240" i="15" s="1"/>
  <c r="G125" i="15"/>
  <c r="G240" i="15" s="1"/>
  <c r="E227" i="15"/>
  <c r="E125" i="15"/>
  <c r="E240" i="15" s="1"/>
  <c r="F227" i="15"/>
  <c r="H227" i="15"/>
  <c r="H125" i="15"/>
  <c r="H240" i="15" s="1"/>
  <c r="AF122" i="15"/>
  <c r="O176" i="15" s="1"/>
  <c r="AF120" i="15"/>
  <c r="O170" i="15" s="1"/>
  <c r="O157" i="15"/>
  <c r="AF118" i="15"/>
  <c r="O155" i="15"/>
  <c r="V122" i="15"/>
  <c r="E177" i="15" s="1"/>
  <c r="E157" i="15"/>
  <c r="AH118" i="15"/>
  <c r="AH121" i="15"/>
  <c r="Q173" i="15" s="1"/>
  <c r="Q157" i="15"/>
  <c r="Q155" i="15"/>
  <c r="AH122" i="15"/>
  <c r="Q122" i="15" s="1"/>
  <c r="Q237" i="15" s="1"/>
  <c r="F116" i="15"/>
  <c r="F231" i="15" s="1"/>
  <c r="F155" i="15"/>
  <c r="G116" i="15"/>
  <c r="G231" i="15" s="1"/>
  <c r="I157" i="15"/>
  <c r="Z122" i="15"/>
  <c r="I177" i="15" s="1"/>
  <c r="X118" i="15"/>
  <c r="D155" i="15"/>
  <c r="X120" i="15"/>
  <c r="G170" i="15" s="1"/>
  <c r="AC122" i="15"/>
  <c r="AC118" i="15"/>
  <c r="L166" i="15" s="1"/>
  <c r="L116" i="15"/>
  <c r="L155" i="15"/>
  <c r="AC121" i="15"/>
  <c r="L157" i="15"/>
  <c r="AC120" i="15"/>
  <c r="N157" i="15"/>
  <c r="AE120" i="15"/>
  <c r="AE118" i="15"/>
  <c r="N166" i="15" s="1"/>
  <c r="AE121" i="15"/>
  <c r="N116" i="15"/>
  <c r="N155" i="15"/>
  <c r="AE122" i="15"/>
  <c r="J157" i="15"/>
  <c r="J155" i="15"/>
  <c r="AA118" i="15"/>
  <c r="AA122" i="15"/>
  <c r="J116" i="15"/>
  <c r="AA121" i="15"/>
  <c r="AA120" i="15"/>
  <c r="Y121" i="15"/>
  <c r="H116" i="15"/>
  <c r="H157" i="15"/>
  <c r="Y118" i="15"/>
  <c r="H167" i="15" s="1"/>
  <c r="H155" i="15"/>
  <c r="Y122" i="15"/>
  <c r="Y120" i="15"/>
  <c r="I116" i="15"/>
  <c r="W122" i="15"/>
  <c r="W121" i="15"/>
  <c r="P116" i="15"/>
  <c r="AG118" i="15"/>
  <c r="P166" i="15" s="1"/>
  <c r="Z118" i="15"/>
  <c r="I166" i="15" s="1"/>
  <c r="Z120" i="15"/>
  <c r="AG120" i="15"/>
  <c r="U122" i="15"/>
  <c r="D116" i="15"/>
  <c r="U121" i="15"/>
  <c r="AG122" i="15"/>
  <c r="AD121" i="15"/>
  <c r="AD120" i="15"/>
  <c r="AD122" i="15"/>
  <c r="E116" i="15"/>
  <c r="V121" i="15"/>
  <c r="E155" i="15"/>
  <c r="V120" i="15"/>
  <c r="V118" i="15"/>
  <c r="E166" i="15" s="1"/>
  <c r="U118" i="15"/>
  <c r="M157" i="15"/>
  <c r="P227" i="15"/>
  <c r="F157" i="15"/>
  <c r="W120" i="15"/>
  <c r="W118" i="15"/>
  <c r="F166" i="15" s="1"/>
  <c r="K157" i="15"/>
  <c r="AB122" i="15"/>
  <c r="K155" i="15"/>
  <c r="AB118" i="15"/>
  <c r="K166" i="15" s="1"/>
  <c r="AB121" i="15"/>
  <c r="K116" i="15"/>
  <c r="X121" i="15"/>
  <c r="X122" i="15"/>
  <c r="G157" i="15"/>
  <c r="G155" i="15"/>
  <c r="U120" i="15"/>
  <c r="P157" i="15"/>
  <c r="AG121" i="15"/>
  <c r="AD118" i="15"/>
  <c r="M166" i="15" s="1"/>
  <c r="N227" i="15"/>
  <c r="M116" i="15"/>
  <c r="Q116" i="15"/>
  <c r="O116" i="15"/>
  <c r="AF121" i="15"/>
  <c r="AH120" i="15"/>
  <c r="K170" i="15" l="1"/>
  <c r="K171" i="15"/>
  <c r="I173" i="15"/>
  <c r="I174" i="15"/>
  <c r="I172" i="15"/>
  <c r="G167" i="15"/>
  <c r="G166" i="15"/>
  <c r="O168" i="15"/>
  <c r="O166" i="15"/>
  <c r="Q166" i="15"/>
  <c r="Q174" i="15"/>
  <c r="Q164" i="15"/>
  <c r="G162" i="15"/>
  <c r="O167" i="15"/>
  <c r="Q121" i="15"/>
  <c r="Q236" i="15" s="1"/>
  <c r="O165" i="15"/>
  <c r="Q172" i="15"/>
  <c r="O164" i="15"/>
  <c r="O120" i="15"/>
  <c r="O235" i="15" s="1"/>
  <c r="Q168" i="15"/>
  <c r="Q118" i="15"/>
  <c r="Q233" i="15" s="1"/>
  <c r="O177" i="15"/>
  <c r="Q162" i="15"/>
  <c r="O175" i="15"/>
  <c r="O122" i="15"/>
  <c r="O237" i="15" s="1"/>
  <c r="G168" i="15"/>
  <c r="G164" i="15"/>
  <c r="O161" i="15"/>
  <c r="G165" i="15"/>
  <c r="G161" i="15"/>
  <c r="E176" i="15"/>
  <c r="E175" i="15"/>
  <c r="Q175" i="15"/>
  <c r="I176" i="15"/>
  <c r="G118" i="15"/>
  <c r="G233" i="15" s="1"/>
  <c r="O171" i="15"/>
  <c r="E122" i="15"/>
  <c r="E237" i="15" s="1"/>
  <c r="I175" i="15"/>
  <c r="I122" i="15"/>
  <c r="I237" i="15" s="1"/>
  <c r="G120" i="15"/>
  <c r="G171" i="15"/>
  <c r="O118" i="15"/>
  <c r="O233" i="15" s="1"/>
  <c r="O162" i="15"/>
  <c r="Q177" i="15"/>
  <c r="Q176" i="15"/>
  <c r="Q165" i="15"/>
  <c r="Q161" i="15"/>
  <c r="Q167" i="15"/>
  <c r="E231" i="15"/>
  <c r="N231" i="15"/>
  <c r="M122" i="15"/>
  <c r="M237" i="15" s="1"/>
  <c r="M176" i="15"/>
  <c r="M177" i="15"/>
  <c r="M175" i="15"/>
  <c r="P164" i="15"/>
  <c r="P118" i="15"/>
  <c r="P168" i="15"/>
  <c r="P161" i="15"/>
  <c r="P165" i="15"/>
  <c r="P167" i="15"/>
  <c r="P162" i="15"/>
  <c r="N121" i="15"/>
  <c r="N236" i="15" s="1"/>
  <c r="N172" i="15"/>
  <c r="N173" i="15"/>
  <c r="N174" i="15"/>
  <c r="Q171" i="15"/>
  <c r="Q170" i="15"/>
  <c r="Q120" i="15"/>
  <c r="Q235" i="15" s="1"/>
  <c r="D165" i="15"/>
  <c r="D167" i="15"/>
  <c r="D164" i="15"/>
  <c r="D118" i="15"/>
  <c r="D162" i="15"/>
  <c r="D161" i="15"/>
  <c r="D168" i="15"/>
  <c r="M120" i="15"/>
  <c r="M235" i="15" s="1"/>
  <c r="M171" i="15"/>
  <c r="P177" i="15"/>
  <c r="P175" i="15"/>
  <c r="P176" i="15"/>
  <c r="P122" i="15"/>
  <c r="P237" i="15" s="1"/>
  <c r="P231" i="15"/>
  <c r="N165" i="15"/>
  <c r="N167" i="15"/>
  <c r="N168" i="15"/>
  <c r="N161" i="15"/>
  <c r="N162" i="15"/>
  <c r="N164" i="15"/>
  <c r="N118" i="15"/>
  <c r="N233" i="15" s="1"/>
  <c r="L121" i="15"/>
  <c r="L236" i="15" s="1"/>
  <c r="L173" i="15"/>
  <c r="L174" i="15"/>
  <c r="L172" i="15"/>
  <c r="M231" i="15"/>
  <c r="K118" i="15"/>
  <c r="K233" i="15" s="1"/>
  <c r="K162" i="15"/>
  <c r="K165" i="15"/>
  <c r="K167" i="15"/>
  <c r="K161" i="15"/>
  <c r="K164" i="15"/>
  <c r="K168" i="15"/>
  <c r="I231" i="15"/>
  <c r="H231" i="15"/>
  <c r="M162" i="15"/>
  <c r="M168" i="15"/>
  <c r="M161" i="15"/>
  <c r="M167" i="15"/>
  <c r="M165" i="15"/>
  <c r="M164" i="15"/>
  <c r="M118" i="15"/>
  <c r="M233" i="15" s="1"/>
  <c r="J122" i="15"/>
  <c r="J237" i="15" s="1"/>
  <c r="J176" i="15"/>
  <c r="J177" i="15"/>
  <c r="J175" i="15"/>
  <c r="P121" i="15"/>
  <c r="P236" i="15" s="1"/>
  <c r="P172" i="15"/>
  <c r="P174" i="15"/>
  <c r="P173" i="15"/>
  <c r="K177" i="15"/>
  <c r="K175" i="15"/>
  <c r="K122" i="15"/>
  <c r="K237" i="15" s="1"/>
  <c r="K176" i="15"/>
  <c r="E170" i="15"/>
  <c r="E171" i="15"/>
  <c r="E120" i="15"/>
  <c r="E235" i="15" s="1"/>
  <c r="M173" i="15"/>
  <c r="M121" i="15"/>
  <c r="M236" i="15" s="1"/>
  <c r="M174" i="15"/>
  <c r="H121" i="15"/>
  <c r="H236" i="15" s="1"/>
  <c r="H173" i="15"/>
  <c r="H174" i="15"/>
  <c r="N120" i="15"/>
  <c r="N235" i="15" s="1"/>
  <c r="N171" i="15"/>
  <c r="N170" i="15"/>
  <c r="L231" i="15"/>
  <c r="L120" i="15"/>
  <c r="L235" i="15" s="1"/>
  <c r="L170" i="15"/>
  <c r="L171" i="15"/>
  <c r="H168" i="15"/>
  <c r="H118" i="15"/>
  <c r="H165" i="15"/>
  <c r="H164" i="15"/>
  <c r="H162" i="15"/>
  <c r="H161" i="15"/>
  <c r="F164" i="15"/>
  <c r="F162" i="15"/>
  <c r="F118" i="15"/>
  <c r="F168" i="15"/>
  <c r="F161" i="15"/>
  <c r="F165" i="15"/>
  <c r="F167" i="15"/>
  <c r="D231" i="15"/>
  <c r="I170" i="15"/>
  <c r="I120" i="15"/>
  <c r="I235" i="15" s="1"/>
  <c r="I171" i="15"/>
  <c r="F174" i="15"/>
  <c r="F172" i="15"/>
  <c r="F173" i="15"/>
  <c r="F121" i="15"/>
  <c r="F236" i="15" s="1"/>
  <c r="H120" i="15"/>
  <c r="H235" i="15" s="1"/>
  <c r="H171" i="15"/>
  <c r="J120" i="15"/>
  <c r="J235" i="15" s="1"/>
  <c r="J171" i="15"/>
  <c r="E168" i="15"/>
  <c r="E161" i="15"/>
  <c r="E165" i="15"/>
  <c r="E118" i="15"/>
  <c r="E233" i="15" s="1"/>
  <c r="E167" i="15"/>
  <c r="E164" i="15"/>
  <c r="E162" i="15"/>
  <c r="D121" i="15"/>
  <c r="D236" i="15" s="1"/>
  <c r="D173" i="15"/>
  <c r="D172" i="15"/>
  <c r="D174" i="15"/>
  <c r="O172" i="15"/>
  <c r="O121" i="15"/>
  <c r="O236" i="15" s="1"/>
  <c r="O173" i="15"/>
  <c r="O174" i="15"/>
  <c r="O231" i="15"/>
  <c r="G122" i="15"/>
  <c r="G237" i="15" s="1"/>
  <c r="G177" i="15"/>
  <c r="G175" i="15"/>
  <c r="G176" i="15"/>
  <c r="Q231" i="15"/>
  <c r="G121" i="15"/>
  <c r="G172" i="15"/>
  <c r="G174" i="15"/>
  <c r="G173" i="15"/>
  <c r="E121" i="15"/>
  <c r="E236" i="15" s="1"/>
  <c r="E174" i="15"/>
  <c r="E173" i="15"/>
  <c r="E172" i="15"/>
  <c r="D122" i="15"/>
  <c r="D237" i="15" s="1"/>
  <c r="D176" i="15"/>
  <c r="D177" i="15"/>
  <c r="D175" i="15"/>
  <c r="I165" i="15"/>
  <c r="I167" i="15"/>
  <c r="I118" i="15"/>
  <c r="I168" i="15"/>
  <c r="I164" i="15"/>
  <c r="I161" i="15"/>
  <c r="I162" i="15"/>
  <c r="F122" i="15"/>
  <c r="F237" i="15" s="1"/>
  <c r="F176" i="15"/>
  <c r="F177" i="15"/>
  <c r="F175" i="15"/>
  <c r="H122" i="15"/>
  <c r="H237" i="15" s="1"/>
  <c r="H177" i="15"/>
  <c r="H175" i="15"/>
  <c r="H176" i="15"/>
  <c r="J173" i="15"/>
  <c r="J121" i="15"/>
  <c r="J236" i="15" s="1"/>
  <c r="J174" i="15"/>
  <c r="N177" i="15"/>
  <c r="N176" i="15"/>
  <c r="N122" i="15"/>
  <c r="N237" i="15" s="1"/>
  <c r="N175" i="15"/>
  <c r="L161" i="15"/>
  <c r="L162" i="15"/>
  <c r="L165" i="15"/>
  <c r="L164" i="15"/>
  <c r="L167" i="15"/>
  <c r="L168" i="15"/>
  <c r="L118" i="15"/>
  <c r="K173" i="15"/>
  <c r="K174" i="15"/>
  <c r="K121" i="15"/>
  <c r="K236" i="15" s="1"/>
  <c r="K172" i="15"/>
  <c r="J161" i="15"/>
  <c r="J164" i="15"/>
  <c r="J165" i="15"/>
  <c r="J167" i="15"/>
  <c r="J118" i="15"/>
  <c r="J168" i="15"/>
  <c r="J162" i="15"/>
  <c r="D171" i="15"/>
  <c r="D170" i="15"/>
  <c r="D120" i="15"/>
  <c r="D235" i="15" s="1"/>
  <c r="K231" i="15"/>
  <c r="F120" i="15"/>
  <c r="F235" i="15" s="1"/>
  <c r="F170" i="15"/>
  <c r="F171" i="15"/>
  <c r="P120" i="15"/>
  <c r="P235" i="15" s="1"/>
  <c r="P171" i="15"/>
  <c r="P170" i="15"/>
  <c r="J231" i="15"/>
  <c r="L122" i="15"/>
  <c r="L237" i="15" s="1"/>
  <c r="L176" i="15"/>
  <c r="L177" i="15"/>
  <c r="L175" i="15"/>
  <c r="N127" i="15" l="1"/>
  <c r="N242" i="15" s="1"/>
  <c r="P124" i="15"/>
  <c r="P239" i="15" s="1"/>
  <c r="L124" i="15"/>
  <c r="L239" i="15" s="1"/>
  <c r="F126" i="15"/>
  <c r="F241" i="15" s="1"/>
  <c r="G126" i="15"/>
  <c r="G241" i="15" s="1"/>
  <c r="N126" i="15"/>
  <c r="N241" i="15" s="1"/>
  <c r="H126" i="15"/>
  <c r="H241" i="15" s="1"/>
  <c r="I126" i="15"/>
  <c r="I241" i="15" s="1"/>
  <c r="D124" i="15"/>
  <c r="D239" i="15" s="1"/>
  <c r="J124" i="15"/>
  <c r="J239" i="15" s="1"/>
  <c r="O126" i="15"/>
  <c r="O241" i="15" s="1"/>
  <c r="H124" i="15"/>
  <c r="H239" i="15" s="1"/>
  <c r="M124" i="15"/>
  <c r="M239" i="15" s="1"/>
  <c r="N124" i="15"/>
  <c r="N239" i="15" s="1"/>
  <c r="K126" i="15"/>
  <c r="K241" i="15" s="1"/>
  <c r="P126" i="15"/>
  <c r="P241" i="15" s="1"/>
  <c r="D126" i="15"/>
  <c r="D241" i="15" s="1"/>
  <c r="Q124" i="15"/>
  <c r="Q239" i="15" s="1"/>
  <c r="E127" i="15"/>
  <c r="E242" i="15" s="1"/>
  <c r="F124" i="15"/>
  <c r="F239" i="15" s="1"/>
  <c r="M126" i="15"/>
  <c r="M241" i="15" s="1"/>
  <c r="I124" i="15"/>
  <c r="I239" i="15" s="1"/>
  <c r="J126" i="15"/>
  <c r="J241" i="15" s="1"/>
  <c r="E124" i="15"/>
  <c r="E239" i="15" s="1"/>
  <c r="Q126" i="15"/>
  <c r="Q241" i="15" s="1"/>
  <c r="G235" i="15"/>
  <c r="G124" i="15"/>
  <c r="G239" i="15" s="1"/>
  <c r="L126" i="15"/>
  <c r="L241" i="15" s="1"/>
  <c r="E126" i="15"/>
  <c r="E241" i="15" s="1"/>
  <c r="O124" i="15"/>
  <c r="O239" i="15" s="1"/>
  <c r="K124" i="15"/>
  <c r="K239" i="15" s="1"/>
  <c r="Q127" i="15"/>
  <c r="Q242" i="15" s="1"/>
  <c r="L233" i="15"/>
  <c r="L127" i="15"/>
  <c r="L242" i="15" s="1"/>
  <c r="J233" i="15"/>
  <c r="J127" i="15"/>
  <c r="J242" i="15" s="1"/>
  <c r="H233" i="15"/>
  <c r="H127" i="15"/>
  <c r="H242" i="15" s="1"/>
  <c r="I233" i="15"/>
  <c r="I127" i="15"/>
  <c r="I242" i="15" s="1"/>
  <c r="O127" i="15"/>
  <c r="O242" i="15" s="1"/>
  <c r="P233" i="15"/>
  <c r="P127" i="15"/>
  <c r="P242" i="15" s="1"/>
  <c r="F233" i="15"/>
  <c r="F127" i="15"/>
  <c r="F242" i="15" s="1"/>
  <c r="K127" i="15"/>
  <c r="K242" i="15" s="1"/>
  <c r="G236" i="15"/>
  <c r="G127" i="15"/>
  <c r="G242" i="15" s="1"/>
  <c r="M127" i="15"/>
  <c r="M242" i="15" s="1"/>
  <c r="D233" i="15"/>
  <c r="D127" i="15"/>
  <c r="D242" i="15" s="1"/>
</calcChain>
</file>

<file path=xl/sharedStrings.xml><?xml version="1.0" encoding="utf-8"?>
<sst xmlns="http://schemas.openxmlformats.org/spreadsheetml/2006/main" count="2564" uniqueCount="738">
  <si>
    <t>Country</t>
  </si>
  <si>
    <t>Base year</t>
  </si>
  <si>
    <t>Units</t>
  </si>
  <si>
    <t>Forestry</t>
  </si>
  <si>
    <t>Textiles</t>
  </si>
  <si>
    <t>Other manufacturing</t>
  </si>
  <si>
    <t>Construction</t>
  </si>
  <si>
    <t>Business services</t>
  </si>
  <si>
    <t>Public administration</t>
  </si>
  <si>
    <t>Education</t>
  </si>
  <si>
    <t>Other services</t>
  </si>
  <si>
    <t>Pulses</t>
  </si>
  <si>
    <t>Fishing</t>
  </si>
  <si>
    <t>Fruit and vegetable processing</t>
  </si>
  <si>
    <t>Fats and oils</t>
  </si>
  <si>
    <t>Non-metal minerals</t>
  </si>
  <si>
    <t>Electricity, gas and steam</t>
  </si>
  <si>
    <t>Water supply and sewage</t>
  </si>
  <si>
    <t>Wholesale and retail trade</t>
  </si>
  <si>
    <t>Transportation and storage</t>
  </si>
  <si>
    <t>Information and communication</t>
  </si>
  <si>
    <t>Finance and insurance</t>
  </si>
  <si>
    <t>Real estate activities</t>
  </si>
  <si>
    <t>Health and social work</t>
  </si>
  <si>
    <t>puls</t>
  </si>
  <si>
    <t>oils</t>
  </si>
  <si>
    <t>root</t>
  </si>
  <si>
    <t>vege</t>
  </si>
  <si>
    <t>frui</t>
  </si>
  <si>
    <t>ocrp</t>
  </si>
  <si>
    <t>fore</t>
  </si>
  <si>
    <t>fish</t>
  </si>
  <si>
    <t>meat</t>
  </si>
  <si>
    <t>fveg</t>
  </si>
  <si>
    <t>foil</t>
  </si>
  <si>
    <t>gmll</t>
  </si>
  <si>
    <t>text</t>
  </si>
  <si>
    <t>wood</t>
  </si>
  <si>
    <t>petr</t>
  </si>
  <si>
    <t>chem</t>
  </si>
  <si>
    <t>nmet</t>
  </si>
  <si>
    <t>metl</t>
  </si>
  <si>
    <t>mach</t>
  </si>
  <si>
    <t>oman</t>
  </si>
  <si>
    <t>elec</t>
  </si>
  <si>
    <t>watr</t>
  </si>
  <si>
    <t>cons</t>
  </si>
  <si>
    <t>trad</t>
  </si>
  <si>
    <t>tran</t>
  </si>
  <si>
    <t>hotl</t>
  </si>
  <si>
    <t>comm</t>
  </si>
  <si>
    <t>fsrv</t>
  </si>
  <si>
    <t>real</t>
  </si>
  <si>
    <t>bsrv</t>
  </si>
  <si>
    <t>padm</t>
  </si>
  <si>
    <t>educ</t>
  </si>
  <si>
    <t>heal</t>
  </si>
  <si>
    <t>osrv</t>
  </si>
  <si>
    <t>Factors (f)</t>
  </si>
  <si>
    <t>lnd</t>
  </si>
  <si>
    <t xml:space="preserve">Land - agricultural crops </t>
  </si>
  <si>
    <t>cap-c</t>
  </si>
  <si>
    <t>Capital - crops</t>
  </si>
  <si>
    <t>cap-l</t>
  </si>
  <si>
    <t>Capital - livestock</t>
  </si>
  <si>
    <t>cap-m</t>
  </si>
  <si>
    <t>Capital - mining</t>
  </si>
  <si>
    <t>cap-o</t>
  </si>
  <si>
    <t>Capital - other</t>
  </si>
  <si>
    <t xml:space="preserve">Activities (a) and commodities (c) </t>
  </si>
  <si>
    <t>Households (hhd)</t>
  </si>
  <si>
    <t>f1</t>
  </si>
  <si>
    <t>Rural farm - quintile 1</t>
  </si>
  <si>
    <t>f2</t>
  </si>
  <si>
    <t>Rural farm - quintile 2</t>
  </si>
  <si>
    <t>f3</t>
  </si>
  <si>
    <t>Rural farm - quintile 3</t>
  </si>
  <si>
    <t>f4</t>
  </si>
  <si>
    <t>Rural farm - quintile 4</t>
  </si>
  <si>
    <t>f5</t>
  </si>
  <si>
    <t>Rural farm - quintile 5</t>
  </si>
  <si>
    <t>n1</t>
  </si>
  <si>
    <t>Rural nonfarm - quintile 1</t>
  </si>
  <si>
    <t>n2</t>
  </si>
  <si>
    <t>Rural nonfarm - quintile 2</t>
  </si>
  <si>
    <t>n3</t>
  </si>
  <si>
    <t>Rural nonfarm - quintile 3</t>
  </si>
  <si>
    <t>n4</t>
  </si>
  <si>
    <t>Rural nonfarm - quintile 4</t>
  </si>
  <si>
    <t>n5</t>
  </si>
  <si>
    <t>Rural nonfarm - quintile 5</t>
  </si>
  <si>
    <t>u1</t>
  </si>
  <si>
    <t>Urban - quintile 1</t>
  </si>
  <si>
    <t>u2</t>
  </si>
  <si>
    <t>Urban - quintile 2</t>
  </si>
  <si>
    <t>u3</t>
  </si>
  <si>
    <t>Urban - quintile 3</t>
  </si>
  <si>
    <t>u4</t>
  </si>
  <si>
    <t>Urban - quintile 4</t>
  </si>
  <si>
    <t>u5</t>
  </si>
  <si>
    <t>Urban - quintile 5</t>
  </si>
  <si>
    <t>Other accounts</t>
  </si>
  <si>
    <t>trc</t>
  </si>
  <si>
    <t>Transaction costs</t>
  </si>
  <si>
    <t>ent</t>
  </si>
  <si>
    <t>Enterprises</t>
  </si>
  <si>
    <t>gov</t>
  </si>
  <si>
    <t>Government</t>
  </si>
  <si>
    <t>atax</t>
  </si>
  <si>
    <t>Taxes - activity</t>
  </si>
  <si>
    <t>dtax</t>
  </si>
  <si>
    <t>Taxes - direct</t>
  </si>
  <si>
    <t>etax</t>
  </si>
  <si>
    <t>Taxes - export</t>
  </si>
  <si>
    <t>ftax</t>
  </si>
  <si>
    <t>Taxes - factor</t>
  </si>
  <si>
    <t>mtax</t>
  </si>
  <si>
    <t>Taxes - import</t>
  </si>
  <si>
    <t>stax</t>
  </si>
  <si>
    <t>Taxes - sales</t>
  </si>
  <si>
    <t>s-i</t>
  </si>
  <si>
    <t>Savings-investment</t>
  </si>
  <si>
    <t>dstk</t>
  </si>
  <si>
    <t>Change in stocks</t>
  </si>
  <si>
    <t>row</t>
  </si>
  <si>
    <t>Rest of world</t>
  </si>
  <si>
    <t>total</t>
  </si>
  <si>
    <t>Total</t>
  </si>
  <si>
    <t>GAMS GDX Index</t>
  </si>
  <si>
    <t>Do not alter this sheet.</t>
  </si>
  <si>
    <t>rdim</t>
  </si>
  <si>
    <t>cdim</t>
  </si>
  <si>
    <t>par</t>
  </si>
  <si>
    <t>nsam</t>
  </si>
  <si>
    <t>sam!a7</t>
  </si>
  <si>
    <t>amaiz</t>
  </si>
  <si>
    <t>arice</t>
  </si>
  <si>
    <t>aocer</t>
  </si>
  <si>
    <t>apuls</t>
  </si>
  <si>
    <t>agnut</t>
  </si>
  <si>
    <t>aoils</t>
  </si>
  <si>
    <t>acass</t>
  </si>
  <si>
    <t>aroot</t>
  </si>
  <si>
    <t>avege</t>
  </si>
  <si>
    <t>asugr</t>
  </si>
  <si>
    <t>atoba</t>
  </si>
  <si>
    <t>acott</t>
  </si>
  <si>
    <t>afrui</t>
  </si>
  <si>
    <t>aocrp</t>
  </si>
  <si>
    <t>acatt</t>
  </si>
  <si>
    <t>apoul</t>
  </si>
  <si>
    <t>afore</t>
  </si>
  <si>
    <t>afish</t>
  </si>
  <si>
    <t>ameat</t>
  </si>
  <si>
    <t>agmll</t>
  </si>
  <si>
    <t>atext</t>
  </si>
  <si>
    <t>awood</t>
  </si>
  <si>
    <t>afert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</si>
  <si>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</si>
  <si>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</si>
  <si>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</si>
  <si>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</si>
  <si>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</si>
  <si>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</si>
  <si>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</si>
  <si>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</si>
  <si>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atrad</t>
  </si>
  <si>
    <t>atran</t>
  </si>
  <si>
    <t>ahotl</t>
  </si>
  <si>
    <t>acomm</t>
  </si>
  <si>
    <t>afsrv</t>
  </si>
  <si>
    <t>areal</t>
  </si>
  <si>
    <t>absrv</t>
  </si>
  <si>
    <t>apadm</t>
  </si>
  <si>
    <t>aeduc</t>
  </si>
  <si>
    <t>aheal</t>
  </si>
  <si>
    <t>aosrv</t>
  </si>
  <si>
    <t>cpuls</t>
  </si>
  <si>
    <t>coils</t>
  </si>
  <si>
    <t>croot</t>
  </si>
  <si>
    <t>cvege</t>
  </si>
  <si>
    <t>cfrui</t>
  </si>
  <si>
    <t>cocrp</t>
  </si>
  <si>
    <t>cfore</t>
  </si>
  <si>
    <t>cfish</t>
  </si>
  <si>
    <t>cmeat</t>
  </si>
  <si>
    <t>cgmll</t>
  </si>
  <si>
    <t>ctext</t>
  </si>
  <si>
    <t>cwood</t>
  </si>
  <si>
    <t>cpetr</t>
  </si>
  <si>
    <t>cfert</t>
  </si>
  <si>
    <t>cchem</t>
  </si>
  <si>
    <t>cnmet</t>
  </si>
  <si>
    <t>cmetl</t>
  </si>
  <si>
    <t>cmach</t>
  </si>
  <si>
    <t>coman</t>
  </si>
  <si>
    <t>celec</t>
  </si>
  <si>
    <t>cwatr</t>
  </si>
  <si>
    <t>ccons</t>
  </si>
  <si>
    <t>ctrad</t>
  </si>
  <si>
    <t>ctran</t>
  </si>
  <si>
    <t>chotl</t>
  </si>
  <si>
    <t>ccomm</t>
  </si>
  <si>
    <t>cfsrv</t>
  </si>
  <si>
    <t>creal</t>
  </si>
  <si>
    <t>cbsrv</t>
  </si>
  <si>
    <t>cpadm</t>
  </si>
  <si>
    <t>ceduc</t>
  </si>
  <si>
    <t>cheal</t>
  </si>
  <si>
    <t>cosrv</t>
  </si>
  <si>
    <t>flab-rp</t>
  </si>
  <si>
    <t>flab-rs</t>
  </si>
  <si>
    <t>flab-rt</t>
  </si>
  <si>
    <t>flab-up</t>
  </si>
  <si>
    <t>flab-us</t>
  </si>
  <si>
    <t>flab-ut</t>
  </si>
  <si>
    <t>flnd</t>
  </si>
  <si>
    <t>hhd-f1</t>
  </si>
  <si>
    <t>hhd-f2</t>
  </si>
  <si>
    <t>hhd-f3</t>
  </si>
  <si>
    <t>hhd-f4</t>
  </si>
  <si>
    <t>hhd-f5</t>
  </si>
  <si>
    <t>hhd-u1</t>
  </si>
  <si>
    <t>hhd-u2</t>
  </si>
  <si>
    <t>hhd-u3</t>
  </si>
  <si>
    <t>hhd-u4</t>
  </si>
  <si>
    <t>hhd-u5</t>
  </si>
  <si>
    <t>Nexus Social Accounting Matrix</t>
  </si>
  <si>
    <t>Do not alter this sheet. This data is exported from x1aggregate.gms and x1aggregate.xlsx files, which aggregates the original SAM into the standard Nexus SAM structure.</t>
  </si>
  <si>
    <t>Set Definitions</t>
  </si>
  <si>
    <t>a</t>
  </si>
  <si>
    <t>c</t>
  </si>
  <si>
    <t>f</t>
  </si>
  <si>
    <t>h</t>
  </si>
  <si>
    <t>ac</t>
  </si>
  <si>
    <t>Regions</t>
  </si>
  <si>
    <t>Commodities</t>
  </si>
  <si>
    <t>Factors</t>
  </si>
  <si>
    <t>Institutions</t>
  </si>
  <si>
    <t>MAC</t>
  </si>
  <si>
    <t>All</t>
  </si>
  <si>
    <t>Labor</t>
  </si>
  <si>
    <t>Capital</t>
  </si>
  <si>
    <t>Livestock</t>
  </si>
  <si>
    <t>Land</t>
  </si>
  <si>
    <t>Domestic</t>
  </si>
  <si>
    <t>Exports</t>
  </si>
  <si>
    <t>Imports</t>
  </si>
  <si>
    <t>MARG</t>
  </si>
  <si>
    <t>RG</t>
  </si>
  <si>
    <t>A</t>
  </si>
  <si>
    <t>ARG</t>
  </si>
  <si>
    <t>C</t>
  </si>
  <si>
    <t>FLIV</t>
  </si>
  <si>
    <t>FLND</t>
  </si>
  <si>
    <t>INS</t>
  </si>
  <si>
    <t>INSD</t>
  </si>
  <si>
    <t>INSDNG</t>
  </si>
  <si>
    <t>EN</t>
  </si>
  <si>
    <t>H</t>
  </si>
  <si>
    <t>CTD</t>
  </si>
  <si>
    <t>CTE</t>
  </si>
  <si>
    <t>CTM</t>
  </si>
  <si>
    <t>AC</t>
  </si>
  <si>
    <t>F</t>
  </si>
  <si>
    <t>FLAB</t>
  </si>
  <si>
    <t>FCAP</t>
  </si>
  <si>
    <t>Global set</t>
  </si>
  <si>
    <t>Activities</t>
  </si>
  <si>
    <t>Non-government</t>
  </si>
  <si>
    <t>Households</t>
  </si>
  <si>
    <t>Export</t>
  </si>
  <si>
    <t>Import</t>
  </si>
  <si>
    <t>Mapping activities to regions</t>
  </si>
  <si>
    <t>Mapping activities to commodities</t>
  </si>
  <si>
    <t>asorg</t>
  </si>
  <si>
    <t>awhea</t>
  </si>
  <si>
    <t>acoco</t>
  </si>
  <si>
    <t>acoff</t>
  </si>
  <si>
    <t>ateal</t>
  </si>
  <si>
    <t>aflwr</t>
  </si>
  <si>
    <t>amilk</t>
  </si>
  <si>
    <t>asmlr</t>
  </si>
  <si>
    <t>aoliv</t>
  </si>
  <si>
    <t>afsea</t>
  </si>
  <si>
    <t>adair</t>
  </si>
  <si>
    <t>afveg</t>
  </si>
  <si>
    <t>afoil</t>
  </si>
  <si>
    <t>apetr</t>
  </si>
  <si>
    <t>cmilk</t>
  </si>
  <si>
    <t>cfsea</t>
  </si>
  <si>
    <t>cdair</t>
  </si>
  <si>
    <t>cfveg</t>
  </si>
  <si>
    <t>cfoil</t>
  </si>
  <si>
    <t>flab-rn</t>
  </si>
  <si>
    <t>flab-un</t>
  </si>
  <si>
    <t>trd</t>
  </si>
  <si>
    <t>tre</t>
  </si>
  <si>
    <t>trm</t>
  </si>
  <si>
    <t>trncstdom</t>
  </si>
  <si>
    <t>trncstexp</t>
  </si>
  <si>
    <t>trncstimp</t>
  </si>
  <si>
    <t>instax</t>
  </si>
  <si>
    <t>factax</t>
  </si>
  <si>
    <t>imptax</t>
  </si>
  <si>
    <t>exptax</t>
  </si>
  <si>
    <t>vatax</t>
  </si>
  <si>
    <t>acttax</t>
  </si>
  <si>
    <t>comtax</t>
  </si>
  <si>
    <t>dum</t>
  </si>
  <si>
    <t>Do not alter this sheet, unless you are adding new regions.</t>
  </si>
  <si>
    <t>rg</t>
  </si>
  <si>
    <t>arg</t>
  </si>
  <si>
    <t>flab</t>
  </si>
  <si>
    <t>fliv</t>
  </si>
  <si>
    <t>fcap</t>
  </si>
  <si>
    <t>ins</t>
  </si>
  <si>
    <t>insd</t>
  </si>
  <si>
    <t>insdng</t>
  </si>
  <si>
    <t>en</t>
  </si>
  <si>
    <t>ctd</t>
  </si>
  <si>
    <t>cte</t>
  </si>
  <si>
    <t>ctm</t>
  </si>
  <si>
    <t>mac</t>
  </si>
  <si>
    <t>marg</t>
  </si>
  <si>
    <t>dset</t>
  </si>
  <si>
    <t>set</t>
  </si>
  <si>
    <t>values=nodata</t>
  </si>
  <si>
    <t>sets!a7</t>
  </si>
  <si>
    <t>sets!b7</t>
  </si>
  <si>
    <t>sets!c7</t>
  </si>
  <si>
    <t>sets!d7</t>
  </si>
  <si>
    <t>sets!e7</t>
  </si>
  <si>
    <t>sets!f7</t>
  </si>
  <si>
    <t>sets!g7</t>
  </si>
  <si>
    <t>sets!h7</t>
  </si>
  <si>
    <t>sets!i7</t>
  </si>
  <si>
    <t>sets!j7</t>
  </si>
  <si>
    <t>sets!k7</t>
  </si>
  <si>
    <t>sets!l7</t>
  </si>
  <si>
    <t>sets!m7</t>
  </si>
  <si>
    <t>sets!n7</t>
  </si>
  <si>
    <t>sets!o7</t>
  </si>
  <si>
    <t>sets!p7</t>
  </si>
  <si>
    <t>sets!q7</t>
  </si>
  <si>
    <t>sets!r7</t>
  </si>
  <si>
    <t>sets!t7</t>
  </si>
  <si>
    <t>sets!w7</t>
  </si>
  <si>
    <t>sam</t>
  </si>
  <si>
    <t>elasticities!a7</t>
  </si>
  <si>
    <t>elasticities!e7</t>
  </si>
  <si>
    <t>production!a7</t>
  </si>
  <si>
    <t>population!a7</t>
  </si>
  <si>
    <t>tradelas</t>
  </si>
  <si>
    <t>prodelastab</t>
  </si>
  <si>
    <t>leselas1</t>
  </si>
  <si>
    <t>qfinput</t>
  </si>
  <si>
    <t>wfinput</t>
  </si>
  <si>
    <t>poptab</t>
  </si>
  <si>
    <t>AL</t>
  </si>
  <si>
    <t>employment!a7</t>
  </si>
  <si>
    <t>employment!c7</t>
  </si>
  <si>
    <t>al</t>
  </si>
  <si>
    <t>mala</t>
  </si>
  <si>
    <t>Instruction</t>
  </si>
  <si>
    <t>Factor and Trade Substitution Elasticities</t>
  </si>
  <si>
    <t>Enter elasticities if available.</t>
  </si>
  <si>
    <t>Trade elasticities (TRADELAS)</t>
  </si>
  <si>
    <t>Armington</t>
  </si>
  <si>
    <t>Transformation</t>
  </si>
  <si>
    <t>SIGMAQ</t>
  </si>
  <si>
    <t>SIGMAT</t>
  </si>
  <si>
    <t>Production elasticities (PRODELAS)</t>
  </si>
  <si>
    <t>Factor substitution</t>
  </si>
  <si>
    <t>PRODELAS</t>
  </si>
  <si>
    <t>PRODELAS2</t>
  </si>
  <si>
    <t>Region</t>
  </si>
  <si>
    <t>Factor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</si>
  <si>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</si>
  <si>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</si>
  <si>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</si>
  <si>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</si>
  <si>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</si>
  <si>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</si>
  <si>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</si>
  <si>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</si>
  <si>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goats,</t>
  </si>
  <si>
    <t>Animal products nec</t>
  </si>
  <si>
    <t>Raw milk</t>
  </si>
  <si>
    <t>Wool, silk-worm cocoons</t>
  </si>
  <si>
    <t>Coal</t>
  </si>
  <si>
    <t>Oil</t>
  </si>
  <si>
    <t>Gas</t>
  </si>
  <si>
    <t>Minerals nec</t>
  </si>
  <si>
    <t>Bovine meat prods</t>
  </si>
  <si>
    <t>Meat products nec</t>
  </si>
  <si>
    <t>Vegetable oils and fats</t>
  </si>
  <si>
    <t>Dairy products</t>
  </si>
  <si>
    <t>Processed rice</t>
  </si>
  <si>
    <t>Sugar</t>
  </si>
  <si>
    <t>Food products nec</t>
  </si>
  <si>
    <t>Beverages and tobacco products</t>
  </si>
  <si>
    <t>Wearing apparel</t>
  </si>
  <si>
    <t>Leather products</t>
  </si>
  <si>
    <t>Wood products</t>
  </si>
  <si>
    <t>Paper products, publishing</t>
  </si>
  <si>
    <t>Petroleum, coal products</t>
  </si>
  <si>
    <t>Chemical, rubber, plastic products</t>
  </si>
  <si>
    <t>Mineral products nec</t>
  </si>
  <si>
    <t>Ferrous metals</t>
  </si>
  <si>
    <t>metals nec</t>
  </si>
  <si>
    <t>Metal products</t>
  </si>
  <si>
    <t>Motor vehicles and parts</t>
  </si>
  <si>
    <t>Transport equipment nec</t>
  </si>
  <si>
    <t>Electronic equipment</t>
  </si>
  <si>
    <t>Machinery and equipment nec</t>
  </si>
  <si>
    <t>Manufactures nec</t>
  </si>
  <si>
    <t>Electricity</t>
  </si>
  <si>
    <t>Gas manufacture, distribution</t>
  </si>
  <si>
    <t>Water</t>
  </si>
  <si>
    <t>Trade</t>
  </si>
  <si>
    <t>Transport nec</t>
  </si>
  <si>
    <t>Water transport</t>
  </si>
  <si>
    <t>Air transport</t>
  </si>
  <si>
    <t>Communication</t>
  </si>
  <si>
    <t>Financial services nec</t>
  </si>
  <si>
    <t>Insurance</t>
  </si>
  <si>
    <t>Business services nec</t>
  </si>
  <si>
    <t>Recreational and other services</t>
  </si>
  <si>
    <t>Public Admin, Defense, Education,</t>
  </si>
  <si>
    <t>Dwellings</t>
  </si>
  <si>
    <t>Original GTAP elasticities</t>
  </si>
  <si>
    <t>Assigned GTAP elasticities</t>
  </si>
  <si>
    <t>Mapped</t>
  </si>
  <si>
    <t>prod</t>
  </si>
  <si>
    <t>area</t>
  </si>
  <si>
    <t>yield</t>
  </si>
  <si>
    <t>Agricultural Production Quantities</t>
  </si>
  <si>
    <t>Enter land area and quantity produced for crops and livestock (by region if necessary)</t>
  </si>
  <si>
    <t>Labor Employment</t>
  </si>
  <si>
    <t>Aggregate sectors</t>
  </si>
  <si>
    <t>Mapping to subsectors</t>
  </si>
  <si>
    <t>crp</t>
  </si>
  <si>
    <t>liv</t>
  </si>
  <si>
    <t>oag</t>
  </si>
  <si>
    <t>min</t>
  </si>
  <si>
    <t>fdp</t>
  </si>
  <si>
    <t>txt</t>
  </si>
  <si>
    <t>wdp</t>
  </si>
  <si>
    <t>chm</t>
  </si>
  <si>
    <t>nmt</t>
  </si>
  <si>
    <t>mch</t>
  </si>
  <si>
    <t>omn</t>
  </si>
  <si>
    <t>utl</t>
  </si>
  <si>
    <t>con</t>
  </si>
  <si>
    <t>trn</t>
  </si>
  <si>
    <t>pad</t>
  </si>
  <si>
    <t>edu</t>
  </si>
  <si>
    <t>hsw</t>
  </si>
  <si>
    <t>osv</t>
  </si>
  <si>
    <t>Sectoral wages (WFBASE)</t>
  </si>
  <si>
    <t>Sectoral employment (QFBASE)</t>
  </si>
  <si>
    <t>Enter either aggregate sector wages or employment numbers</t>
  </si>
  <si>
    <t>Household Population</t>
  </si>
  <si>
    <t>Enter number of people in each representative household group (sums to national population).</t>
  </si>
  <si>
    <t>Summary</t>
  </si>
  <si>
    <t>Q1</t>
  </si>
  <si>
    <t>National</t>
  </si>
  <si>
    <t>Urban</t>
  </si>
  <si>
    <t>Q2</t>
  </si>
  <si>
    <t>Q3</t>
  </si>
  <si>
    <t>Q4</t>
  </si>
  <si>
    <t>Q5</t>
  </si>
  <si>
    <t>People</t>
  </si>
  <si>
    <t>Share</t>
  </si>
  <si>
    <t>proddata</t>
  </si>
  <si>
    <t>REMEXP</t>
  </si>
  <si>
    <t>REMIMP</t>
  </si>
  <si>
    <t>REEXPORT</t>
  </si>
  <si>
    <t>NETIMPS</t>
  </si>
  <si>
    <t>NETEXPS</t>
  </si>
  <si>
    <t>Re-exports</t>
  </si>
  <si>
    <t xml:space="preserve">Net out trade </t>
  </si>
  <si>
    <t>Remove small trade shares</t>
  </si>
  <si>
    <t>Adjustments to SAM Trade Flows</t>
  </si>
  <si>
    <t>remexp</t>
  </si>
  <si>
    <t>remimp</t>
  </si>
  <si>
    <t>reexport</t>
  </si>
  <si>
    <t>netexps</t>
  </si>
  <si>
    <t>netimps</t>
  </si>
  <si>
    <t>adjust!a7</t>
  </si>
  <si>
    <t>adjust!b7</t>
  </si>
  <si>
    <t>adjust!c7</t>
  </si>
  <si>
    <t>adjust!d7</t>
  </si>
  <si>
    <t>adjust!e7</t>
  </si>
  <si>
    <t>adjust!f7</t>
  </si>
  <si>
    <t>milk</t>
  </si>
  <si>
    <t>Meat processing</t>
  </si>
  <si>
    <t>fsea</t>
  </si>
  <si>
    <t>Fish and seafood processing</t>
  </si>
  <si>
    <t>dair</t>
  </si>
  <si>
    <t>Dairy</t>
  </si>
  <si>
    <t>fert</t>
  </si>
  <si>
    <t>employment!g6</t>
  </si>
  <si>
    <t>crp_cer</t>
  </si>
  <si>
    <t>crp_rts</t>
  </si>
  <si>
    <t>crp_pul</t>
  </si>
  <si>
    <t>crp_oil</t>
  </si>
  <si>
    <t>crp_veg</t>
  </si>
  <si>
    <t>crp_fru</t>
  </si>
  <si>
    <t>crp_exp</t>
  </si>
  <si>
    <t>crp_oth</t>
  </si>
  <si>
    <t>oag_for</t>
  </si>
  <si>
    <t>oag_fsh</t>
  </si>
  <si>
    <t>com</t>
  </si>
  <si>
    <t>fdp_hgh</t>
  </si>
  <si>
    <t>fdp_low</t>
  </si>
  <si>
    <t>Petroleum products</t>
  </si>
  <si>
    <t>Fertilizers and herbicides</t>
  </si>
  <si>
    <t>Machinery and other equipment</t>
  </si>
  <si>
    <t>Household survey data</t>
  </si>
  <si>
    <t>Target population</t>
  </si>
  <si>
    <t>Agriculture</t>
  </si>
  <si>
    <t>Industry</t>
  </si>
  <si>
    <t>sets!aa7</t>
  </si>
  <si>
    <t>sets!ab7</t>
  </si>
  <si>
    <t>sets!ac7</t>
  </si>
  <si>
    <t>sets!ad7</t>
  </si>
  <si>
    <t>sets!ae7</t>
  </si>
  <si>
    <t>sets!af7</t>
  </si>
  <si>
    <t>sets!ag7</t>
  </si>
  <si>
    <t>sets!ah7</t>
  </si>
  <si>
    <t>sets!ai7</t>
  </si>
  <si>
    <t>Sectoral groups for employment calculations</t>
  </si>
  <si>
    <t>Production</t>
  </si>
  <si>
    <t>Area</t>
  </si>
  <si>
    <t>Yield</t>
  </si>
  <si>
    <t>mt/ha</t>
  </si>
  <si>
    <t>1000mt</t>
  </si>
  <si>
    <t>1000ha</t>
  </si>
  <si>
    <t>*</t>
  </si>
  <si>
    <t>Perfect substitutes</t>
  </si>
  <si>
    <t>aipot</t>
  </si>
  <si>
    <t>aspot</t>
  </si>
  <si>
    <t>aleaf</t>
  </si>
  <si>
    <t>anuts</t>
  </si>
  <si>
    <t>abana</t>
  </si>
  <si>
    <t>aeggs</t>
  </si>
  <si>
    <t>arest</t>
  </si>
  <si>
    <t>crest</t>
  </si>
  <si>
    <t>rest</t>
  </si>
  <si>
    <t>arubb</t>
  </si>
  <si>
    <t>flab-n</t>
  </si>
  <si>
    <t>flab-p</t>
  </si>
  <si>
    <t>flab-s</t>
  </si>
  <si>
    <t>flab-t</t>
  </si>
  <si>
    <t>employment!g50</t>
  </si>
  <si>
    <t>fcap-c</t>
  </si>
  <si>
    <t>fcap-l</t>
  </si>
  <si>
    <t>fcap-m</t>
  </si>
  <si>
    <t>fcap-o</t>
  </si>
  <si>
    <t>EAGR</t>
  </si>
  <si>
    <t>EMIN</t>
  </si>
  <si>
    <t>EMAN</t>
  </si>
  <si>
    <t>EUTL</t>
  </si>
  <si>
    <t>ECON</t>
  </si>
  <si>
    <t>ETRD</t>
  </si>
  <si>
    <t>ETRC</t>
  </si>
  <si>
    <t>EHFS</t>
  </si>
  <si>
    <t>EFBS</t>
  </si>
  <si>
    <t>ERES</t>
  </si>
  <si>
    <t>EGSV</t>
  </si>
  <si>
    <t>EOSV</t>
  </si>
  <si>
    <t>eagr</t>
  </si>
  <si>
    <t>emin</t>
  </si>
  <si>
    <t>eman</t>
  </si>
  <si>
    <t>eutl</t>
  </si>
  <si>
    <t>econ</t>
  </si>
  <si>
    <t>etrd</t>
  </si>
  <si>
    <t>etrc</t>
  </si>
  <si>
    <t>ehfs</t>
  </si>
  <si>
    <t>efbs</t>
  </si>
  <si>
    <t>eres</t>
  </si>
  <si>
    <t>egsv</t>
  </si>
  <si>
    <t>eosv</t>
  </si>
  <si>
    <t>sets!aj7</t>
  </si>
  <si>
    <t>sets!ak7</t>
  </si>
  <si>
    <t>sets!al7</t>
  </si>
  <si>
    <t>hfs</t>
  </si>
  <si>
    <t>rbs</t>
  </si>
  <si>
    <t>fsv</t>
  </si>
  <si>
    <t>x</t>
  </si>
  <si>
    <t>aplan</t>
  </si>
  <si>
    <t>CER</t>
  </si>
  <si>
    <t>cer</t>
  </si>
  <si>
    <t>hhd-n1</t>
  </si>
  <si>
    <t>hhd-n2</t>
  </si>
  <si>
    <t>hhd-n3</t>
  </si>
  <si>
    <t>hhd-n4</t>
  </si>
  <si>
    <t>hhd-n5</t>
  </si>
  <si>
    <t>Farm</t>
  </si>
  <si>
    <t>Nonfarm</t>
  </si>
  <si>
    <t>thousand</t>
  </si>
  <si>
    <t>Extract SAM values - marketed</t>
  </si>
  <si>
    <t>Extract SAM values - home</t>
  </si>
  <si>
    <t>Extract SAM values - total</t>
  </si>
  <si>
    <t>Rural farm</t>
  </si>
  <si>
    <t>Rural nonfarm</t>
  </si>
  <si>
    <t>Total food</t>
  </si>
  <si>
    <t>Total consumption - LCU</t>
  </si>
  <si>
    <t>Total consumption - USD</t>
  </si>
  <si>
    <t>Total per capita consumption - USD</t>
  </si>
  <si>
    <t>Population (thousands)</t>
  </si>
  <si>
    <t>Share of supernumerary in total</t>
  </si>
  <si>
    <t>Step 3: define share of total subsistence consumption in TOTAL consumtion (using Frisch parameter)</t>
  </si>
  <si>
    <t>Frisch (using Llych 1977)</t>
  </si>
  <si>
    <t>cereals</t>
  </si>
  <si>
    <t>pulses</t>
  </si>
  <si>
    <t>roots</t>
  </si>
  <si>
    <t>(other) vegetables</t>
  </si>
  <si>
    <t>fruits</t>
  </si>
  <si>
    <t>fish-meat-egg</t>
  </si>
  <si>
    <t>diary</t>
  </si>
  <si>
    <t>fats &amp; oils</t>
  </si>
  <si>
    <t>other food</t>
  </si>
  <si>
    <t>other ag</t>
  </si>
  <si>
    <t>clothing and textile</t>
  </si>
  <si>
    <t>mining</t>
  </si>
  <si>
    <t>manufacturing</t>
  </si>
  <si>
    <t>utilities</t>
  </si>
  <si>
    <t>contruction</t>
  </si>
  <si>
    <t>hotels and restaurants</t>
  </si>
  <si>
    <t>trade, transport and comm</t>
  </si>
  <si>
    <t>housing</t>
  </si>
  <si>
    <t>education, health and public</t>
  </si>
  <si>
    <t>other services</t>
  </si>
  <si>
    <t>ABS - disagg</t>
  </si>
  <si>
    <t>20 groups - ABS</t>
  </si>
  <si>
    <t>Total nonfood</t>
  </si>
  <si>
    <t>MBS</t>
  </si>
  <si>
    <t>STEP 2: set MBS - marginal budget shares and income elast (MBS=ABS*income elast)</t>
  </si>
  <si>
    <t>SAM values</t>
  </si>
  <si>
    <t>income elasticities - FINAL disagg (will enter 1model)</t>
  </si>
  <si>
    <t>marketed</t>
  </si>
  <si>
    <t>home</t>
  </si>
  <si>
    <t>leselas2</t>
  </si>
  <si>
    <t>FRISCH</t>
  </si>
  <si>
    <t>1970 USD/LCU</t>
  </si>
  <si>
    <t>2019 USD/LCU</t>
  </si>
  <si>
    <r>
      <t>STEP 1: calculate ABS - average budget shares (based on SAM).</t>
    </r>
    <r>
      <rPr>
        <sz val="11"/>
        <color rgb="FFFF0000"/>
        <rFont val="Calibri"/>
        <family val="2"/>
        <scheme val="minor"/>
      </rPr>
      <t xml:space="preserve"> </t>
    </r>
  </si>
  <si>
    <t>Step 4: check gamma shares (should be the same as in 1model, both marketed and home)</t>
  </si>
  <si>
    <t>Share of subsistnce in total</t>
  </si>
  <si>
    <t>Frisch</t>
  </si>
  <si>
    <t>Choose here which USD to use</t>
  </si>
  <si>
    <t>Frisch - FINAL (will enter 1model). Adjust formula if necessary</t>
  </si>
  <si>
    <t>caregory</t>
  </si>
  <si>
    <t>broad categories</t>
  </si>
  <si>
    <t>given</t>
  </si>
  <si>
    <t>category</t>
  </si>
  <si>
    <t>given - residual categories</t>
  </si>
  <si>
    <t>residual</t>
  </si>
  <si>
    <t>given=income elasticity WILL bew given</t>
  </si>
  <si>
    <t>Residual formula</t>
  </si>
  <si>
    <t>residual = income elasticity WILL be calculated/calibrated as a residual</t>
  </si>
  <si>
    <t>Households LES parametrization</t>
  </si>
  <si>
    <t>STEP 0: classification</t>
  </si>
  <si>
    <t>SAM 4 letters</t>
  </si>
  <si>
    <t>SAM commodities</t>
  </si>
  <si>
    <t>SAM activities</t>
  </si>
  <si>
    <t>DO NOT CHANGE ANYTHING UNLESS INSTRUCTED (BLACK cells should NOT be changed; color cells CAN be changed). Follow steps.</t>
  </si>
  <si>
    <t>Total national</t>
  </si>
  <si>
    <t>Specify if given or residual</t>
  </si>
  <si>
    <t>Total given</t>
  </si>
  <si>
    <t>Total residual</t>
  </si>
  <si>
    <r>
      <t>income elast (factor correcting ABS, enter here ONLY given (</t>
    </r>
    <r>
      <rPr>
        <b/>
        <sz val="11"/>
        <rFont val="Calibri"/>
        <family val="2"/>
        <scheme val="minor"/>
      </rPr>
      <t>YELLOW</t>
    </r>
    <r>
      <rPr>
        <b/>
        <sz val="11"/>
        <color theme="1"/>
        <rFont val="Calibri"/>
        <family val="2"/>
        <scheme val="minor"/>
      </rPr>
      <t>). residual will adjust automatically</t>
    </r>
  </si>
  <si>
    <t>acere</t>
  </si>
  <si>
    <t>alive</t>
  </si>
  <si>
    <t>amino</t>
  </si>
  <si>
    <t>afobe</t>
  </si>
  <si>
    <t>aoapr</t>
  </si>
  <si>
    <t>ccere</t>
  </si>
  <si>
    <t>clive</t>
  </si>
  <si>
    <t>cmine</t>
  </si>
  <si>
    <t>cmino</t>
  </si>
  <si>
    <t>cfobe</t>
  </si>
  <si>
    <t>coapr</t>
  </si>
  <si>
    <t>lab-n</t>
  </si>
  <si>
    <t>lab-p</t>
  </si>
  <si>
    <t>lab-s</t>
  </si>
  <si>
    <t>lab-t</t>
  </si>
  <si>
    <t>Labor - uneducated</t>
  </si>
  <si>
    <t>Labor - primary</t>
  </si>
  <si>
    <t>Labor - secondary</t>
  </si>
  <si>
    <t>Labor - tertiary</t>
  </si>
  <si>
    <t>cere</t>
  </si>
  <si>
    <t>Cereals</t>
  </si>
  <si>
    <t>Oilseeds</t>
  </si>
  <si>
    <t>Roots and Tubers</t>
  </si>
  <si>
    <t>Vegetables</t>
  </si>
  <si>
    <t>Fruits</t>
  </si>
  <si>
    <t>live</t>
  </si>
  <si>
    <t>Fishery</t>
  </si>
  <si>
    <t>mine</t>
  </si>
  <si>
    <t>Mining - energy</t>
  </si>
  <si>
    <t>mino</t>
  </si>
  <si>
    <t>Mining - other</t>
  </si>
  <si>
    <t>Grain milling</t>
  </si>
  <si>
    <t>fobe</t>
  </si>
  <si>
    <t>Other food and beverages</t>
  </si>
  <si>
    <t>oapr</t>
  </si>
  <si>
    <t>Other processing of ag products</t>
  </si>
  <si>
    <t>Chemicals</t>
  </si>
  <si>
    <t>Hotels</t>
  </si>
  <si>
    <t>Restaurants</t>
  </si>
  <si>
    <t>Kenya</t>
  </si>
  <si>
    <t>Billions of Kenyan shillings</t>
  </si>
  <si>
    <t>amine</t>
  </si>
  <si>
    <t>VAshr</t>
  </si>
  <si>
    <t>PRDshr</t>
  </si>
  <si>
    <t>EMPshr</t>
  </si>
  <si>
    <t>EXPshr</t>
  </si>
  <si>
    <t>EXP-OUTshr</t>
  </si>
  <si>
    <t>IMPshr</t>
  </si>
  <si>
    <t>IMP-DEMshr</t>
  </si>
  <si>
    <t>TOTAL-1</t>
  </si>
  <si>
    <t>vegetables</t>
  </si>
  <si>
    <t>abecr</t>
  </si>
  <si>
    <t>cbecr</t>
  </si>
  <si>
    <t>becr</t>
  </si>
  <si>
    <t>Beverage crops</t>
  </si>
  <si>
    <t>Other non-food crops</t>
  </si>
  <si>
    <t>Metals</t>
  </si>
  <si>
    <t>LES!b131</t>
  </si>
  <si>
    <t>LES!s131</t>
  </si>
  <si>
    <t>LES!C206</t>
  </si>
  <si>
    <t>urban</t>
  </si>
  <si>
    <t>rural</t>
  </si>
  <si>
    <t>shares rearranged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</si>
</sst>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2" fontId="0" fillId="0" borderId="0" xfId="0" applyNumberFormat="1"/>
    <xf numFmtId="0" fontId="7" fillId="0" borderId="0" xfId="0" applyFont="1"/>
    <xf numFmtId="0" fontId="6" fillId="0" borderId="0" xfId="0" applyFont="1"/>
    <xf numFmtId="2" fontId="6" fillId="0" borderId="0" xfId="0" applyNumberFormat="1" applyFont="1"/>
    <xf numFmtId="3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3" fontId="0" fillId="0" borderId="1" xfId="0" applyNumberFormat="1" applyBorder="1"/>
    <xf numFmtId="164" fontId="0" fillId="0" borderId="1" xfId="0" applyNumberFormat="1" applyBorder="1"/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0" fontId="4" fillId="0" borderId="0" xfId="0" applyFont="1" applyAlignment="1">
      <alignment horizontal="center"/>
    </xf>
    <xf numFmtId="3" fontId="0" fillId="0" borderId="0" xfId="0" applyNumberFormat="1" applyProtection="1">
      <protection locked="0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3" fontId="0" fillId="0" borderId="2" xfId="0" applyNumberFormat="1" applyBorder="1" applyProtection="1">
      <protection locked="0"/>
    </xf>
    <xf numFmtId="166" fontId="0" fillId="0" borderId="0" xfId="1" applyNumberFormat="1" applyFont="1"/>
    <xf numFmtId="0" fontId="0" fillId="0" borderId="0" xfId="0" applyAlignment="1">
      <alignment horizontal="right"/>
    </xf>
    <xf numFmtId="0" fontId="0" fillId="0" borderId="1" xfId="0" applyBorder="1"/>
    <xf numFmtId="3" fontId="0" fillId="0" borderId="1" xfId="0" applyNumberFormat="1" applyBorder="1" applyProtection="1">
      <protection locked="0"/>
    </xf>
    <xf numFmtId="2" fontId="0" fillId="0" borderId="1" xfId="0" applyNumberFormat="1" applyBorder="1"/>
    <xf numFmtId="0" fontId="10" fillId="0" borderId="0" xfId="0" applyFont="1"/>
    <xf numFmtId="2" fontId="10" fillId="0" borderId="0" xfId="0" applyNumberFormat="1" applyFont="1" applyProtection="1">
      <protection locked="0"/>
    </xf>
    <xf numFmtId="165" fontId="0" fillId="0" borderId="0" xfId="0" applyNumberFormat="1"/>
    <xf numFmtId="165" fontId="0" fillId="0" borderId="0" xfId="0" quotePrefix="1" applyNumberFormat="1"/>
    <xf numFmtId="2" fontId="1" fillId="0" borderId="0" xfId="0" applyNumberFormat="1" applyFont="1"/>
    <xf numFmtId="0" fontId="0" fillId="2" borderId="0" xfId="0" applyFill="1"/>
    <xf numFmtId="2" fontId="10" fillId="0" borderId="1" xfId="0" applyNumberFormat="1" applyFont="1" applyBorder="1" applyProtection="1">
      <protection locked="0"/>
    </xf>
    <xf numFmtId="2" fontId="10" fillId="0" borderId="7" xfId="0" applyNumberFormat="1" applyFont="1" applyBorder="1" applyProtection="1">
      <protection locked="0"/>
    </xf>
    <xf numFmtId="2" fontId="10" fillId="0" borderId="8" xfId="0" applyNumberFormat="1" applyFont="1" applyBorder="1" applyProtection="1">
      <protection locked="0"/>
    </xf>
    <xf numFmtId="0" fontId="0" fillId="0" borderId="9" xfId="0" applyBorder="1"/>
    <xf numFmtId="0" fontId="0" fillId="0" borderId="7" xfId="0" applyBorder="1"/>
    <xf numFmtId="0" fontId="0" fillId="0" borderId="6" xfId="0" applyBorder="1"/>
    <xf numFmtId="2" fontId="1" fillId="0" borderId="0" xfId="0" applyNumberFormat="1" applyFont="1" applyProtection="1">
      <protection locked="0"/>
    </xf>
    <xf numFmtId="4" fontId="0" fillId="0" borderId="0" xfId="0" applyNumberFormat="1" applyProtection="1">
      <protection locked="0"/>
    </xf>
    <xf numFmtId="4" fontId="0" fillId="0" borderId="0" xfId="0" applyNumberFormat="1"/>
    <xf numFmtId="2" fontId="11" fillId="0" borderId="0" xfId="0" applyNumberFormat="1" applyFont="1" applyProtection="1">
      <protection locked="0"/>
    </xf>
    <xf numFmtId="2" fontId="0" fillId="0" borderId="1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5" xfId="0" applyBorder="1"/>
    <xf numFmtId="2" fontId="0" fillId="0" borderId="5" xfId="0" applyNumberFormat="1" applyBorder="1" applyProtection="1">
      <protection locked="0"/>
    </xf>
    <xf numFmtId="0" fontId="0" fillId="0" borderId="12" xfId="0" applyBorder="1"/>
    <xf numFmtId="4" fontId="0" fillId="0" borderId="6" xfId="0" applyNumberFormat="1" applyBorder="1"/>
    <xf numFmtId="4" fontId="0" fillId="0" borderId="3" xfId="0" applyNumberFormat="1" applyBorder="1"/>
    <xf numFmtId="4" fontId="0" fillId="0" borderId="1" xfId="0" applyNumberFormat="1" applyBorder="1"/>
    <xf numFmtId="4" fontId="0" fillId="0" borderId="7" xfId="0" applyNumberFormat="1" applyBorder="1"/>
    <xf numFmtId="4" fontId="0" fillId="0" borderId="8" xfId="0" applyNumberFormat="1" applyBorder="1"/>
    <xf numFmtId="4" fontId="0" fillId="0" borderId="5" xfId="0" applyNumberFormat="1" applyBorder="1"/>
    <xf numFmtId="4" fontId="0" fillId="0" borderId="12" xfId="0" applyNumberFormat="1" applyBorder="1"/>
    <xf numFmtId="4" fontId="0" fillId="0" borderId="4" xfId="0" applyNumberFormat="1" applyBorder="1"/>
    <xf numFmtId="4" fontId="0" fillId="0" borderId="9" xfId="0" applyNumberFormat="1" applyBorder="1"/>
    <xf numFmtId="4" fontId="0" fillId="3" borderId="5" xfId="0" applyNumberFormat="1" applyFill="1" applyBorder="1"/>
    <xf numFmtId="4" fontId="1" fillId="0" borderId="0" xfId="0" applyNumberFormat="1" applyFont="1"/>
    <xf numFmtId="4" fontId="0" fillId="3" borderId="12" xfId="0" applyNumberFormat="1" applyFill="1" applyBorder="1"/>
    <xf numFmtId="4" fontId="0" fillId="3" borderId="4" xfId="0" applyNumberFormat="1" applyFill="1" applyBorder="1"/>
    <xf numFmtId="4" fontId="0" fillId="3" borderId="0" xfId="0" applyNumberFormat="1" applyFill="1"/>
    <xf numFmtId="4" fontId="0" fillId="3" borderId="6" xfId="0" applyNumberFormat="1" applyFill="1" applyBorder="1"/>
    <xf numFmtId="4" fontId="0" fillId="3" borderId="3" xfId="0" applyNumberFormat="1" applyFill="1" applyBorder="1"/>
    <xf numFmtId="4" fontId="1" fillId="3" borderId="0" xfId="0" applyNumberFormat="1" applyFont="1" applyFill="1"/>
    <xf numFmtId="4" fontId="0" fillId="0" borderId="1" xfId="0" applyNumberFormat="1" applyBorder="1" applyProtection="1">
      <protection locked="0"/>
    </xf>
    <xf numFmtId="0" fontId="0" fillId="3" borderId="0" xfId="0" applyFill="1"/>
    <xf numFmtId="0" fontId="1" fillId="3" borderId="0" xfId="0" applyFont="1" applyFill="1"/>
    <xf numFmtId="4" fontId="1" fillId="0" borderId="0" xfId="0" applyNumberFormat="1" applyFont="1" applyProtection="1">
      <protection locked="0"/>
    </xf>
    <xf numFmtId="0" fontId="0" fillId="0" borderId="10" xfId="0" applyBorder="1"/>
    <xf numFmtId="4" fontId="0" fillId="0" borderId="11" xfId="0" applyNumberFormat="1" applyBorder="1"/>
    <xf numFmtId="4" fontId="0" fillId="0" borderId="10" xfId="0" applyNumberFormat="1" applyBorder="1"/>
    <xf numFmtId="0" fontId="11" fillId="0" borderId="0" xfId="0" applyFont="1"/>
    <xf numFmtId="0" fontId="11" fillId="0" borderId="6" xfId="0" applyFont="1" applyBorder="1"/>
    <xf numFmtId="0" fontId="11" fillId="0" borderId="7" xfId="0" applyFont="1" applyBorder="1"/>
    <xf numFmtId="0" fontId="11" fillId="0" borderId="12" xfId="0" applyFont="1" applyBorder="1"/>
    <xf numFmtId="0" fontId="1" fillId="0" borderId="1" xfId="0" applyFont="1" applyBorder="1"/>
    <xf numFmtId="2" fontId="1" fillId="0" borderId="1" xfId="0" applyNumberFormat="1" applyFont="1" applyBorder="1" applyProtection="1">
      <protection locked="0"/>
    </xf>
    <xf numFmtId="2" fontId="11" fillId="0" borderId="1" xfId="0" applyNumberFormat="1" applyFont="1" applyBorder="1" applyProtection="1">
      <protection locked="0"/>
    </xf>
    <xf numFmtId="4" fontId="1" fillId="0" borderId="5" xfId="0" applyNumberFormat="1" applyFont="1" applyBorder="1"/>
    <xf numFmtId="4" fontId="1" fillId="0" borderId="12" xfId="0" applyNumberFormat="1" applyFont="1" applyBorder="1"/>
    <xf numFmtId="4" fontId="1" fillId="0" borderId="4" xfId="0" applyNumberFormat="1" applyFon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/>
    <xf numFmtId="4" fontId="0" fillId="4" borderId="0" xfId="0" applyNumberFormat="1" applyFill="1"/>
    <xf numFmtId="4" fontId="0" fillId="4" borderId="6" xfId="0" applyNumberFormat="1" applyFill="1" applyBorder="1"/>
    <xf numFmtId="4" fontId="0" fillId="4" borderId="3" xfId="0" applyNumberFormat="1" applyFill="1" applyBorder="1"/>
    <xf numFmtId="0" fontId="0" fillId="4" borderId="7" xfId="0" applyFill="1" applyBorder="1" applyAlignment="1">
      <alignment horizontal="center" vertical="center"/>
    </xf>
    <xf numFmtId="0" fontId="0" fillId="4" borderId="7" xfId="0" applyFill="1" applyBorder="1"/>
    <xf numFmtId="4" fontId="0" fillId="4" borderId="1" xfId="0" applyNumberFormat="1" applyFill="1" applyBorder="1"/>
    <xf numFmtId="4" fontId="0" fillId="4" borderId="7" xfId="0" applyNumberFormat="1" applyFill="1" applyBorder="1"/>
    <xf numFmtId="4" fontId="0" fillId="4" borderId="8" xfId="0" applyNumberFormat="1" applyFill="1" applyBorder="1"/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/>
    <xf numFmtId="4" fontId="0" fillId="4" borderId="5" xfId="0" applyNumberFormat="1" applyFill="1" applyBorder="1"/>
    <xf numFmtId="4" fontId="0" fillId="4" borderId="12" xfId="0" applyNumberFormat="1" applyFill="1" applyBorder="1"/>
    <xf numFmtId="4" fontId="0" fillId="4" borderId="4" xfId="0" applyNumberFormat="1" applyFill="1" applyBorder="1"/>
    <xf numFmtId="0" fontId="13" fillId="4" borderId="6" xfId="0" applyFont="1" applyFill="1" applyBorder="1"/>
    <xf numFmtId="0" fontId="13" fillId="4" borderId="7" xfId="0" applyFont="1" applyFill="1" applyBorder="1"/>
    <xf numFmtId="0" fontId="13" fillId="4" borderId="12" xfId="0" applyFont="1" applyFill="1" applyBorder="1"/>
    <xf numFmtId="0" fontId="13" fillId="0" borderId="7" xfId="0" applyFont="1" applyBorder="1"/>
    <xf numFmtId="0" fontId="13" fillId="0" borderId="12" xfId="0" applyFont="1" applyBorder="1"/>
    <xf numFmtId="0" fontId="13" fillId="0" borderId="6" xfId="0" applyFont="1" applyBorder="1"/>
    <xf numFmtId="0" fontId="13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3" fillId="4" borderId="12" xfId="0" applyFont="1" applyFill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4" fontId="0" fillId="3" borderId="1" xfId="0" applyNumberFormat="1" applyFill="1" applyBorder="1"/>
    <xf numFmtId="4" fontId="0" fillId="3" borderId="7" xfId="0" applyNumberFormat="1" applyFill="1" applyBorder="1"/>
    <xf numFmtId="4" fontId="0" fillId="3" borderId="8" xfId="0" applyNumberFormat="1" applyFill="1" applyBorder="1"/>
    <xf numFmtId="2" fontId="11" fillId="0" borderId="5" xfId="1" applyNumberFormat="1" applyFont="1" applyFill="1" applyBorder="1"/>
    <xf numFmtId="2" fontId="11" fillId="0" borderId="12" xfId="1" applyNumberFormat="1" applyFont="1" applyFill="1" applyBorder="1"/>
    <xf numFmtId="2" fontId="11" fillId="0" borderId="4" xfId="1" applyNumberFormat="1" applyFont="1" applyFill="1" applyBorder="1"/>
    <xf numFmtId="2" fontId="11" fillId="0" borderId="1" xfId="1" applyNumberFormat="1" applyFont="1" applyFill="1" applyBorder="1"/>
    <xf numFmtId="2" fontId="11" fillId="0" borderId="7" xfId="1" applyNumberFormat="1" applyFont="1" applyFill="1" applyBorder="1"/>
    <xf numFmtId="2" fontId="11" fillId="0" borderId="8" xfId="1" applyNumberFormat="1" applyFont="1" applyFill="1" applyBorder="1"/>
    <xf numFmtId="2" fontId="11" fillId="0" borderId="9" xfId="1" applyNumberFormat="1" applyFont="1" applyFill="1" applyBorder="1"/>
    <xf numFmtId="2" fontId="11" fillId="0" borderId="10" xfId="1" applyNumberFormat="1" applyFont="1" applyFill="1" applyBorder="1"/>
    <xf numFmtId="2" fontId="11" fillId="0" borderId="11" xfId="1" applyNumberFormat="1" applyFont="1" applyFill="1" applyBorder="1"/>
    <xf numFmtId="4" fontId="1" fillId="0" borderId="11" xfId="0" applyNumberFormat="1" applyFont="1" applyBorder="1" applyAlignment="1">
      <alignment horizontal="center"/>
    </xf>
    <xf numFmtId="4" fontId="11" fillId="0" borderId="11" xfId="1" applyNumberFormat="1" applyFont="1" applyFill="1" applyBorder="1"/>
    <xf numFmtId="4" fontId="11" fillId="0" borderId="9" xfId="1" applyNumberFormat="1" applyFont="1" applyFill="1" applyBorder="1"/>
    <xf numFmtId="4" fontId="11" fillId="0" borderId="10" xfId="1" applyNumberFormat="1" applyFont="1" applyFill="1" applyBorder="1"/>
    <xf numFmtId="4" fontId="1" fillId="0" borderId="8" xfId="0" applyNumberFormat="1" applyFont="1" applyBorder="1" applyAlignment="1">
      <alignment horizontal="center"/>
    </xf>
    <xf numFmtId="4" fontId="11" fillId="0" borderId="8" xfId="1" applyNumberFormat="1" applyFont="1" applyFill="1" applyBorder="1"/>
    <xf numFmtId="4" fontId="11" fillId="0" borderId="1" xfId="1" applyNumberFormat="1" applyFont="1" applyFill="1" applyBorder="1"/>
    <xf numFmtId="4" fontId="11" fillId="0" borderId="7" xfId="1" applyNumberFormat="1" applyFont="1" applyFill="1" applyBorder="1"/>
    <xf numFmtId="4" fontId="1" fillId="0" borderId="4" xfId="0" applyNumberFormat="1" applyFont="1" applyBorder="1" applyAlignment="1">
      <alignment horizontal="center"/>
    </xf>
    <xf numFmtId="4" fontId="11" fillId="0" borderId="4" xfId="1" applyNumberFormat="1" applyFont="1" applyFill="1" applyBorder="1"/>
    <xf numFmtId="4" fontId="11" fillId="0" borderId="5" xfId="1" applyNumberFormat="1" applyFont="1" applyFill="1" applyBorder="1"/>
    <xf numFmtId="4" fontId="11" fillId="0" borderId="12" xfId="1" applyNumberFormat="1" applyFont="1" applyFill="1" applyBorder="1"/>
    <xf numFmtId="4" fontId="10" fillId="0" borderId="0" xfId="0" applyNumberFormat="1" applyFont="1"/>
    <xf numFmtId="4" fontId="10" fillId="3" borderId="0" xfId="0" applyNumberFormat="1" applyFont="1" applyFill="1"/>
    <xf numFmtId="4" fontId="10" fillId="0" borderId="0" xfId="0" applyNumberFormat="1" applyFont="1" applyProtection="1">
      <protection locked="0"/>
    </xf>
    <xf numFmtId="4" fontId="11" fillId="3" borderId="6" xfId="0" applyNumberFormat="1" applyFont="1" applyFill="1" applyBorder="1"/>
    <xf numFmtId="4" fontId="11" fillId="3" borderId="0" xfId="0" applyNumberFormat="1" applyFont="1" applyFill="1"/>
    <xf numFmtId="0" fontId="14" fillId="3" borderId="0" xfId="0" applyFont="1" applyFill="1"/>
    <xf numFmtId="2" fontId="14" fillId="3" borderId="0" xfId="0" applyNumberFormat="1" applyFont="1" applyFill="1" applyProtection="1">
      <protection locked="0"/>
    </xf>
    <xf numFmtId="2" fontId="0" fillId="3" borderId="0" xfId="0" applyNumberFormat="1" applyFill="1" applyProtection="1">
      <protection locked="0"/>
    </xf>
    <xf numFmtId="2" fontId="0" fillId="3" borderId="0" xfId="0" applyNumberFormat="1" applyFill="1"/>
    <xf numFmtId="10" fontId="0" fillId="0" borderId="0" xfId="1" applyNumberFormat="1" applyFont="1"/>
    <xf numFmtId="10" fontId="1" fillId="0" borderId="0" xfId="1" applyNumberFormat="1" applyFont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2" fontId="10" fillId="0" borderId="0" xfId="0" applyNumberFormat="1" applyFont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4" fontId="1" fillId="0" borderId="11" xfId="0" applyNumberFormat="1" applyFont="1" applyBorder="1" applyAlignment="1">
      <alignment horizontal="center"/>
    </xf>
    <xf numFmtId="4" fontId="1" fillId="0" borderId="9" xfId="0" applyNumberFormat="1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2" fontId="12" fillId="0" borderId="8" xfId="0" applyNumberFormat="1" applyFont="1" applyBorder="1" applyAlignment="1" applyProtection="1">
      <alignment horizontal="center" wrapText="1"/>
      <protection locked="0"/>
    </xf>
    <xf numFmtId="2" fontId="12" fillId="0" borderId="7" xfId="0" applyNumberFormat="1" applyFont="1" applyBorder="1" applyAlignment="1" applyProtection="1">
      <alignment horizontal="center" wrapText="1"/>
      <protection locked="0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0"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N56"/>
  <sheetViews>
    <sheetView zoomScale="85" zoomScaleNormal="85" workbookViewId="0">
      <pane ySplit="10" topLeftCell="A11" activePane="bottomLeft" state="frozen"/>
      <selection pane="bottomLeft" activeCell="L7" sqref="L7"/>
    </sheetView>
  </sheetViews>
  <sheetFormatPr defaultRowHeight="14.5" x14ac:dyDescent="0.35"/>
  <sheetData>
    <row r="1" spans="1:14" ht="18.5" x14ac:dyDescent="0.45">
      <c r="A1" s="2" t="str">
        <f>C4&amp;" "&amp;C3&amp;" RIAPA CGE Model"</f>
        <v>2019 Kenya RIAPA CGE Model</v>
      </c>
    </row>
    <row r="3" spans="1:14" x14ac:dyDescent="0.35">
      <c r="A3" s="21" t="s">
        <v>540</v>
      </c>
      <c r="B3" s="1" t="s">
        <v>0</v>
      </c>
      <c r="C3" s="16" t="s">
        <v>714</v>
      </c>
    </row>
    <row r="4" spans="1:14" x14ac:dyDescent="0.35">
      <c r="A4" s="21" t="s">
        <v>540</v>
      </c>
      <c r="B4" s="1" t="s">
        <v>1</v>
      </c>
      <c r="C4" s="16">
        <v>2019</v>
      </c>
    </row>
    <row r="5" spans="1:14" x14ac:dyDescent="0.35">
      <c r="A5" s="21" t="s">
        <v>540</v>
      </c>
      <c r="B5" s="1" t="s">
        <v>2</v>
      </c>
      <c r="C5" s="16" t="s">
        <v>715</v>
      </c>
    </row>
    <row r="7" spans="1:14" x14ac:dyDescent="0.35">
      <c r="A7" s="21"/>
      <c r="B7" s="1"/>
      <c r="C7" s="16"/>
    </row>
    <row r="8" spans="1:14" x14ac:dyDescent="0.35">
      <c r="A8" s="21"/>
      <c r="B8" s="1"/>
      <c r="C8" s="16"/>
    </row>
    <row r="10" spans="1:14" x14ac:dyDescent="0.35">
      <c r="A10" s="1" t="s">
        <v>69</v>
      </c>
      <c r="E10" s="1" t="s">
        <v>58</v>
      </c>
      <c r="I10" s="1" t="s">
        <v>70</v>
      </c>
      <c r="M10" s="1" t="s">
        <v>101</v>
      </c>
    </row>
    <row r="11" spans="1:14" x14ac:dyDescent="0.35">
      <c r="A11" t="s">
        <v>694</v>
      </c>
      <c r="B11" t="s">
        <v>695</v>
      </c>
      <c r="E11" t="s">
        <v>686</v>
      </c>
      <c r="F11" t="s">
        <v>690</v>
      </c>
      <c r="I11" t="s">
        <v>71</v>
      </c>
      <c r="J11" t="s">
        <v>72</v>
      </c>
      <c r="M11" t="s">
        <v>102</v>
      </c>
      <c r="N11" t="s">
        <v>103</v>
      </c>
    </row>
    <row r="12" spans="1:14" x14ac:dyDescent="0.35">
      <c r="A12" t="s">
        <v>24</v>
      </c>
      <c r="B12" t="s">
        <v>11</v>
      </c>
      <c r="E12" t="s">
        <v>687</v>
      </c>
      <c r="F12" t="s">
        <v>691</v>
      </c>
      <c r="I12" t="s">
        <v>73</v>
      </c>
      <c r="J12" t="s">
        <v>74</v>
      </c>
      <c r="M12" t="s">
        <v>104</v>
      </c>
      <c r="N12" t="s">
        <v>105</v>
      </c>
    </row>
    <row r="13" spans="1:14" x14ac:dyDescent="0.35">
      <c r="A13" t="s">
        <v>25</v>
      </c>
      <c r="B13" t="s">
        <v>696</v>
      </c>
      <c r="E13" t="s">
        <v>688</v>
      </c>
      <c r="F13" t="s">
        <v>692</v>
      </c>
      <c r="I13" t="s">
        <v>75</v>
      </c>
      <c r="J13" t="s">
        <v>76</v>
      </c>
      <c r="M13" t="s">
        <v>106</v>
      </c>
      <c r="N13" t="s">
        <v>107</v>
      </c>
    </row>
    <row r="14" spans="1:14" x14ac:dyDescent="0.35">
      <c r="A14" t="s">
        <v>26</v>
      </c>
      <c r="B14" t="s">
        <v>697</v>
      </c>
      <c r="E14" t="s">
        <v>689</v>
      </c>
      <c r="F14" t="s">
        <v>693</v>
      </c>
      <c r="I14" t="s">
        <v>77</v>
      </c>
      <c r="J14" t="s">
        <v>78</v>
      </c>
      <c r="M14" t="s">
        <v>108</v>
      </c>
      <c r="N14" t="s">
        <v>109</v>
      </c>
    </row>
    <row r="15" spans="1:14" x14ac:dyDescent="0.35">
      <c r="A15" t="s">
        <v>27</v>
      </c>
      <c r="B15" t="s">
        <v>698</v>
      </c>
      <c r="E15" t="s">
        <v>59</v>
      </c>
      <c r="F15" t="s">
        <v>60</v>
      </c>
      <c r="I15" t="s">
        <v>79</v>
      </c>
      <c r="J15" t="s">
        <v>80</v>
      </c>
      <c r="M15" t="s">
        <v>110</v>
      </c>
      <c r="N15" t="s">
        <v>111</v>
      </c>
    </row>
    <row r="16" spans="1:14" x14ac:dyDescent="0.35">
      <c r="A16" t="s">
        <v>28</v>
      </c>
      <c r="B16" t="s">
        <v>699</v>
      </c>
      <c r="E16" t="s">
        <v>61</v>
      </c>
      <c r="F16" t="s">
        <v>62</v>
      </c>
      <c r="I16" t="s">
        <v>81</v>
      </c>
      <c r="J16" t="s">
        <v>82</v>
      </c>
      <c r="M16" t="s">
        <v>112</v>
      </c>
      <c r="N16" t="s">
        <v>113</v>
      </c>
    </row>
    <row r="17" spans="1:14" x14ac:dyDescent="0.35">
      <c r="A17" t="s">
        <v>728</v>
      </c>
      <c r="B17" t="s">
        <v>729</v>
      </c>
      <c r="E17" t="s">
        <v>63</v>
      </c>
      <c r="F17" t="s">
        <v>64</v>
      </c>
      <c r="I17" t="s">
        <v>83</v>
      </c>
      <c r="J17" t="s">
        <v>84</v>
      </c>
      <c r="M17" t="s">
        <v>114</v>
      </c>
      <c r="N17" t="s">
        <v>115</v>
      </c>
    </row>
    <row r="18" spans="1:14" x14ac:dyDescent="0.35">
      <c r="A18" t="s">
        <v>29</v>
      </c>
      <c r="B18" t="s">
        <v>730</v>
      </c>
      <c r="E18" t="s">
        <v>65</v>
      </c>
      <c r="F18" t="s">
        <v>66</v>
      </c>
      <c r="I18" t="s">
        <v>85</v>
      </c>
      <c r="J18" t="s">
        <v>86</v>
      </c>
      <c r="M18" t="s">
        <v>116</v>
      </c>
      <c r="N18" t="s">
        <v>117</v>
      </c>
    </row>
    <row r="19" spans="1:14" x14ac:dyDescent="0.35">
      <c r="A19" t="s">
        <v>700</v>
      </c>
      <c r="B19" t="s">
        <v>243</v>
      </c>
      <c r="E19" t="s">
        <v>67</v>
      </c>
      <c r="F19" t="s">
        <v>68</v>
      </c>
      <c r="I19" t="s">
        <v>87</v>
      </c>
      <c r="J19" t="s">
        <v>88</v>
      </c>
      <c r="M19" t="s">
        <v>118</v>
      </c>
      <c r="N19" t="s">
        <v>119</v>
      </c>
    </row>
    <row r="20" spans="1:14" x14ac:dyDescent="0.35">
      <c r="A20" t="s">
        <v>496</v>
      </c>
      <c r="B20" t="s">
        <v>388</v>
      </c>
      <c r="I20" t="s">
        <v>89</v>
      </c>
      <c r="J20" t="s">
        <v>90</v>
      </c>
      <c r="M20" t="s">
        <v>120</v>
      </c>
      <c r="N20" t="s">
        <v>121</v>
      </c>
    </row>
    <row r="21" spans="1:14" x14ac:dyDescent="0.35">
      <c r="A21" t="s">
        <v>30</v>
      </c>
      <c r="B21" t="s">
        <v>3</v>
      </c>
      <c r="I21" t="s">
        <v>91</v>
      </c>
      <c r="J21" t="s">
        <v>92</v>
      </c>
      <c r="M21" t="s">
        <v>122</v>
      </c>
      <c r="N21" t="s">
        <v>123</v>
      </c>
    </row>
    <row r="22" spans="1:14" x14ac:dyDescent="0.35">
      <c r="A22" t="s">
        <v>31</v>
      </c>
      <c r="B22" t="s">
        <v>701</v>
      </c>
      <c r="I22" t="s">
        <v>93</v>
      </c>
      <c r="J22" t="s">
        <v>94</v>
      </c>
      <c r="M22" t="s">
        <v>124</v>
      </c>
      <c r="N22" t="s">
        <v>125</v>
      </c>
    </row>
    <row r="23" spans="1:14" x14ac:dyDescent="0.35">
      <c r="A23" t="s">
        <v>702</v>
      </c>
      <c r="B23" t="s">
        <v>703</v>
      </c>
      <c r="I23" t="s">
        <v>95</v>
      </c>
      <c r="J23" t="s">
        <v>96</v>
      </c>
      <c r="M23" t="s">
        <v>126</v>
      </c>
      <c r="N23" t="s">
        <v>127</v>
      </c>
    </row>
    <row r="24" spans="1:14" x14ac:dyDescent="0.35">
      <c r="A24" t="s">
        <v>704</v>
      </c>
      <c r="B24" t="s">
        <v>705</v>
      </c>
      <c r="I24" t="s">
        <v>97</v>
      </c>
      <c r="J24" t="s">
        <v>98</v>
      </c>
    </row>
    <row r="25" spans="1:14" x14ac:dyDescent="0.35">
      <c r="A25" t="s">
        <v>35</v>
      </c>
      <c r="B25" t="s">
        <v>706</v>
      </c>
      <c r="I25" t="s">
        <v>99</v>
      </c>
      <c r="J25" t="s">
        <v>100</v>
      </c>
    </row>
    <row r="26" spans="1:14" x14ac:dyDescent="0.35">
      <c r="A26" t="s">
        <v>34</v>
      </c>
      <c r="B26" t="s">
        <v>14</v>
      </c>
    </row>
    <row r="27" spans="1:14" x14ac:dyDescent="0.35">
      <c r="A27" t="s">
        <v>33</v>
      </c>
      <c r="B27" t="s">
        <v>13</v>
      </c>
    </row>
    <row r="28" spans="1:14" x14ac:dyDescent="0.35">
      <c r="A28" t="s">
        <v>32</v>
      </c>
      <c r="B28" t="s">
        <v>497</v>
      </c>
    </row>
    <row r="29" spans="1:14" x14ac:dyDescent="0.35">
      <c r="A29" t="s">
        <v>498</v>
      </c>
      <c r="B29" t="s">
        <v>499</v>
      </c>
    </row>
    <row r="30" spans="1:14" x14ac:dyDescent="0.35">
      <c r="A30" t="s">
        <v>500</v>
      </c>
      <c r="B30" t="s">
        <v>501</v>
      </c>
    </row>
    <row r="31" spans="1:14" x14ac:dyDescent="0.35">
      <c r="A31" t="s">
        <v>707</v>
      </c>
      <c r="B31" t="s">
        <v>708</v>
      </c>
    </row>
    <row r="32" spans="1:14" x14ac:dyDescent="0.35">
      <c r="A32" t="s">
        <v>709</v>
      </c>
      <c r="B32" t="s">
        <v>710</v>
      </c>
    </row>
    <row r="33" spans="1:2" x14ac:dyDescent="0.35">
      <c r="A33" t="s">
        <v>36</v>
      </c>
      <c r="B33" t="s">
        <v>4</v>
      </c>
    </row>
    <row r="34" spans="1:2" x14ac:dyDescent="0.35">
      <c r="A34" t="s">
        <v>37</v>
      </c>
      <c r="B34" t="s">
        <v>404</v>
      </c>
    </row>
    <row r="35" spans="1:2" x14ac:dyDescent="0.35">
      <c r="A35" t="s">
        <v>38</v>
      </c>
      <c r="B35" t="s">
        <v>517</v>
      </c>
    </row>
    <row r="36" spans="1:2" x14ac:dyDescent="0.35">
      <c r="A36" t="s">
        <v>502</v>
      </c>
      <c r="B36" t="s">
        <v>518</v>
      </c>
    </row>
    <row r="37" spans="1:2" x14ac:dyDescent="0.35">
      <c r="A37" t="s">
        <v>39</v>
      </c>
      <c r="B37" t="s">
        <v>711</v>
      </c>
    </row>
    <row r="38" spans="1:2" x14ac:dyDescent="0.35">
      <c r="A38" t="s">
        <v>40</v>
      </c>
      <c r="B38" t="s">
        <v>15</v>
      </c>
    </row>
    <row r="39" spans="1:2" x14ac:dyDescent="0.35">
      <c r="A39" t="s">
        <v>41</v>
      </c>
      <c r="B39" t="s">
        <v>731</v>
      </c>
    </row>
    <row r="40" spans="1:2" x14ac:dyDescent="0.35">
      <c r="A40" t="s">
        <v>42</v>
      </c>
      <c r="B40" t="s">
        <v>519</v>
      </c>
    </row>
    <row r="41" spans="1:2" x14ac:dyDescent="0.35">
      <c r="A41" t="s">
        <v>43</v>
      </c>
      <c r="B41" t="s">
        <v>5</v>
      </c>
    </row>
    <row r="42" spans="1:2" x14ac:dyDescent="0.35">
      <c r="A42" t="s">
        <v>44</v>
      </c>
      <c r="B42" t="s">
        <v>16</v>
      </c>
    </row>
    <row r="43" spans="1:2" x14ac:dyDescent="0.35">
      <c r="A43" t="s">
        <v>45</v>
      </c>
      <c r="B43" t="s">
        <v>17</v>
      </c>
    </row>
    <row r="44" spans="1:2" x14ac:dyDescent="0.35">
      <c r="A44" t="s">
        <v>46</v>
      </c>
      <c r="B44" t="s">
        <v>6</v>
      </c>
    </row>
    <row r="45" spans="1:2" x14ac:dyDescent="0.35">
      <c r="A45" t="s">
        <v>47</v>
      </c>
      <c r="B45" t="s">
        <v>18</v>
      </c>
    </row>
    <row r="46" spans="1:2" x14ac:dyDescent="0.35">
      <c r="A46" t="s">
        <v>48</v>
      </c>
      <c r="B46" t="s">
        <v>19</v>
      </c>
    </row>
    <row r="47" spans="1:2" x14ac:dyDescent="0.35">
      <c r="A47" t="s">
        <v>49</v>
      </c>
      <c r="B47" t="s">
        <v>712</v>
      </c>
    </row>
    <row r="48" spans="1:2" x14ac:dyDescent="0.35">
      <c r="A48" t="s">
        <v>550</v>
      </c>
      <c r="B48" t="s">
        <v>713</v>
      </c>
    </row>
    <row r="49" spans="1:2" x14ac:dyDescent="0.35">
      <c r="A49" t="s">
        <v>50</v>
      </c>
      <c r="B49" t="s">
        <v>20</v>
      </c>
    </row>
    <row r="50" spans="1:2" x14ac:dyDescent="0.35">
      <c r="A50" t="s">
        <v>51</v>
      </c>
      <c r="B50" t="s">
        <v>21</v>
      </c>
    </row>
    <row r="51" spans="1:2" x14ac:dyDescent="0.35">
      <c r="A51" t="s">
        <v>52</v>
      </c>
      <c r="B51" t="s">
        <v>22</v>
      </c>
    </row>
    <row r="52" spans="1:2" x14ac:dyDescent="0.35">
      <c r="A52" t="s">
        <v>53</v>
      </c>
      <c r="B52" t="s">
        <v>7</v>
      </c>
    </row>
    <row r="53" spans="1:2" x14ac:dyDescent="0.35">
      <c r="A53" t="s">
        <v>54</v>
      </c>
      <c r="B53" t="s">
        <v>8</v>
      </c>
    </row>
    <row r="54" spans="1:2" x14ac:dyDescent="0.35">
      <c r="A54" t="s">
        <v>55</v>
      </c>
      <c r="B54" t="s">
        <v>9</v>
      </c>
    </row>
    <row r="55" spans="1:2" x14ac:dyDescent="0.35">
      <c r="A55" t="s">
        <v>56</v>
      </c>
      <c r="B55" t="s">
        <v>23</v>
      </c>
    </row>
    <row r="56" spans="1:2" x14ac:dyDescent="0.35">
      <c r="A56" t="s">
        <v>57</v>
      </c>
      <c r="B56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34998626667073579"/>
  </sheetPr>
  <dimension ref="A1:F65"/>
  <sheetViews>
    <sheetView zoomScale="85" zoomScaleNormal="85" workbookViewId="0">
      <pane ySplit="7" topLeftCell="A38" activePane="bottomLeft" state="frozen"/>
      <selection activeCell="A8" sqref="A8"/>
      <selection pane="bottomLeft" activeCell="C58" sqref="C58"/>
    </sheetView>
  </sheetViews>
  <sheetFormatPr defaultRowHeight="14.5" x14ac:dyDescent="0.35"/>
  <cols>
    <col min="3" max="3" width="16.453125" customWidth="1"/>
  </cols>
  <sheetData>
    <row r="1" spans="1:5" ht="18.5" x14ac:dyDescent="0.45">
      <c r="A1" s="5" t="s">
        <v>128</v>
      </c>
    </row>
    <row r="2" spans="1:5" x14ac:dyDescent="0.35">
      <c r="A2" s="3" t="s">
        <v>364</v>
      </c>
      <c r="B2" s="4" t="s">
        <v>129</v>
      </c>
    </row>
    <row r="7" spans="1:5" x14ac:dyDescent="0.35">
      <c r="D7" t="s">
        <v>130</v>
      </c>
      <c r="E7" t="s">
        <v>131</v>
      </c>
    </row>
    <row r="8" spans="1:5" x14ac:dyDescent="0.35">
      <c r="A8" t="s">
        <v>132</v>
      </c>
      <c r="B8" t="s">
        <v>133</v>
      </c>
      <c r="C8" t="s">
        <v>134</v>
      </c>
      <c r="D8">
        <v>1</v>
      </c>
      <c r="E8">
        <v>1</v>
      </c>
    </row>
    <row r="15" spans="1:5" x14ac:dyDescent="0.35">
      <c r="D15" t="s">
        <v>130</v>
      </c>
      <c r="E15" t="s">
        <v>131</v>
      </c>
    </row>
    <row r="16" spans="1:5" x14ac:dyDescent="0.35">
      <c r="A16" t="s">
        <v>325</v>
      </c>
      <c r="B16" t="s">
        <v>234</v>
      </c>
      <c r="C16" t="s">
        <v>328</v>
      </c>
      <c r="D16">
        <v>1</v>
      </c>
    </row>
    <row r="17" spans="1:4" x14ac:dyDescent="0.35">
      <c r="A17" t="s">
        <v>325</v>
      </c>
      <c r="B17" t="s">
        <v>311</v>
      </c>
      <c r="C17" t="s">
        <v>329</v>
      </c>
      <c r="D17">
        <v>1</v>
      </c>
    </row>
    <row r="18" spans="1:4" x14ac:dyDescent="0.35">
      <c r="A18" t="s">
        <v>325</v>
      </c>
      <c r="B18" t="s">
        <v>230</v>
      </c>
      <c r="C18" t="s">
        <v>330</v>
      </c>
      <c r="D18">
        <v>1</v>
      </c>
    </row>
    <row r="19" spans="1:4" x14ac:dyDescent="0.35">
      <c r="A19" t="s">
        <v>325</v>
      </c>
      <c r="B19" t="s">
        <v>312</v>
      </c>
      <c r="C19" t="s">
        <v>331</v>
      </c>
      <c r="D19">
        <v>1</v>
      </c>
    </row>
    <row r="20" spans="1:4" x14ac:dyDescent="0.35">
      <c r="A20" t="s">
        <v>325</v>
      </c>
      <c r="B20" t="s">
        <v>231</v>
      </c>
      <c r="C20" t="s">
        <v>332</v>
      </c>
      <c r="D20">
        <v>1</v>
      </c>
    </row>
    <row r="21" spans="1:4" x14ac:dyDescent="0.35">
      <c r="A21" t="s">
        <v>325</v>
      </c>
      <c r="B21" t="s">
        <v>232</v>
      </c>
      <c r="C21" t="s">
        <v>333</v>
      </c>
      <c r="D21">
        <v>1</v>
      </c>
    </row>
    <row r="22" spans="1:4" x14ac:dyDescent="0.35">
      <c r="A22" t="s">
        <v>325</v>
      </c>
      <c r="B22" t="s">
        <v>313</v>
      </c>
      <c r="C22" t="s">
        <v>334</v>
      </c>
      <c r="D22">
        <v>1</v>
      </c>
    </row>
    <row r="23" spans="1:4" x14ac:dyDescent="0.35">
      <c r="A23" t="s">
        <v>325</v>
      </c>
      <c r="B23" t="s">
        <v>216</v>
      </c>
      <c r="C23" t="s">
        <v>335</v>
      </c>
      <c r="D23">
        <v>1</v>
      </c>
    </row>
    <row r="24" spans="1:4" x14ac:dyDescent="0.35">
      <c r="A24" t="s">
        <v>325</v>
      </c>
      <c r="B24" t="s">
        <v>314</v>
      </c>
      <c r="C24" t="s">
        <v>336</v>
      </c>
      <c r="D24">
        <v>1</v>
      </c>
    </row>
    <row r="25" spans="1:4" x14ac:dyDescent="0.35">
      <c r="A25" t="s">
        <v>325</v>
      </c>
      <c r="B25" t="s">
        <v>315</v>
      </c>
      <c r="C25" t="s">
        <v>337</v>
      </c>
      <c r="D25">
        <v>1</v>
      </c>
    </row>
    <row r="26" spans="1:4" x14ac:dyDescent="0.35">
      <c r="A26" t="s">
        <v>325</v>
      </c>
      <c r="B26" t="s">
        <v>316</v>
      </c>
      <c r="C26" t="s">
        <v>338</v>
      </c>
      <c r="D26">
        <v>1</v>
      </c>
    </row>
    <row r="27" spans="1:4" x14ac:dyDescent="0.35">
      <c r="A27" t="s">
        <v>325</v>
      </c>
      <c r="B27" t="s">
        <v>317</v>
      </c>
      <c r="C27" t="s">
        <v>339</v>
      </c>
      <c r="D27">
        <v>1</v>
      </c>
    </row>
    <row r="28" spans="1:4" x14ac:dyDescent="0.35">
      <c r="A28" t="s">
        <v>325</v>
      </c>
      <c r="B28" t="s">
        <v>318</v>
      </c>
      <c r="C28" t="s">
        <v>340</v>
      </c>
      <c r="D28">
        <v>1</v>
      </c>
    </row>
    <row r="29" spans="1:4" x14ac:dyDescent="0.35">
      <c r="A29" t="s">
        <v>325</v>
      </c>
      <c r="B29" t="s">
        <v>319</v>
      </c>
      <c r="C29" t="s">
        <v>341</v>
      </c>
      <c r="D29">
        <v>1</v>
      </c>
    </row>
    <row r="30" spans="1:4" x14ac:dyDescent="0.35">
      <c r="A30" t="s">
        <v>325</v>
      </c>
      <c r="B30" t="s">
        <v>233</v>
      </c>
      <c r="C30" t="s">
        <v>342</v>
      </c>
      <c r="D30">
        <v>1</v>
      </c>
    </row>
    <row r="31" spans="1:4" x14ac:dyDescent="0.35">
      <c r="A31" t="s">
        <v>325</v>
      </c>
      <c r="B31" t="s">
        <v>320</v>
      </c>
      <c r="C31" t="s">
        <v>343</v>
      </c>
      <c r="D31">
        <v>1</v>
      </c>
    </row>
    <row r="32" spans="1:4" x14ac:dyDescent="0.35">
      <c r="A32" t="s">
        <v>325</v>
      </c>
      <c r="B32" t="s">
        <v>321</v>
      </c>
      <c r="C32" t="s">
        <v>344</v>
      </c>
      <c r="D32">
        <v>1</v>
      </c>
    </row>
    <row r="33" spans="1:6" x14ac:dyDescent="0.35">
      <c r="A33" t="s">
        <v>325</v>
      </c>
      <c r="B33" t="s">
        <v>322</v>
      </c>
      <c r="C33" t="s">
        <v>345</v>
      </c>
      <c r="D33">
        <v>1</v>
      </c>
    </row>
    <row r="34" spans="1:6" x14ac:dyDescent="0.35">
      <c r="A34" t="s">
        <v>326</v>
      </c>
      <c r="B34" t="s">
        <v>323</v>
      </c>
      <c r="C34" t="s">
        <v>346</v>
      </c>
      <c r="D34">
        <v>2</v>
      </c>
      <c r="F34" t="s">
        <v>327</v>
      </c>
    </row>
    <row r="35" spans="1:6" x14ac:dyDescent="0.35">
      <c r="A35" t="s">
        <v>326</v>
      </c>
      <c r="B35" t="s">
        <v>324</v>
      </c>
      <c r="C35" t="s">
        <v>347</v>
      </c>
      <c r="D35">
        <v>3</v>
      </c>
      <c r="F35" t="s">
        <v>327</v>
      </c>
    </row>
    <row r="36" spans="1:6" x14ac:dyDescent="0.35">
      <c r="A36" t="s">
        <v>325</v>
      </c>
      <c r="B36" t="s">
        <v>573</v>
      </c>
      <c r="C36" t="s">
        <v>524</v>
      </c>
      <c r="D36">
        <v>1</v>
      </c>
    </row>
    <row r="37" spans="1:6" x14ac:dyDescent="0.35">
      <c r="A37" t="s">
        <v>325</v>
      </c>
      <c r="B37" t="s">
        <v>574</v>
      </c>
      <c r="C37" t="s">
        <v>525</v>
      </c>
      <c r="D37">
        <v>1</v>
      </c>
    </row>
    <row r="38" spans="1:6" x14ac:dyDescent="0.35">
      <c r="A38" t="s">
        <v>325</v>
      </c>
      <c r="B38" t="s">
        <v>575</v>
      </c>
      <c r="C38" t="s">
        <v>526</v>
      </c>
      <c r="D38">
        <v>1</v>
      </c>
    </row>
    <row r="39" spans="1:6" x14ac:dyDescent="0.35">
      <c r="A39" t="s">
        <v>325</v>
      </c>
      <c r="B39" t="s">
        <v>576</v>
      </c>
      <c r="C39" t="s">
        <v>527</v>
      </c>
      <c r="D39">
        <v>1</v>
      </c>
    </row>
    <row r="40" spans="1:6" x14ac:dyDescent="0.35">
      <c r="A40" t="s">
        <v>325</v>
      </c>
      <c r="B40" t="s">
        <v>577</v>
      </c>
      <c r="C40" t="s">
        <v>528</v>
      </c>
      <c r="D40">
        <v>1</v>
      </c>
    </row>
    <row r="41" spans="1:6" x14ac:dyDescent="0.35">
      <c r="A41" t="s">
        <v>325</v>
      </c>
      <c r="B41" t="s">
        <v>578</v>
      </c>
      <c r="C41" t="s">
        <v>529</v>
      </c>
      <c r="D41">
        <v>1</v>
      </c>
    </row>
    <row r="42" spans="1:6" x14ac:dyDescent="0.35">
      <c r="A42" t="s">
        <v>325</v>
      </c>
      <c r="B42" t="s">
        <v>579</v>
      </c>
      <c r="C42" t="s">
        <v>530</v>
      </c>
      <c r="D42">
        <v>1</v>
      </c>
    </row>
    <row r="43" spans="1:6" x14ac:dyDescent="0.35">
      <c r="A43" t="s">
        <v>325</v>
      </c>
      <c r="B43" t="s">
        <v>580</v>
      </c>
      <c r="C43" t="s">
        <v>531</v>
      </c>
      <c r="D43">
        <v>1</v>
      </c>
    </row>
    <row r="44" spans="1:6" x14ac:dyDescent="0.35">
      <c r="A44" t="s">
        <v>325</v>
      </c>
      <c r="B44" t="s">
        <v>581</v>
      </c>
      <c r="C44" t="s">
        <v>532</v>
      </c>
      <c r="D44">
        <v>1</v>
      </c>
    </row>
    <row r="45" spans="1:6" x14ac:dyDescent="0.35">
      <c r="A45" t="s">
        <v>325</v>
      </c>
      <c r="B45" t="s">
        <v>582</v>
      </c>
      <c r="C45" t="s">
        <v>585</v>
      </c>
      <c r="D45">
        <v>1</v>
      </c>
    </row>
    <row r="46" spans="1:6" x14ac:dyDescent="0.35">
      <c r="A46" t="s">
        <v>325</v>
      </c>
      <c r="B46" t="s">
        <v>583</v>
      </c>
      <c r="C46" t="s">
        <v>586</v>
      </c>
      <c r="D46">
        <v>1</v>
      </c>
    </row>
    <row r="47" spans="1:6" x14ac:dyDescent="0.35">
      <c r="A47" t="s">
        <v>325</v>
      </c>
      <c r="B47" t="s">
        <v>584</v>
      </c>
      <c r="C47" t="s">
        <v>587</v>
      </c>
      <c r="D47">
        <v>1</v>
      </c>
    </row>
    <row r="48" spans="1:6" x14ac:dyDescent="0.35">
      <c r="A48" t="s">
        <v>325</v>
      </c>
      <c r="B48" t="s">
        <v>485</v>
      </c>
      <c r="C48" t="s">
        <v>490</v>
      </c>
      <c r="D48">
        <v>1</v>
      </c>
    </row>
    <row r="49" spans="1:6" x14ac:dyDescent="0.35">
      <c r="A49" t="s">
        <v>325</v>
      </c>
      <c r="B49" t="s">
        <v>486</v>
      </c>
      <c r="C49" t="s">
        <v>491</v>
      </c>
      <c r="D49">
        <v>1</v>
      </c>
    </row>
    <row r="50" spans="1:6" x14ac:dyDescent="0.35">
      <c r="A50" t="s">
        <v>325</v>
      </c>
      <c r="B50" t="s">
        <v>487</v>
      </c>
      <c r="C50" t="s">
        <v>492</v>
      </c>
      <c r="D50">
        <v>1</v>
      </c>
    </row>
    <row r="51" spans="1:6" x14ac:dyDescent="0.35">
      <c r="A51" t="s">
        <v>325</v>
      </c>
      <c r="B51" t="s">
        <v>488</v>
      </c>
      <c r="C51" t="s">
        <v>493</v>
      </c>
      <c r="D51">
        <v>1</v>
      </c>
    </row>
    <row r="52" spans="1:6" x14ac:dyDescent="0.35">
      <c r="A52" t="s">
        <v>325</v>
      </c>
      <c r="B52" t="s">
        <v>489</v>
      </c>
      <c r="C52" t="s">
        <v>494</v>
      </c>
      <c r="D52">
        <v>1</v>
      </c>
    </row>
    <row r="53" spans="1:6" x14ac:dyDescent="0.35">
      <c r="A53" t="s">
        <v>325</v>
      </c>
      <c r="B53" t="s">
        <v>594</v>
      </c>
      <c r="C53" t="s">
        <v>495</v>
      </c>
      <c r="D53">
        <v>1</v>
      </c>
    </row>
    <row r="54" spans="1:6" x14ac:dyDescent="0.35">
      <c r="A54" t="s">
        <v>132</v>
      </c>
      <c r="B54" t="s">
        <v>348</v>
      </c>
      <c r="C54" t="s">
        <v>134</v>
      </c>
      <c r="D54">
        <v>1</v>
      </c>
      <c r="E54">
        <v>1</v>
      </c>
    </row>
    <row r="55" spans="1:6" s="68" customFormat="1" x14ac:dyDescent="0.35">
      <c r="A55" s="68" t="s">
        <v>132</v>
      </c>
      <c r="B55" s="68" t="s">
        <v>355</v>
      </c>
      <c r="C55" s="68" t="s">
        <v>732</v>
      </c>
      <c r="D55" s="68">
        <v>1</v>
      </c>
      <c r="E55" s="68">
        <v>1</v>
      </c>
    </row>
    <row r="56" spans="1:6" s="68" customFormat="1" x14ac:dyDescent="0.35">
      <c r="A56" s="68" t="s">
        <v>132</v>
      </c>
      <c r="B56" s="68" t="s">
        <v>645</v>
      </c>
      <c r="C56" s="68" t="s">
        <v>733</v>
      </c>
      <c r="D56" s="68">
        <v>1</v>
      </c>
      <c r="E56" s="68">
        <v>1</v>
      </c>
    </row>
    <row r="57" spans="1:6" s="68" customFormat="1" x14ac:dyDescent="0.35">
      <c r="A57" s="68" t="s">
        <v>132</v>
      </c>
      <c r="B57" s="68" t="s">
        <v>646</v>
      </c>
      <c r="C57" s="68" t="s">
        <v>734</v>
      </c>
      <c r="E57" s="68">
        <v>1</v>
      </c>
    </row>
    <row r="58" spans="1:6" x14ac:dyDescent="0.35">
      <c r="A58" t="s">
        <v>132</v>
      </c>
      <c r="B58" t="s">
        <v>353</v>
      </c>
      <c r="C58" t="s">
        <v>349</v>
      </c>
      <c r="D58">
        <v>1</v>
      </c>
      <c r="E58">
        <v>1</v>
      </c>
    </row>
    <row r="59" spans="1:6" x14ac:dyDescent="0.35">
      <c r="A59" t="s">
        <v>132</v>
      </c>
      <c r="B59" t="s">
        <v>354</v>
      </c>
      <c r="C59" t="s">
        <v>350</v>
      </c>
      <c r="D59">
        <v>1</v>
      </c>
      <c r="E59">
        <v>1</v>
      </c>
    </row>
    <row r="60" spans="1:6" x14ac:dyDescent="0.35">
      <c r="A60" t="s">
        <v>132</v>
      </c>
      <c r="B60" t="s">
        <v>475</v>
      </c>
      <c r="C60" t="s">
        <v>351</v>
      </c>
      <c r="D60">
        <v>1</v>
      </c>
      <c r="E60">
        <v>2</v>
      </c>
    </row>
    <row r="61" spans="1:6" x14ac:dyDescent="0.35">
      <c r="A61" t="s">
        <v>325</v>
      </c>
      <c r="B61" t="s">
        <v>362</v>
      </c>
      <c r="C61" t="s">
        <v>360</v>
      </c>
      <c r="D61">
        <v>1</v>
      </c>
    </row>
    <row r="62" spans="1:6" x14ac:dyDescent="0.35">
      <c r="A62" t="s">
        <v>326</v>
      </c>
      <c r="B62" t="s">
        <v>363</v>
      </c>
      <c r="C62" t="s">
        <v>361</v>
      </c>
      <c r="D62">
        <v>2</v>
      </c>
      <c r="F62" t="s">
        <v>327</v>
      </c>
    </row>
    <row r="63" spans="1:6" x14ac:dyDescent="0.35">
      <c r="A63" t="s">
        <v>132</v>
      </c>
      <c r="B63" t="s">
        <v>357</v>
      </c>
      <c r="C63" t="s">
        <v>503</v>
      </c>
      <c r="D63">
        <v>1</v>
      </c>
      <c r="E63">
        <v>1</v>
      </c>
    </row>
    <row r="64" spans="1:6" x14ac:dyDescent="0.35">
      <c r="A64" t="s">
        <v>132</v>
      </c>
      <c r="B64" t="s">
        <v>356</v>
      </c>
      <c r="C64" t="s">
        <v>556</v>
      </c>
      <c r="D64">
        <v>1</v>
      </c>
      <c r="E64">
        <v>1</v>
      </c>
    </row>
    <row r="65" spans="1:4" x14ac:dyDescent="0.35">
      <c r="A65" t="s">
        <v>132</v>
      </c>
      <c r="B65" t="s">
        <v>358</v>
      </c>
      <c r="C65" t="s">
        <v>352</v>
      </c>
      <c r="D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34998626667073579"/>
  </sheetPr>
  <dimension ref="A1:AL151"/>
  <sheetViews>
    <sheetView zoomScale="85" zoomScaleNormal="85" workbookViewId="0">
      <pane ySplit="6" topLeftCell="A114" activePane="bottomLeft" state="frozen"/>
      <selection activeCell="A8" sqref="A8"/>
      <selection pane="bottomLeft" activeCell="A151" sqref="A151"/>
    </sheetView>
  </sheetViews>
  <sheetFormatPr defaultRowHeight="14.5" x14ac:dyDescent="0.35"/>
  <cols>
    <col min="27" max="27" width="14.26953125" customWidth="1"/>
  </cols>
  <sheetData>
    <row r="1" spans="1:38" ht="18.5" x14ac:dyDescent="0.45">
      <c r="A1" s="2" t="s">
        <v>229</v>
      </c>
    </row>
    <row r="2" spans="1:38" x14ac:dyDescent="0.35">
      <c r="A2" s="3" t="s">
        <v>364</v>
      </c>
      <c r="B2" s="4" t="s">
        <v>310</v>
      </c>
    </row>
    <row r="4" spans="1:38" x14ac:dyDescent="0.35">
      <c r="A4" s="1" t="s">
        <v>267</v>
      </c>
      <c r="B4" s="1" t="s">
        <v>235</v>
      </c>
      <c r="C4" s="1" t="s">
        <v>268</v>
      </c>
      <c r="D4" s="1"/>
      <c r="E4" s="1" t="s">
        <v>236</v>
      </c>
      <c r="F4" s="1" t="s">
        <v>237</v>
      </c>
      <c r="G4" s="1"/>
      <c r="H4" s="1"/>
      <c r="I4" s="1"/>
      <c r="J4" s="1"/>
      <c r="K4" s="1" t="s">
        <v>238</v>
      </c>
      <c r="L4" s="1"/>
      <c r="M4" s="1"/>
      <c r="N4" s="1"/>
      <c r="O4" s="1"/>
      <c r="P4" s="1" t="s">
        <v>103</v>
      </c>
      <c r="Q4" s="1"/>
      <c r="R4" s="1"/>
      <c r="S4" s="1"/>
      <c r="T4" s="1" t="s">
        <v>274</v>
      </c>
      <c r="U4" s="1"/>
      <c r="V4" s="1"/>
      <c r="W4" s="1" t="s">
        <v>273</v>
      </c>
      <c r="AA4" s="1" t="s">
        <v>533</v>
      </c>
    </row>
    <row r="5" spans="1:38" x14ac:dyDescent="0.35">
      <c r="C5" t="s">
        <v>240</v>
      </c>
      <c r="F5" t="s">
        <v>240</v>
      </c>
      <c r="G5" t="s">
        <v>241</v>
      </c>
      <c r="H5" t="s">
        <v>244</v>
      </c>
      <c r="I5" t="s">
        <v>243</v>
      </c>
      <c r="J5" t="s">
        <v>242</v>
      </c>
      <c r="K5" t="s">
        <v>240</v>
      </c>
      <c r="L5" t="s">
        <v>245</v>
      </c>
      <c r="M5" t="s">
        <v>269</v>
      </c>
      <c r="N5" t="s">
        <v>105</v>
      </c>
      <c r="O5" t="s">
        <v>270</v>
      </c>
      <c r="P5" t="s">
        <v>245</v>
      </c>
      <c r="Q5" t="s">
        <v>271</v>
      </c>
      <c r="R5" t="s">
        <v>272</v>
      </c>
      <c r="T5" t="s">
        <v>239</v>
      </c>
      <c r="W5" t="s">
        <v>248</v>
      </c>
      <c r="AA5" t="s">
        <v>522</v>
      </c>
      <c r="AB5" t="s">
        <v>523</v>
      </c>
    </row>
    <row r="6" spans="1:38" x14ac:dyDescent="0.35">
      <c r="A6" t="s">
        <v>263</v>
      </c>
      <c r="B6" t="s">
        <v>249</v>
      </c>
      <c r="C6" t="s">
        <v>250</v>
      </c>
      <c r="D6" t="s">
        <v>251</v>
      </c>
      <c r="E6" t="s">
        <v>252</v>
      </c>
      <c r="F6" t="s">
        <v>264</v>
      </c>
      <c r="G6" t="s">
        <v>265</v>
      </c>
      <c r="H6" t="s">
        <v>254</v>
      </c>
      <c r="I6" t="s">
        <v>253</v>
      </c>
      <c r="J6" t="s">
        <v>266</v>
      </c>
      <c r="K6" t="s">
        <v>255</v>
      </c>
      <c r="L6" t="s">
        <v>256</v>
      </c>
      <c r="M6" t="s">
        <v>257</v>
      </c>
      <c r="N6" t="s">
        <v>258</v>
      </c>
      <c r="O6" t="s">
        <v>259</v>
      </c>
      <c r="P6" t="s">
        <v>260</v>
      </c>
      <c r="Q6" t="s">
        <v>261</v>
      </c>
      <c r="R6" t="s">
        <v>262</v>
      </c>
      <c r="T6" t="s">
        <v>250</v>
      </c>
      <c r="U6" t="s">
        <v>252</v>
      </c>
      <c r="W6" t="s">
        <v>251</v>
      </c>
      <c r="X6" t="s">
        <v>250</v>
      </c>
      <c r="Y6" t="s">
        <v>249</v>
      </c>
      <c r="AA6" t="s">
        <v>561</v>
      </c>
      <c r="AB6" t="s">
        <v>562</v>
      </c>
      <c r="AC6" t="s">
        <v>563</v>
      </c>
      <c r="AD6" t="s">
        <v>564</v>
      </c>
      <c r="AE6" t="s">
        <v>565</v>
      </c>
      <c r="AF6" t="s">
        <v>566</v>
      </c>
      <c r="AG6" t="s">
        <v>567</v>
      </c>
      <c r="AH6" t="s">
        <v>568</v>
      </c>
      <c r="AI6" t="s">
        <v>569</v>
      </c>
      <c r="AJ6" t="s">
        <v>570</v>
      </c>
      <c r="AK6" t="s">
        <v>571</v>
      </c>
      <c r="AL6" t="s">
        <v>572</v>
      </c>
    </row>
    <row r="7" spans="1:38" x14ac:dyDescent="0.35">
      <c r="A7" t="s">
        <v>675</v>
      </c>
      <c r="B7" t="s">
        <v>591</v>
      </c>
      <c r="C7" t="s">
        <v>675</v>
      </c>
      <c r="D7" t="s">
        <v>675</v>
      </c>
      <c r="E7" t="s">
        <v>680</v>
      </c>
      <c r="F7" t="s">
        <v>552</v>
      </c>
      <c r="G7" t="s">
        <v>552</v>
      </c>
      <c r="H7" t="s">
        <v>216</v>
      </c>
      <c r="I7" t="s">
        <v>558</v>
      </c>
      <c r="J7" t="s">
        <v>557</v>
      </c>
      <c r="K7" t="s">
        <v>104</v>
      </c>
      <c r="L7" t="s">
        <v>104</v>
      </c>
      <c r="M7" t="s">
        <v>104</v>
      </c>
      <c r="N7" t="s">
        <v>104</v>
      </c>
      <c r="O7" t="s">
        <v>217</v>
      </c>
      <c r="P7" t="s">
        <v>296</v>
      </c>
      <c r="Q7" t="s">
        <v>297</v>
      </c>
      <c r="R7" t="s">
        <v>298</v>
      </c>
      <c r="T7" t="str">
        <f>C7</f>
        <v>acere</v>
      </c>
      <c r="U7" t="str">
        <f>E7</f>
        <v>ccere</v>
      </c>
      <c r="W7" t="str">
        <f>D7</f>
        <v>acere</v>
      </c>
      <c r="X7" t="str">
        <f>C7</f>
        <v>acere</v>
      </c>
      <c r="Y7" t="s">
        <v>591</v>
      </c>
      <c r="AA7" t="str">
        <f>W7</f>
        <v>acere</v>
      </c>
      <c r="AB7" t="str">
        <f>W19</f>
        <v>amine</v>
      </c>
      <c r="AC7" t="str">
        <f t="shared" ref="AC7:AC23" si="0">W21</f>
        <v>agmll</v>
      </c>
      <c r="AD7" t="s">
        <v>163</v>
      </c>
      <c r="AE7" t="s">
        <v>165</v>
      </c>
      <c r="AF7" t="s">
        <v>166</v>
      </c>
      <c r="AG7" t="s">
        <v>167</v>
      </c>
      <c r="AH7" t="s">
        <v>168</v>
      </c>
      <c r="AI7" t="s">
        <v>170</v>
      </c>
      <c r="AJ7" t="s">
        <v>171</v>
      </c>
      <c r="AK7" t="s">
        <v>173</v>
      </c>
      <c r="AL7" t="s">
        <v>176</v>
      </c>
    </row>
    <row r="8" spans="1:38" x14ac:dyDescent="0.35">
      <c r="A8" t="s">
        <v>138</v>
      </c>
      <c r="C8" t="s">
        <v>138</v>
      </c>
      <c r="D8" t="s">
        <v>138</v>
      </c>
      <c r="E8" t="s">
        <v>177</v>
      </c>
      <c r="F8" t="s">
        <v>553</v>
      </c>
      <c r="G8" t="s">
        <v>553</v>
      </c>
      <c r="J8" t="s">
        <v>559</v>
      </c>
      <c r="K8" t="s">
        <v>217</v>
      </c>
      <c r="L8" t="s">
        <v>217</v>
      </c>
      <c r="M8" t="s">
        <v>217</v>
      </c>
      <c r="O8" t="s">
        <v>218</v>
      </c>
      <c r="T8" t="str">
        <f t="shared" ref="T8:T12" si="1">C8</f>
        <v>apuls</v>
      </c>
      <c r="U8" t="str">
        <f t="shared" ref="U8:U12" si="2">E8</f>
        <v>cpuls</v>
      </c>
      <c r="W8" t="str">
        <f t="shared" ref="W8:W12" si="3">D8</f>
        <v>apuls</v>
      </c>
      <c r="X8" t="str">
        <f t="shared" ref="X8:X12" si="4">C8</f>
        <v>apuls</v>
      </c>
      <c r="Y8" t="s">
        <v>591</v>
      </c>
      <c r="AA8" t="str">
        <f t="shared" ref="AA8:AA12" si="5">W8</f>
        <v>apuls</v>
      </c>
      <c r="AB8" t="str">
        <f>W20</f>
        <v>amino</v>
      </c>
      <c r="AC8" t="str">
        <f t="shared" si="0"/>
        <v>afoil</v>
      </c>
      <c r="AD8" t="s">
        <v>164</v>
      </c>
      <c r="AG8" t="s">
        <v>169</v>
      </c>
      <c r="AH8" t="s">
        <v>548</v>
      </c>
      <c r="AJ8" t="s">
        <v>172</v>
      </c>
      <c r="AK8" t="s">
        <v>174</v>
      </c>
    </row>
    <row r="9" spans="1:38" x14ac:dyDescent="0.35">
      <c r="A9" t="s">
        <v>140</v>
      </c>
      <c r="C9" t="s">
        <v>140</v>
      </c>
      <c r="D9" t="s">
        <v>140</v>
      </c>
      <c r="E9" t="s">
        <v>178</v>
      </c>
      <c r="F9" t="s">
        <v>554</v>
      </c>
      <c r="G9" t="s">
        <v>554</v>
      </c>
      <c r="J9" t="s">
        <v>560</v>
      </c>
      <c r="K9" t="s">
        <v>218</v>
      </c>
      <c r="L9" t="s">
        <v>218</v>
      </c>
      <c r="M9" t="s">
        <v>218</v>
      </c>
      <c r="O9" t="s">
        <v>219</v>
      </c>
      <c r="T9" t="str">
        <f t="shared" si="1"/>
        <v>aoils</v>
      </c>
      <c r="U9" t="str">
        <f t="shared" si="2"/>
        <v>coils</v>
      </c>
      <c r="W9" t="str">
        <f t="shared" si="3"/>
        <v>aoils</v>
      </c>
      <c r="X9" t="str">
        <f t="shared" si="4"/>
        <v>aoils</v>
      </c>
      <c r="Y9" t="s">
        <v>591</v>
      </c>
      <c r="AA9" t="str">
        <f t="shared" si="5"/>
        <v>aoils</v>
      </c>
      <c r="AC9" t="str">
        <f t="shared" si="0"/>
        <v>afveg</v>
      </c>
      <c r="AK9" t="s">
        <v>175</v>
      </c>
    </row>
    <row r="10" spans="1:38" x14ac:dyDescent="0.35">
      <c r="A10" t="s">
        <v>142</v>
      </c>
      <c r="C10" t="s">
        <v>142</v>
      </c>
      <c r="D10" t="s">
        <v>142</v>
      </c>
      <c r="E10" t="s">
        <v>179</v>
      </c>
      <c r="F10" t="s">
        <v>555</v>
      </c>
      <c r="G10" t="s">
        <v>555</v>
      </c>
      <c r="K10" t="s">
        <v>219</v>
      </c>
      <c r="L10" t="s">
        <v>219</v>
      </c>
      <c r="M10" t="s">
        <v>219</v>
      </c>
      <c r="O10" t="s">
        <v>220</v>
      </c>
      <c r="T10" t="str">
        <f t="shared" si="1"/>
        <v>aroot</v>
      </c>
      <c r="U10" t="str">
        <f t="shared" si="2"/>
        <v>croot</v>
      </c>
      <c r="W10" t="str">
        <f t="shared" si="3"/>
        <v>aroot</v>
      </c>
      <c r="X10" t="str">
        <f t="shared" si="4"/>
        <v>aroot</v>
      </c>
      <c r="Y10" t="s">
        <v>591</v>
      </c>
      <c r="AA10" t="str">
        <f t="shared" si="5"/>
        <v>aroot</v>
      </c>
      <c r="AC10" t="str">
        <f t="shared" si="0"/>
        <v>ameat</v>
      </c>
    </row>
    <row r="11" spans="1:38" x14ac:dyDescent="0.35">
      <c r="A11" t="s">
        <v>143</v>
      </c>
      <c r="C11" t="s">
        <v>143</v>
      </c>
      <c r="D11" t="s">
        <v>143</v>
      </c>
      <c r="E11" t="s">
        <v>180</v>
      </c>
      <c r="F11" t="s">
        <v>216</v>
      </c>
      <c r="K11" t="s">
        <v>220</v>
      </c>
      <c r="L11" t="s">
        <v>220</v>
      </c>
      <c r="M11" t="s">
        <v>220</v>
      </c>
      <c r="O11" t="s">
        <v>221</v>
      </c>
      <c r="T11" t="str">
        <f t="shared" si="1"/>
        <v>avege</v>
      </c>
      <c r="U11" t="str">
        <f t="shared" si="2"/>
        <v>cvege</v>
      </c>
      <c r="W11" t="str">
        <f t="shared" si="3"/>
        <v>avege</v>
      </c>
      <c r="X11" t="str">
        <f t="shared" si="4"/>
        <v>avege</v>
      </c>
      <c r="Y11" t="s">
        <v>591</v>
      </c>
      <c r="AA11" t="str">
        <f t="shared" si="5"/>
        <v>avege</v>
      </c>
      <c r="AC11" t="str">
        <f t="shared" si="0"/>
        <v>afsea</v>
      </c>
    </row>
    <row r="12" spans="1:38" x14ac:dyDescent="0.35">
      <c r="A12" t="s">
        <v>147</v>
      </c>
      <c r="C12" t="s">
        <v>147</v>
      </c>
      <c r="D12" t="s">
        <v>147</v>
      </c>
      <c r="E12" t="s">
        <v>181</v>
      </c>
      <c r="F12" t="s">
        <v>557</v>
      </c>
      <c r="K12" t="s">
        <v>221</v>
      </c>
      <c r="L12" t="s">
        <v>221</v>
      </c>
      <c r="M12" t="s">
        <v>221</v>
      </c>
      <c r="O12" t="s">
        <v>595</v>
      </c>
      <c r="T12" t="str">
        <f t="shared" si="1"/>
        <v>afrui</v>
      </c>
      <c r="U12" t="str">
        <f t="shared" si="2"/>
        <v>cfrui</v>
      </c>
      <c r="W12" t="str">
        <f t="shared" si="3"/>
        <v>afrui</v>
      </c>
      <c r="X12" t="str">
        <f t="shared" si="4"/>
        <v>afrui</v>
      </c>
      <c r="Y12" t="s">
        <v>591</v>
      </c>
      <c r="AA12" t="str">
        <f t="shared" si="5"/>
        <v>afrui</v>
      </c>
      <c r="AC12" t="str">
        <f t="shared" si="0"/>
        <v>adair</v>
      </c>
    </row>
    <row r="13" spans="1:38" x14ac:dyDescent="0.35">
      <c r="A13" s="32" t="s">
        <v>726</v>
      </c>
      <c r="C13" s="32" t="s">
        <v>726</v>
      </c>
      <c r="D13" s="32" t="s">
        <v>726</v>
      </c>
      <c r="E13" s="32" t="s">
        <v>727</v>
      </c>
      <c r="F13" t="s">
        <v>558</v>
      </c>
      <c r="K13" t="s">
        <v>595</v>
      </c>
      <c r="L13" t="s">
        <v>595</v>
      </c>
      <c r="M13" t="s">
        <v>595</v>
      </c>
      <c r="O13" t="s">
        <v>596</v>
      </c>
      <c r="T13" s="32" t="s">
        <v>726</v>
      </c>
      <c r="U13" s="32" t="s">
        <v>727</v>
      </c>
      <c r="W13" s="32" t="s">
        <v>726</v>
      </c>
      <c r="X13" s="32" t="s">
        <v>726</v>
      </c>
      <c r="Y13" t="s">
        <v>591</v>
      </c>
      <c r="AA13" s="32" t="s">
        <v>726</v>
      </c>
      <c r="AC13" t="str">
        <f t="shared" si="0"/>
        <v>afobe</v>
      </c>
    </row>
    <row r="14" spans="1:38" x14ac:dyDescent="0.35">
      <c r="A14" t="s">
        <v>148</v>
      </c>
      <c r="C14" t="s">
        <v>148</v>
      </c>
      <c r="D14" t="s">
        <v>148</v>
      </c>
      <c r="E14" t="s">
        <v>182</v>
      </c>
      <c r="F14" t="s">
        <v>559</v>
      </c>
      <c r="K14" t="s">
        <v>596</v>
      </c>
      <c r="L14" t="s">
        <v>596</v>
      </c>
      <c r="M14" t="s">
        <v>596</v>
      </c>
      <c r="O14" t="s">
        <v>597</v>
      </c>
      <c r="T14" t="str">
        <f t="shared" ref="T14:T52" si="6">C14</f>
        <v>aocrp</v>
      </c>
      <c r="U14" t="str">
        <f t="shared" ref="U14:U52" si="7">E14</f>
        <v>cocrp</v>
      </c>
      <c r="W14" t="str">
        <f t="shared" ref="W14:W52" si="8">D14</f>
        <v>aocrp</v>
      </c>
      <c r="X14" t="str">
        <f t="shared" ref="X14:X52" si="9">C14</f>
        <v>aocrp</v>
      </c>
      <c r="Y14" t="s">
        <v>591</v>
      </c>
      <c r="AA14" t="str">
        <f>W14</f>
        <v>aocrp</v>
      </c>
      <c r="AC14" t="str">
        <f t="shared" si="0"/>
        <v>aoapr</v>
      </c>
    </row>
    <row r="15" spans="1:38" x14ac:dyDescent="0.35">
      <c r="A15" t="s">
        <v>676</v>
      </c>
      <c r="C15" t="s">
        <v>676</v>
      </c>
      <c r="D15" t="s">
        <v>676</v>
      </c>
      <c r="E15" t="s">
        <v>681</v>
      </c>
      <c r="F15" t="s">
        <v>560</v>
      </c>
      <c r="G15" s="4"/>
      <c r="K15" t="s">
        <v>597</v>
      </c>
      <c r="L15" t="s">
        <v>597</v>
      </c>
      <c r="M15" t="s">
        <v>597</v>
      </c>
      <c r="O15" t="s">
        <v>598</v>
      </c>
      <c r="T15" t="str">
        <f t="shared" si="6"/>
        <v>alive</v>
      </c>
      <c r="U15" t="str">
        <f t="shared" si="7"/>
        <v>clive</v>
      </c>
      <c r="W15" t="str">
        <f t="shared" si="8"/>
        <v>alive</v>
      </c>
      <c r="X15" t="str">
        <f t="shared" si="9"/>
        <v>alive</v>
      </c>
      <c r="Y15" t="s">
        <v>591</v>
      </c>
      <c r="AA15" t="str">
        <f>W15</f>
        <v>alive</v>
      </c>
      <c r="AC15" t="str">
        <f t="shared" si="0"/>
        <v>atext</v>
      </c>
    </row>
    <row r="16" spans="1:38" x14ac:dyDescent="0.35">
      <c r="A16" t="s">
        <v>281</v>
      </c>
      <c r="C16" t="s">
        <v>281</v>
      </c>
      <c r="D16" t="s">
        <v>281</v>
      </c>
      <c r="E16" t="s">
        <v>289</v>
      </c>
      <c r="G16" s="4"/>
      <c r="K16" t="s">
        <v>598</v>
      </c>
      <c r="L16" t="s">
        <v>598</v>
      </c>
      <c r="M16" t="s">
        <v>598</v>
      </c>
      <c r="O16" t="s">
        <v>599</v>
      </c>
      <c r="T16" t="str">
        <f t="shared" si="6"/>
        <v>amilk</v>
      </c>
      <c r="U16" t="str">
        <f t="shared" si="7"/>
        <v>cmilk</v>
      </c>
      <c r="W16" t="str">
        <f t="shared" si="8"/>
        <v>amilk</v>
      </c>
      <c r="X16" t="str">
        <f t="shared" si="9"/>
        <v>amilk</v>
      </c>
      <c r="Y16" t="s">
        <v>591</v>
      </c>
      <c r="AA16" t="str">
        <f>W16</f>
        <v>amilk</v>
      </c>
      <c r="AC16" t="str">
        <f t="shared" si="0"/>
        <v>awood</v>
      </c>
    </row>
    <row r="17" spans="1:29" x14ac:dyDescent="0.35">
      <c r="A17" t="s">
        <v>151</v>
      </c>
      <c r="C17" t="s">
        <v>151</v>
      </c>
      <c r="D17" t="s">
        <v>151</v>
      </c>
      <c r="E17" t="s">
        <v>183</v>
      </c>
      <c r="G17" s="4"/>
      <c r="K17" t="s">
        <v>599</v>
      </c>
      <c r="L17" t="s">
        <v>599</v>
      </c>
      <c r="M17" t="s">
        <v>599</v>
      </c>
      <c r="O17" t="s">
        <v>222</v>
      </c>
      <c r="T17" t="str">
        <f t="shared" si="6"/>
        <v>afore</v>
      </c>
      <c r="U17" t="str">
        <f t="shared" si="7"/>
        <v>cfore</v>
      </c>
      <c r="W17" t="str">
        <f t="shared" si="8"/>
        <v>afore</v>
      </c>
      <c r="X17" t="str">
        <f t="shared" si="9"/>
        <v>afore</v>
      </c>
      <c r="Y17" t="s">
        <v>591</v>
      </c>
      <c r="AA17" t="str">
        <f>W17</f>
        <v>afore</v>
      </c>
      <c r="AC17" t="str">
        <f t="shared" si="0"/>
        <v>apetr</v>
      </c>
    </row>
    <row r="18" spans="1:29" x14ac:dyDescent="0.35">
      <c r="A18" t="s">
        <v>152</v>
      </c>
      <c r="C18" t="s">
        <v>152</v>
      </c>
      <c r="D18" t="s">
        <v>152</v>
      </c>
      <c r="E18" t="s">
        <v>184</v>
      </c>
      <c r="G18" s="4"/>
      <c r="K18" t="s">
        <v>222</v>
      </c>
      <c r="L18" t="s">
        <v>222</v>
      </c>
      <c r="M18" t="s">
        <v>222</v>
      </c>
      <c r="O18" t="s">
        <v>223</v>
      </c>
      <c r="T18" t="str">
        <f t="shared" si="6"/>
        <v>afish</v>
      </c>
      <c r="U18" t="str">
        <f t="shared" si="7"/>
        <v>cfish</v>
      </c>
      <c r="W18" t="str">
        <f t="shared" si="8"/>
        <v>afish</v>
      </c>
      <c r="X18" t="str">
        <f t="shared" si="9"/>
        <v>afish</v>
      </c>
      <c r="Y18" t="s">
        <v>591</v>
      </c>
      <c r="AA18" t="str">
        <f>W18</f>
        <v>afish</v>
      </c>
      <c r="AC18" t="str">
        <f t="shared" si="0"/>
        <v>afert</v>
      </c>
    </row>
    <row r="19" spans="1:29" x14ac:dyDescent="0.35">
      <c r="A19" t="s">
        <v>716</v>
      </c>
      <c r="C19" t="s">
        <v>716</v>
      </c>
      <c r="D19" t="s">
        <v>716</v>
      </c>
      <c r="E19" t="s">
        <v>682</v>
      </c>
      <c r="K19" t="s">
        <v>223</v>
      </c>
      <c r="L19" t="s">
        <v>223</v>
      </c>
      <c r="M19" t="s">
        <v>223</v>
      </c>
      <c r="O19" t="s">
        <v>224</v>
      </c>
      <c r="T19" t="str">
        <f t="shared" si="6"/>
        <v>amine</v>
      </c>
      <c r="U19" t="str">
        <f t="shared" si="7"/>
        <v>cmine</v>
      </c>
      <c r="W19" t="str">
        <f t="shared" si="8"/>
        <v>amine</v>
      </c>
      <c r="X19" t="str">
        <f t="shared" si="9"/>
        <v>amine</v>
      </c>
      <c r="Y19" t="s">
        <v>591</v>
      </c>
      <c r="AC19" t="str">
        <f t="shared" si="0"/>
        <v>achem</v>
      </c>
    </row>
    <row r="20" spans="1:29" x14ac:dyDescent="0.35">
      <c r="A20" t="s">
        <v>677</v>
      </c>
      <c r="C20" t="s">
        <v>677</v>
      </c>
      <c r="D20" t="s">
        <v>677</v>
      </c>
      <c r="E20" t="s">
        <v>683</v>
      </c>
      <c r="K20" t="s">
        <v>224</v>
      </c>
      <c r="L20" t="s">
        <v>224</v>
      </c>
      <c r="M20" t="s">
        <v>224</v>
      </c>
      <c r="O20" t="s">
        <v>225</v>
      </c>
      <c r="T20" t="str">
        <f t="shared" si="6"/>
        <v>amino</v>
      </c>
      <c r="U20" t="str">
        <f t="shared" si="7"/>
        <v>cmino</v>
      </c>
      <c r="W20" t="str">
        <f t="shared" si="8"/>
        <v>amino</v>
      </c>
      <c r="X20" t="str">
        <f t="shared" si="9"/>
        <v>amino</v>
      </c>
      <c r="Y20" t="s">
        <v>591</v>
      </c>
      <c r="AC20" t="str">
        <f t="shared" si="0"/>
        <v>anmet</v>
      </c>
    </row>
    <row r="21" spans="1:29" x14ac:dyDescent="0.35">
      <c r="A21" t="s">
        <v>154</v>
      </c>
      <c r="C21" t="s">
        <v>154</v>
      </c>
      <c r="D21" t="s">
        <v>154</v>
      </c>
      <c r="E21" t="s">
        <v>186</v>
      </c>
      <c r="K21" t="s">
        <v>225</v>
      </c>
      <c r="L21" t="s">
        <v>225</v>
      </c>
      <c r="M21" t="s">
        <v>225</v>
      </c>
      <c r="O21" t="s">
        <v>226</v>
      </c>
      <c r="T21" t="str">
        <f t="shared" si="6"/>
        <v>agmll</v>
      </c>
      <c r="U21" t="str">
        <f t="shared" si="7"/>
        <v>cgmll</v>
      </c>
      <c r="W21" t="str">
        <f t="shared" si="8"/>
        <v>agmll</v>
      </c>
      <c r="X21" t="str">
        <f t="shared" si="9"/>
        <v>agmll</v>
      </c>
      <c r="Y21" t="s">
        <v>591</v>
      </c>
      <c r="AC21" t="str">
        <f t="shared" si="0"/>
        <v>ametl</v>
      </c>
    </row>
    <row r="22" spans="1:29" x14ac:dyDescent="0.35">
      <c r="A22" t="s">
        <v>287</v>
      </c>
      <c r="C22" t="s">
        <v>287</v>
      </c>
      <c r="D22" t="s">
        <v>287</v>
      </c>
      <c r="E22" t="s">
        <v>293</v>
      </c>
      <c r="K22" t="s">
        <v>226</v>
      </c>
      <c r="L22" t="s">
        <v>226</v>
      </c>
      <c r="M22" t="s">
        <v>226</v>
      </c>
      <c r="T22" t="str">
        <f t="shared" si="6"/>
        <v>afoil</v>
      </c>
      <c r="U22" t="str">
        <f t="shared" si="7"/>
        <v>cfoil</v>
      </c>
      <c r="W22" t="str">
        <f t="shared" si="8"/>
        <v>afoil</v>
      </c>
      <c r="X22" t="str">
        <f t="shared" si="9"/>
        <v>afoil</v>
      </c>
      <c r="Y22" t="s">
        <v>591</v>
      </c>
      <c r="AC22" t="str">
        <f t="shared" si="0"/>
        <v>amach</v>
      </c>
    </row>
    <row r="23" spans="1:29" x14ac:dyDescent="0.35">
      <c r="A23" t="s">
        <v>286</v>
      </c>
      <c r="C23" t="s">
        <v>286</v>
      </c>
      <c r="D23" t="s">
        <v>286</v>
      </c>
      <c r="E23" t="s">
        <v>292</v>
      </c>
      <c r="K23" t="s">
        <v>106</v>
      </c>
      <c r="L23" t="s">
        <v>106</v>
      </c>
      <c r="T23" t="str">
        <f t="shared" si="6"/>
        <v>afveg</v>
      </c>
      <c r="U23" t="str">
        <f t="shared" si="7"/>
        <v>cfveg</v>
      </c>
      <c r="W23" t="str">
        <f t="shared" si="8"/>
        <v>afveg</v>
      </c>
      <c r="X23" t="str">
        <f t="shared" si="9"/>
        <v>afveg</v>
      </c>
      <c r="Y23" t="s">
        <v>591</v>
      </c>
      <c r="AC23" t="str">
        <f t="shared" si="0"/>
        <v>aoman</v>
      </c>
    </row>
    <row r="24" spans="1:29" x14ac:dyDescent="0.35">
      <c r="A24" t="s">
        <v>153</v>
      </c>
      <c r="C24" t="s">
        <v>153</v>
      </c>
      <c r="D24" t="s">
        <v>153</v>
      </c>
      <c r="E24" t="s">
        <v>185</v>
      </c>
      <c r="K24" t="s">
        <v>124</v>
      </c>
      <c r="T24" t="str">
        <f t="shared" si="6"/>
        <v>ameat</v>
      </c>
      <c r="U24" t="str">
        <f t="shared" si="7"/>
        <v>cmeat</v>
      </c>
      <c r="W24" t="str">
        <f t="shared" si="8"/>
        <v>ameat</v>
      </c>
      <c r="X24" t="str">
        <f t="shared" si="9"/>
        <v>ameat</v>
      </c>
      <c r="Y24" t="s">
        <v>591</v>
      </c>
    </row>
    <row r="25" spans="1:29" x14ac:dyDescent="0.35">
      <c r="A25" t="s">
        <v>284</v>
      </c>
      <c r="C25" t="s">
        <v>284</v>
      </c>
      <c r="D25" t="s">
        <v>284</v>
      </c>
      <c r="E25" t="s">
        <v>290</v>
      </c>
      <c r="T25" t="str">
        <f t="shared" si="6"/>
        <v>afsea</v>
      </c>
      <c r="U25" t="str">
        <f t="shared" si="7"/>
        <v>cfsea</v>
      </c>
      <c r="W25" t="str">
        <f t="shared" si="8"/>
        <v>afsea</v>
      </c>
      <c r="X25" t="str">
        <f t="shared" si="9"/>
        <v>afsea</v>
      </c>
      <c r="Y25" t="s">
        <v>591</v>
      </c>
    </row>
    <row r="26" spans="1:29" x14ac:dyDescent="0.35">
      <c r="A26" t="s">
        <v>285</v>
      </c>
      <c r="C26" t="s">
        <v>285</v>
      </c>
      <c r="D26" t="s">
        <v>285</v>
      </c>
      <c r="E26" t="s">
        <v>291</v>
      </c>
      <c r="T26" t="str">
        <f t="shared" si="6"/>
        <v>adair</v>
      </c>
      <c r="U26" t="str">
        <f t="shared" si="7"/>
        <v>cdair</v>
      </c>
      <c r="W26" t="str">
        <f t="shared" si="8"/>
        <v>adair</v>
      </c>
      <c r="X26" t="str">
        <f t="shared" si="9"/>
        <v>adair</v>
      </c>
      <c r="Y26" t="s">
        <v>591</v>
      </c>
    </row>
    <row r="27" spans="1:29" x14ac:dyDescent="0.35">
      <c r="A27" t="s">
        <v>678</v>
      </c>
      <c r="C27" t="s">
        <v>678</v>
      </c>
      <c r="D27" t="s">
        <v>678</v>
      </c>
      <c r="E27" t="s">
        <v>684</v>
      </c>
      <c r="T27" t="str">
        <f t="shared" si="6"/>
        <v>afobe</v>
      </c>
      <c r="U27" t="str">
        <f t="shared" si="7"/>
        <v>cfobe</v>
      </c>
      <c r="W27" t="str">
        <f t="shared" si="8"/>
        <v>afobe</v>
      </c>
      <c r="X27" t="str">
        <f t="shared" si="9"/>
        <v>afobe</v>
      </c>
      <c r="Y27" t="s">
        <v>591</v>
      </c>
    </row>
    <row r="28" spans="1:29" x14ac:dyDescent="0.35">
      <c r="A28" t="s">
        <v>679</v>
      </c>
      <c r="C28" t="s">
        <v>679</v>
      </c>
      <c r="D28" t="s">
        <v>679</v>
      </c>
      <c r="E28" t="s">
        <v>685</v>
      </c>
      <c r="T28" t="str">
        <f t="shared" si="6"/>
        <v>aoapr</v>
      </c>
      <c r="U28" t="str">
        <f t="shared" si="7"/>
        <v>coapr</v>
      </c>
      <c r="W28" t="str">
        <f t="shared" si="8"/>
        <v>aoapr</v>
      </c>
      <c r="X28" t="str">
        <f t="shared" si="9"/>
        <v>aoapr</v>
      </c>
      <c r="Y28" t="s">
        <v>591</v>
      </c>
    </row>
    <row r="29" spans="1:29" x14ac:dyDescent="0.35">
      <c r="A29" t="s">
        <v>155</v>
      </c>
      <c r="C29" t="s">
        <v>155</v>
      </c>
      <c r="D29" t="s">
        <v>155</v>
      </c>
      <c r="E29" t="s">
        <v>187</v>
      </c>
      <c r="T29" t="str">
        <f t="shared" si="6"/>
        <v>atext</v>
      </c>
      <c r="U29" t="str">
        <f t="shared" si="7"/>
        <v>ctext</v>
      </c>
      <c r="W29" t="str">
        <f t="shared" si="8"/>
        <v>atext</v>
      </c>
      <c r="X29" t="str">
        <f t="shared" si="9"/>
        <v>atext</v>
      </c>
      <c r="Y29" t="s">
        <v>591</v>
      </c>
    </row>
    <row r="30" spans="1:29" x14ac:dyDescent="0.35">
      <c r="A30" t="s">
        <v>156</v>
      </c>
      <c r="C30" t="s">
        <v>156</v>
      </c>
      <c r="D30" t="s">
        <v>156</v>
      </c>
      <c r="E30" t="s">
        <v>188</v>
      </c>
      <c r="T30" t="str">
        <f t="shared" si="6"/>
        <v>awood</v>
      </c>
      <c r="U30" t="str">
        <f t="shared" si="7"/>
        <v>cwood</v>
      </c>
      <c r="W30" t="str">
        <f t="shared" si="8"/>
        <v>awood</v>
      </c>
      <c r="X30" t="str">
        <f t="shared" si="9"/>
        <v>awood</v>
      </c>
      <c r="Y30" t="s">
        <v>591</v>
      </c>
    </row>
    <row r="31" spans="1:29" x14ac:dyDescent="0.35">
      <c r="A31" t="s">
        <v>288</v>
      </c>
      <c r="C31" t="s">
        <v>288</v>
      </c>
      <c r="D31" t="s">
        <v>288</v>
      </c>
      <c r="E31" t="s">
        <v>189</v>
      </c>
      <c r="T31" t="str">
        <f t="shared" si="6"/>
        <v>apetr</v>
      </c>
      <c r="U31" t="str">
        <f t="shared" si="7"/>
        <v>cpetr</v>
      </c>
      <c r="W31" t="str">
        <f t="shared" si="8"/>
        <v>apetr</v>
      </c>
      <c r="X31" t="str">
        <f t="shared" si="9"/>
        <v>apetr</v>
      </c>
      <c r="Y31" t="s">
        <v>591</v>
      </c>
    </row>
    <row r="32" spans="1:29" x14ac:dyDescent="0.35">
      <c r="A32" t="s">
        <v>157</v>
      </c>
      <c r="C32" t="s">
        <v>157</v>
      </c>
      <c r="D32" t="s">
        <v>157</v>
      </c>
      <c r="E32" t="s">
        <v>190</v>
      </c>
      <c r="T32" t="str">
        <f t="shared" si="6"/>
        <v>afert</v>
      </c>
      <c r="U32" t="str">
        <f t="shared" si="7"/>
        <v>cfert</v>
      </c>
      <c r="W32" t="str">
        <f t="shared" si="8"/>
        <v>afert</v>
      </c>
      <c r="X32" t="str">
        <f t="shared" si="9"/>
        <v>afert</v>
      </c>
      <c r="Y32" t="s">
        <v>591</v>
      </c>
    </row>
    <row r="33" spans="1:25" x14ac:dyDescent="0.35">
      <c r="A33" t="s">
        <v>158</v>
      </c>
      <c r="C33" t="s">
        <v>158</v>
      </c>
      <c r="D33" t="s">
        <v>158</v>
      </c>
      <c r="E33" t="s">
        <v>191</v>
      </c>
      <c r="T33" t="str">
        <f t="shared" si="6"/>
        <v>achem</v>
      </c>
      <c r="U33" t="str">
        <f t="shared" si="7"/>
        <v>cchem</v>
      </c>
      <c r="W33" t="str">
        <f t="shared" si="8"/>
        <v>achem</v>
      </c>
      <c r="X33" t="str">
        <f t="shared" si="9"/>
        <v>achem</v>
      </c>
      <c r="Y33" t="s">
        <v>591</v>
      </c>
    </row>
    <row r="34" spans="1:25" x14ac:dyDescent="0.35">
      <c r="A34" t="s">
        <v>159</v>
      </c>
      <c r="C34" t="s">
        <v>159</v>
      </c>
      <c r="D34" t="s">
        <v>159</v>
      </c>
      <c r="E34" t="s">
        <v>192</v>
      </c>
      <c r="T34" t="str">
        <f t="shared" si="6"/>
        <v>anmet</v>
      </c>
      <c r="U34" t="str">
        <f t="shared" si="7"/>
        <v>cnmet</v>
      </c>
      <c r="W34" t="str">
        <f t="shared" si="8"/>
        <v>anmet</v>
      </c>
      <c r="X34" t="str">
        <f t="shared" si="9"/>
        <v>anmet</v>
      </c>
      <c r="Y34" t="s">
        <v>591</v>
      </c>
    </row>
    <row r="35" spans="1:25" x14ac:dyDescent="0.35">
      <c r="A35" t="s">
        <v>160</v>
      </c>
      <c r="C35" t="s">
        <v>160</v>
      </c>
      <c r="D35" t="s">
        <v>160</v>
      </c>
      <c r="E35" t="s">
        <v>193</v>
      </c>
      <c r="T35" t="str">
        <f t="shared" si="6"/>
        <v>ametl</v>
      </c>
      <c r="U35" t="str">
        <f t="shared" si="7"/>
        <v>cmetl</v>
      </c>
      <c r="W35" t="str">
        <f t="shared" si="8"/>
        <v>ametl</v>
      </c>
      <c r="X35" t="str">
        <f t="shared" si="9"/>
        <v>ametl</v>
      </c>
      <c r="Y35" t="s">
        <v>591</v>
      </c>
    </row>
    <row r="36" spans="1:25" x14ac:dyDescent="0.35">
      <c r="A36" t="s">
        <v>161</v>
      </c>
      <c r="C36" t="s">
        <v>161</v>
      </c>
      <c r="D36" t="s">
        <v>161</v>
      </c>
      <c r="E36" t="s">
        <v>194</v>
      </c>
      <c r="T36" t="str">
        <f t="shared" si="6"/>
        <v>amach</v>
      </c>
      <c r="U36" t="str">
        <f t="shared" si="7"/>
        <v>cmach</v>
      </c>
      <c r="W36" t="str">
        <f t="shared" si="8"/>
        <v>amach</v>
      </c>
      <c r="X36" t="str">
        <f t="shared" si="9"/>
        <v>amach</v>
      </c>
      <c r="Y36" t="s">
        <v>591</v>
      </c>
    </row>
    <row r="37" spans="1:25" x14ac:dyDescent="0.35">
      <c r="A37" t="s">
        <v>162</v>
      </c>
      <c r="C37" t="s">
        <v>162</v>
      </c>
      <c r="D37" t="s">
        <v>162</v>
      </c>
      <c r="E37" t="s">
        <v>195</v>
      </c>
      <c r="T37" t="str">
        <f t="shared" si="6"/>
        <v>aoman</v>
      </c>
      <c r="U37" t="str">
        <f t="shared" si="7"/>
        <v>coman</v>
      </c>
      <c r="W37" t="str">
        <f t="shared" si="8"/>
        <v>aoman</v>
      </c>
      <c r="X37" t="str">
        <f t="shared" si="9"/>
        <v>aoman</v>
      </c>
      <c r="Y37" t="s">
        <v>591</v>
      </c>
    </row>
    <row r="38" spans="1:25" x14ac:dyDescent="0.35">
      <c r="A38" t="s">
        <v>163</v>
      </c>
      <c r="C38" t="s">
        <v>163</v>
      </c>
      <c r="D38" t="s">
        <v>163</v>
      </c>
      <c r="E38" t="s">
        <v>196</v>
      </c>
      <c r="T38" t="str">
        <f t="shared" si="6"/>
        <v>aelec</v>
      </c>
      <c r="U38" t="str">
        <f t="shared" si="7"/>
        <v>celec</v>
      </c>
      <c r="W38" t="str">
        <f t="shared" si="8"/>
        <v>aelec</v>
      </c>
      <c r="X38" t="str">
        <f t="shared" si="9"/>
        <v>aelec</v>
      </c>
      <c r="Y38" t="s">
        <v>591</v>
      </c>
    </row>
    <row r="39" spans="1:25" x14ac:dyDescent="0.35">
      <c r="A39" t="s">
        <v>164</v>
      </c>
      <c r="C39" t="s">
        <v>164</v>
      </c>
      <c r="D39" t="s">
        <v>164</v>
      </c>
      <c r="E39" t="s">
        <v>197</v>
      </c>
      <c r="T39" t="str">
        <f t="shared" si="6"/>
        <v>awatr</v>
      </c>
      <c r="U39" t="str">
        <f t="shared" si="7"/>
        <v>cwatr</v>
      </c>
      <c r="W39" t="str">
        <f t="shared" si="8"/>
        <v>awatr</v>
      </c>
      <c r="X39" t="str">
        <f t="shared" si="9"/>
        <v>awatr</v>
      </c>
      <c r="Y39" t="s">
        <v>591</v>
      </c>
    </row>
    <row r="40" spans="1:25" x14ac:dyDescent="0.35">
      <c r="A40" t="s">
        <v>165</v>
      </c>
      <c r="C40" t="s">
        <v>165</v>
      </c>
      <c r="D40" t="s">
        <v>165</v>
      </c>
      <c r="E40" t="s">
        <v>198</v>
      </c>
      <c r="T40" t="str">
        <f t="shared" si="6"/>
        <v>acons</v>
      </c>
      <c r="U40" t="str">
        <f t="shared" si="7"/>
        <v>ccons</v>
      </c>
      <c r="W40" t="str">
        <f t="shared" si="8"/>
        <v>acons</v>
      </c>
      <c r="X40" t="str">
        <f t="shared" si="9"/>
        <v>acons</v>
      </c>
      <c r="Y40" t="s">
        <v>591</v>
      </c>
    </row>
    <row r="41" spans="1:25" x14ac:dyDescent="0.35">
      <c r="A41" t="s">
        <v>166</v>
      </c>
      <c r="C41" t="s">
        <v>166</v>
      </c>
      <c r="D41" t="s">
        <v>166</v>
      </c>
      <c r="E41" t="s">
        <v>199</v>
      </c>
      <c r="T41" t="str">
        <f t="shared" si="6"/>
        <v>atrad</v>
      </c>
      <c r="U41" t="str">
        <f t="shared" si="7"/>
        <v>ctrad</v>
      </c>
      <c r="W41" t="str">
        <f t="shared" si="8"/>
        <v>atrad</v>
      </c>
      <c r="X41" t="str">
        <f t="shared" si="9"/>
        <v>atrad</v>
      </c>
      <c r="Y41" t="s">
        <v>591</v>
      </c>
    </row>
    <row r="42" spans="1:25" x14ac:dyDescent="0.35">
      <c r="A42" t="s">
        <v>167</v>
      </c>
      <c r="C42" t="s">
        <v>167</v>
      </c>
      <c r="D42" t="s">
        <v>167</v>
      </c>
      <c r="E42" t="s">
        <v>200</v>
      </c>
      <c r="T42" t="str">
        <f t="shared" si="6"/>
        <v>atran</v>
      </c>
      <c r="U42" t="str">
        <f t="shared" si="7"/>
        <v>ctran</v>
      </c>
      <c r="W42" t="str">
        <f t="shared" si="8"/>
        <v>atran</v>
      </c>
      <c r="X42" t="str">
        <f t="shared" si="9"/>
        <v>atran</v>
      </c>
      <c r="Y42" t="s">
        <v>591</v>
      </c>
    </row>
    <row r="43" spans="1:25" x14ac:dyDescent="0.35">
      <c r="A43" t="s">
        <v>168</v>
      </c>
      <c r="C43" t="s">
        <v>168</v>
      </c>
      <c r="D43" t="s">
        <v>168</v>
      </c>
      <c r="E43" t="s">
        <v>201</v>
      </c>
      <c r="T43" t="str">
        <f t="shared" si="6"/>
        <v>ahotl</v>
      </c>
      <c r="U43" t="str">
        <f t="shared" si="7"/>
        <v>chotl</v>
      </c>
      <c r="W43" t="str">
        <f t="shared" si="8"/>
        <v>ahotl</v>
      </c>
      <c r="X43" t="str">
        <f t="shared" si="9"/>
        <v>ahotl</v>
      </c>
      <c r="Y43" t="s">
        <v>591</v>
      </c>
    </row>
    <row r="44" spans="1:25" x14ac:dyDescent="0.35">
      <c r="A44" t="s">
        <v>548</v>
      </c>
      <c r="C44" t="s">
        <v>548</v>
      </c>
      <c r="D44" t="s">
        <v>548</v>
      </c>
      <c r="E44" t="s">
        <v>549</v>
      </c>
      <c r="T44" t="str">
        <f t="shared" si="6"/>
        <v>arest</v>
      </c>
      <c r="U44" t="str">
        <f t="shared" si="7"/>
        <v>crest</v>
      </c>
      <c r="W44" t="str">
        <f t="shared" si="8"/>
        <v>arest</v>
      </c>
      <c r="X44" t="str">
        <f t="shared" si="9"/>
        <v>arest</v>
      </c>
      <c r="Y44" t="s">
        <v>591</v>
      </c>
    </row>
    <row r="45" spans="1:25" x14ac:dyDescent="0.35">
      <c r="A45" t="s">
        <v>169</v>
      </c>
      <c r="C45" t="s">
        <v>169</v>
      </c>
      <c r="D45" t="s">
        <v>169</v>
      </c>
      <c r="E45" t="s">
        <v>202</v>
      </c>
      <c r="T45" t="str">
        <f t="shared" si="6"/>
        <v>acomm</v>
      </c>
      <c r="U45" t="str">
        <f t="shared" si="7"/>
        <v>ccomm</v>
      </c>
      <c r="W45" t="str">
        <f t="shared" si="8"/>
        <v>acomm</v>
      </c>
      <c r="X45" t="str">
        <f t="shared" si="9"/>
        <v>acomm</v>
      </c>
      <c r="Y45" t="s">
        <v>591</v>
      </c>
    </row>
    <row r="46" spans="1:25" x14ac:dyDescent="0.35">
      <c r="A46" t="s">
        <v>170</v>
      </c>
      <c r="C46" t="s">
        <v>170</v>
      </c>
      <c r="D46" t="s">
        <v>170</v>
      </c>
      <c r="E46" t="s">
        <v>203</v>
      </c>
      <c r="T46" t="str">
        <f t="shared" si="6"/>
        <v>afsrv</v>
      </c>
      <c r="U46" t="str">
        <f t="shared" si="7"/>
        <v>cfsrv</v>
      </c>
      <c r="W46" t="str">
        <f t="shared" si="8"/>
        <v>afsrv</v>
      </c>
      <c r="X46" t="str">
        <f t="shared" si="9"/>
        <v>afsrv</v>
      </c>
      <c r="Y46" t="s">
        <v>591</v>
      </c>
    </row>
    <row r="47" spans="1:25" x14ac:dyDescent="0.35">
      <c r="A47" t="s">
        <v>171</v>
      </c>
      <c r="C47" t="s">
        <v>171</v>
      </c>
      <c r="D47" t="s">
        <v>171</v>
      </c>
      <c r="E47" t="s">
        <v>204</v>
      </c>
      <c r="T47" t="str">
        <f t="shared" si="6"/>
        <v>areal</v>
      </c>
      <c r="U47" t="str">
        <f t="shared" si="7"/>
        <v>creal</v>
      </c>
      <c r="W47" t="str">
        <f t="shared" si="8"/>
        <v>areal</v>
      </c>
      <c r="X47" t="str">
        <f t="shared" si="9"/>
        <v>areal</v>
      </c>
      <c r="Y47" t="s">
        <v>591</v>
      </c>
    </row>
    <row r="48" spans="1:25" x14ac:dyDescent="0.35">
      <c r="A48" t="s">
        <v>172</v>
      </c>
      <c r="C48" t="s">
        <v>172</v>
      </c>
      <c r="D48" t="s">
        <v>172</v>
      </c>
      <c r="E48" t="s">
        <v>205</v>
      </c>
      <c r="T48" t="str">
        <f t="shared" si="6"/>
        <v>absrv</v>
      </c>
      <c r="U48" t="str">
        <f t="shared" si="7"/>
        <v>cbsrv</v>
      </c>
      <c r="W48" t="str">
        <f t="shared" si="8"/>
        <v>absrv</v>
      </c>
      <c r="X48" t="str">
        <f t="shared" si="9"/>
        <v>absrv</v>
      </c>
      <c r="Y48" t="s">
        <v>591</v>
      </c>
    </row>
    <row r="49" spans="1:25" x14ac:dyDescent="0.35">
      <c r="A49" t="s">
        <v>173</v>
      </c>
      <c r="C49" t="s">
        <v>173</v>
      </c>
      <c r="D49" t="s">
        <v>173</v>
      </c>
      <c r="E49" t="s">
        <v>206</v>
      </c>
      <c r="T49" t="str">
        <f t="shared" si="6"/>
        <v>apadm</v>
      </c>
      <c r="U49" t="str">
        <f t="shared" si="7"/>
        <v>cpadm</v>
      </c>
      <c r="W49" t="str">
        <f t="shared" si="8"/>
        <v>apadm</v>
      </c>
      <c r="X49" t="str">
        <f t="shared" si="9"/>
        <v>apadm</v>
      </c>
      <c r="Y49" t="s">
        <v>591</v>
      </c>
    </row>
    <row r="50" spans="1:25" x14ac:dyDescent="0.35">
      <c r="A50" t="s">
        <v>174</v>
      </c>
      <c r="C50" t="s">
        <v>174</v>
      </c>
      <c r="D50" t="s">
        <v>174</v>
      </c>
      <c r="E50" t="s">
        <v>207</v>
      </c>
      <c r="T50" t="str">
        <f t="shared" si="6"/>
        <v>aeduc</v>
      </c>
      <c r="U50" t="str">
        <f t="shared" si="7"/>
        <v>ceduc</v>
      </c>
      <c r="W50" t="str">
        <f t="shared" si="8"/>
        <v>aeduc</v>
      </c>
      <c r="X50" t="str">
        <f t="shared" si="9"/>
        <v>aeduc</v>
      </c>
      <c r="Y50" t="s">
        <v>591</v>
      </c>
    </row>
    <row r="51" spans="1:25" x14ac:dyDescent="0.35">
      <c r="A51" t="s">
        <v>175</v>
      </c>
      <c r="C51" t="s">
        <v>175</v>
      </c>
      <c r="D51" t="s">
        <v>175</v>
      </c>
      <c r="E51" t="s">
        <v>208</v>
      </c>
      <c r="T51" t="str">
        <f t="shared" si="6"/>
        <v>aheal</v>
      </c>
      <c r="U51" t="str">
        <f t="shared" si="7"/>
        <v>cheal</v>
      </c>
      <c r="W51" t="str">
        <f t="shared" si="8"/>
        <v>aheal</v>
      </c>
      <c r="X51" t="str">
        <f t="shared" si="9"/>
        <v>aheal</v>
      </c>
      <c r="Y51" t="s">
        <v>591</v>
      </c>
    </row>
    <row r="52" spans="1:25" x14ac:dyDescent="0.35">
      <c r="A52" t="s">
        <v>176</v>
      </c>
      <c r="C52" t="s">
        <v>176</v>
      </c>
      <c r="D52" t="s">
        <v>176</v>
      </c>
      <c r="E52" t="s">
        <v>209</v>
      </c>
      <c r="T52" t="str">
        <f t="shared" si="6"/>
        <v>aosrv</v>
      </c>
      <c r="U52" t="str">
        <f t="shared" si="7"/>
        <v>cosrv</v>
      </c>
      <c r="W52" t="str">
        <f t="shared" si="8"/>
        <v>aosrv</v>
      </c>
      <c r="X52" t="str">
        <f t="shared" si="9"/>
        <v>aosrv</v>
      </c>
      <c r="Y52" t="s">
        <v>591</v>
      </c>
    </row>
    <row r="53" spans="1:25" x14ac:dyDescent="0.35">
      <c r="A53" t="s">
        <v>680</v>
      </c>
    </row>
    <row r="54" spans="1:25" x14ac:dyDescent="0.35">
      <c r="A54" t="s">
        <v>177</v>
      </c>
    </row>
    <row r="55" spans="1:25" x14ac:dyDescent="0.35">
      <c r="A55" t="s">
        <v>178</v>
      </c>
    </row>
    <row r="56" spans="1:25" x14ac:dyDescent="0.35">
      <c r="A56" t="s">
        <v>179</v>
      </c>
    </row>
    <row r="57" spans="1:25" x14ac:dyDescent="0.35">
      <c r="A57" t="s">
        <v>180</v>
      </c>
    </row>
    <row r="58" spans="1:25" x14ac:dyDescent="0.35">
      <c r="A58" t="s">
        <v>181</v>
      </c>
    </row>
    <row r="59" spans="1:25" x14ac:dyDescent="0.35">
      <c r="A59" s="32" t="s">
        <v>727</v>
      </c>
    </row>
    <row r="60" spans="1:25" x14ac:dyDescent="0.35">
      <c r="A60" t="s">
        <v>182</v>
      </c>
    </row>
    <row r="61" spans="1:25" x14ac:dyDescent="0.35">
      <c r="A61" t="s">
        <v>681</v>
      </c>
    </row>
    <row r="62" spans="1:25" x14ac:dyDescent="0.35">
      <c r="A62" t="s">
        <v>289</v>
      </c>
    </row>
    <row r="63" spans="1:25" x14ac:dyDescent="0.35">
      <c r="A63" t="s">
        <v>183</v>
      </c>
    </row>
    <row r="64" spans="1:25" x14ac:dyDescent="0.35">
      <c r="A64" t="s">
        <v>184</v>
      </c>
    </row>
    <row r="65" spans="1:1" x14ac:dyDescent="0.35">
      <c r="A65" t="s">
        <v>682</v>
      </c>
    </row>
    <row r="66" spans="1:1" x14ac:dyDescent="0.35">
      <c r="A66" t="s">
        <v>683</v>
      </c>
    </row>
    <row r="67" spans="1:1" x14ac:dyDescent="0.35">
      <c r="A67" t="s">
        <v>186</v>
      </c>
    </row>
    <row r="68" spans="1:1" x14ac:dyDescent="0.35">
      <c r="A68" t="s">
        <v>293</v>
      </c>
    </row>
    <row r="69" spans="1:1" x14ac:dyDescent="0.35">
      <c r="A69" t="s">
        <v>292</v>
      </c>
    </row>
    <row r="70" spans="1:1" x14ac:dyDescent="0.35">
      <c r="A70" t="s">
        <v>185</v>
      </c>
    </row>
    <row r="71" spans="1:1" x14ac:dyDescent="0.35">
      <c r="A71" t="s">
        <v>290</v>
      </c>
    </row>
    <row r="72" spans="1:1" x14ac:dyDescent="0.35">
      <c r="A72" t="s">
        <v>291</v>
      </c>
    </row>
    <row r="73" spans="1:1" x14ac:dyDescent="0.35">
      <c r="A73" t="s">
        <v>684</v>
      </c>
    </row>
    <row r="74" spans="1:1" x14ac:dyDescent="0.35">
      <c r="A74" t="s">
        <v>685</v>
      </c>
    </row>
    <row r="75" spans="1:1" x14ac:dyDescent="0.35">
      <c r="A75" t="s">
        <v>187</v>
      </c>
    </row>
    <row r="76" spans="1:1" x14ac:dyDescent="0.35">
      <c r="A76" t="s">
        <v>188</v>
      </c>
    </row>
    <row r="77" spans="1:1" x14ac:dyDescent="0.35">
      <c r="A77" t="s">
        <v>189</v>
      </c>
    </row>
    <row r="78" spans="1:1" x14ac:dyDescent="0.35">
      <c r="A78" t="s">
        <v>190</v>
      </c>
    </row>
    <row r="79" spans="1:1" x14ac:dyDescent="0.35">
      <c r="A79" t="s">
        <v>191</v>
      </c>
    </row>
    <row r="80" spans="1:1" x14ac:dyDescent="0.35">
      <c r="A80" t="s">
        <v>192</v>
      </c>
    </row>
    <row r="81" spans="1:1" x14ac:dyDescent="0.35">
      <c r="A81" t="s">
        <v>193</v>
      </c>
    </row>
    <row r="82" spans="1:1" x14ac:dyDescent="0.35">
      <c r="A82" t="s">
        <v>194</v>
      </c>
    </row>
    <row r="83" spans="1:1" x14ac:dyDescent="0.35">
      <c r="A83" t="s">
        <v>195</v>
      </c>
    </row>
    <row r="84" spans="1:1" x14ac:dyDescent="0.35">
      <c r="A84" t="s">
        <v>196</v>
      </c>
    </row>
    <row r="85" spans="1:1" x14ac:dyDescent="0.35">
      <c r="A85" t="s">
        <v>197</v>
      </c>
    </row>
    <row r="86" spans="1:1" x14ac:dyDescent="0.35">
      <c r="A86" t="s">
        <v>198</v>
      </c>
    </row>
    <row r="87" spans="1:1" x14ac:dyDescent="0.35">
      <c r="A87" t="s">
        <v>199</v>
      </c>
    </row>
    <row r="88" spans="1:1" x14ac:dyDescent="0.35">
      <c r="A88" t="s">
        <v>200</v>
      </c>
    </row>
    <row r="89" spans="1:1" x14ac:dyDescent="0.35">
      <c r="A89" t="s">
        <v>201</v>
      </c>
    </row>
    <row r="90" spans="1:1" x14ac:dyDescent="0.35">
      <c r="A90" t="s">
        <v>549</v>
      </c>
    </row>
    <row r="91" spans="1:1" x14ac:dyDescent="0.35">
      <c r="A91" t="s">
        <v>202</v>
      </c>
    </row>
    <row r="92" spans="1:1" x14ac:dyDescent="0.35">
      <c r="A92" t="s">
        <v>203</v>
      </c>
    </row>
    <row r="93" spans="1:1" x14ac:dyDescent="0.35">
      <c r="A93" t="s">
        <v>204</v>
      </c>
    </row>
    <row r="94" spans="1:1" x14ac:dyDescent="0.35">
      <c r="A94" t="s">
        <v>205</v>
      </c>
    </row>
    <row r="95" spans="1:1" x14ac:dyDescent="0.35">
      <c r="A95" t="s">
        <v>206</v>
      </c>
    </row>
    <row r="96" spans="1:1" x14ac:dyDescent="0.35">
      <c r="A96" t="s">
        <v>207</v>
      </c>
    </row>
    <row r="97" spans="1:1" x14ac:dyDescent="0.35">
      <c r="A97" t="s">
        <v>208</v>
      </c>
    </row>
    <row r="98" spans="1:1" x14ac:dyDescent="0.35">
      <c r="A98" t="s">
        <v>209</v>
      </c>
    </row>
    <row r="99" spans="1:1" x14ac:dyDescent="0.35">
      <c r="A99" t="s">
        <v>102</v>
      </c>
    </row>
    <row r="100" spans="1:1" x14ac:dyDescent="0.35">
      <c r="A100" t="s">
        <v>296</v>
      </c>
    </row>
    <row r="101" spans="1:1" x14ac:dyDescent="0.35">
      <c r="A101" t="s">
        <v>297</v>
      </c>
    </row>
    <row r="102" spans="1:1" x14ac:dyDescent="0.35">
      <c r="A102" t="s">
        <v>298</v>
      </c>
    </row>
    <row r="103" spans="1:1" x14ac:dyDescent="0.35">
      <c r="A103" t="s">
        <v>552</v>
      </c>
    </row>
    <row r="104" spans="1:1" x14ac:dyDescent="0.35">
      <c r="A104" t="s">
        <v>553</v>
      </c>
    </row>
    <row r="105" spans="1:1" x14ac:dyDescent="0.35">
      <c r="A105" t="s">
        <v>554</v>
      </c>
    </row>
    <row r="106" spans="1:1" x14ac:dyDescent="0.35">
      <c r="A106" t="s">
        <v>555</v>
      </c>
    </row>
    <row r="107" spans="1:1" x14ac:dyDescent="0.35">
      <c r="A107" t="s">
        <v>216</v>
      </c>
    </row>
    <row r="108" spans="1:1" x14ac:dyDescent="0.35">
      <c r="A108" t="s">
        <v>557</v>
      </c>
    </row>
    <row r="109" spans="1:1" x14ac:dyDescent="0.35">
      <c r="A109" t="s">
        <v>558</v>
      </c>
    </row>
    <row r="110" spans="1:1" x14ac:dyDescent="0.35">
      <c r="A110" t="s">
        <v>559</v>
      </c>
    </row>
    <row r="111" spans="1:1" x14ac:dyDescent="0.35">
      <c r="A111" t="s">
        <v>560</v>
      </c>
    </row>
    <row r="112" spans="1:1" x14ac:dyDescent="0.35">
      <c r="A112" t="s">
        <v>104</v>
      </c>
    </row>
    <row r="113" spans="1:1" x14ac:dyDescent="0.35">
      <c r="A113" t="s">
        <v>217</v>
      </c>
    </row>
    <row r="114" spans="1:1" x14ac:dyDescent="0.35">
      <c r="A114" t="s">
        <v>218</v>
      </c>
    </row>
    <row r="115" spans="1:1" x14ac:dyDescent="0.35">
      <c r="A115" t="s">
        <v>219</v>
      </c>
    </row>
    <row r="116" spans="1:1" x14ac:dyDescent="0.35">
      <c r="A116" t="s">
        <v>220</v>
      </c>
    </row>
    <row r="117" spans="1:1" x14ac:dyDescent="0.35">
      <c r="A117" t="s">
        <v>221</v>
      </c>
    </row>
    <row r="118" spans="1:1" x14ac:dyDescent="0.35">
      <c r="A118" t="s">
        <v>595</v>
      </c>
    </row>
    <row r="119" spans="1:1" x14ac:dyDescent="0.35">
      <c r="A119" t="s">
        <v>596</v>
      </c>
    </row>
    <row r="120" spans="1:1" x14ac:dyDescent="0.35">
      <c r="A120" t="s">
        <v>597</v>
      </c>
    </row>
    <row r="121" spans="1:1" x14ac:dyDescent="0.35">
      <c r="A121" t="s">
        <v>598</v>
      </c>
    </row>
    <row r="122" spans="1:1" x14ac:dyDescent="0.35">
      <c r="A122" t="s">
        <v>599</v>
      </c>
    </row>
    <row r="123" spans="1:1" x14ac:dyDescent="0.35">
      <c r="A123" t="s">
        <v>222</v>
      </c>
    </row>
    <row r="124" spans="1:1" x14ac:dyDescent="0.35">
      <c r="A124" t="s">
        <v>223</v>
      </c>
    </row>
    <row r="125" spans="1:1" x14ac:dyDescent="0.35">
      <c r="A125" t="s">
        <v>224</v>
      </c>
    </row>
    <row r="126" spans="1:1" x14ac:dyDescent="0.35">
      <c r="A126" t="s">
        <v>225</v>
      </c>
    </row>
    <row r="127" spans="1:1" x14ac:dyDescent="0.35">
      <c r="A127" t="s">
        <v>226</v>
      </c>
    </row>
    <row r="128" spans="1:1" x14ac:dyDescent="0.35">
      <c r="A128" t="s">
        <v>106</v>
      </c>
    </row>
    <row r="129" spans="1:1" x14ac:dyDescent="0.35">
      <c r="A129" t="s">
        <v>108</v>
      </c>
    </row>
    <row r="130" spans="1:1" x14ac:dyDescent="0.35">
      <c r="A130" t="s">
        <v>110</v>
      </c>
    </row>
    <row r="131" spans="1:1" x14ac:dyDescent="0.35">
      <c r="A131" t="s">
        <v>112</v>
      </c>
    </row>
    <row r="132" spans="1:1" x14ac:dyDescent="0.35">
      <c r="A132" t="s">
        <v>114</v>
      </c>
    </row>
    <row r="133" spans="1:1" x14ac:dyDescent="0.35">
      <c r="A133" t="s">
        <v>116</v>
      </c>
    </row>
    <row r="134" spans="1:1" x14ac:dyDescent="0.35">
      <c r="A134" t="s">
        <v>118</v>
      </c>
    </row>
    <row r="135" spans="1:1" x14ac:dyDescent="0.35">
      <c r="A135" t="s">
        <v>120</v>
      </c>
    </row>
    <row r="136" spans="1:1" x14ac:dyDescent="0.35">
      <c r="A136" t="s">
        <v>122</v>
      </c>
    </row>
    <row r="137" spans="1:1" x14ac:dyDescent="0.35">
      <c r="A137" t="s">
        <v>124</v>
      </c>
    </row>
    <row r="138" spans="1:1" x14ac:dyDescent="0.35">
      <c r="A138" t="s">
        <v>591</v>
      </c>
    </row>
    <row r="139" spans="1:1" x14ac:dyDescent="0.35">
      <c r="A139" t="s">
        <v>299</v>
      </c>
    </row>
    <row r="140" spans="1:1" x14ac:dyDescent="0.35">
      <c r="A140" t="s">
        <v>300</v>
      </c>
    </row>
    <row r="141" spans="1:1" x14ac:dyDescent="0.35">
      <c r="A141" t="s">
        <v>301</v>
      </c>
    </row>
    <row r="142" spans="1:1" x14ac:dyDescent="0.35">
      <c r="A142" t="s">
        <v>302</v>
      </c>
    </row>
    <row r="143" spans="1:1" x14ac:dyDescent="0.35">
      <c r="A143" t="s">
        <v>303</v>
      </c>
    </row>
    <row r="144" spans="1:1" x14ac:dyDescent="0.35">
      <c r="A144" t="s">
        <v>304</v>
      </c>
    </row>
    <row r="145" spans="1:1" x14ac:dyDescent="0.35">
      <c r="A145" t="s">
        <v>305</v>
      </c>
    </row>
    <row r="146" spans="1:1" x14ac:dyDescent="0.35">
      <c r="A146" t="s">
        <v>306</v>
      </c>
    </row>
    <row r="147" spans="1:1" x14ac:dyDescent="0.35">
      <c r="A147" t="s">
        <v>307</v>
      </c>
    </row>
    <row r="148" spans="1:1" x14ac:dyDescent="0.35">
      <c r="A148" t="s">
        <v>308</v>
      </c>
    </row>
    <row r="149" spans="1:1" x14ac:dyDescent="0.35">
      <c r="A149" t="s">
        <v>122</v>
      </c>
    </row>
    <row r="150" spans="1:1" x14ac:dyDescent="0.35">
      <c r="A150" t="s">
        <v>309</v>
      </c>
    </row>
    <row r="151" spans="1:1" x14ac:dyDescent="0.35">
      <c r="A151" t="s">
        <v>126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499984740745262"/>
  </sheetPr>
  <dimension ref="A1:Q53"/>
  <sheetViews>
    <sheetView topLeftCell="F1" zoomScale="85" zoomScaleNormal="85" workbookViewId="0">
      <pane ySplit="6" topLeftCell="A29" activePane="bottomLeft" state="frozen"/>
      <selection activeCell="D7" sqref="D7:E19"/>
      <selection pane="bottomLeft" activeCell="J6" sqref="J6:Q53"/>
    </sheetView>
  </sheetViews>
  <sheetFormatPr defaultRowHeight="14.5" x14ac:dyDescent="0.35"/>
  <cols>
    <col min="10" max="13" width="9.1796875" style="43"/>
    <col min="14" max="14" width="8.7265625" style="143"/>
    <col min="15" max="15" width="9.1796875" style="145"/>
    <col min="16" max="16" width="8.7265625" style="143"/>
    <col min="17" max="17" width="9.1796875" style="146"/>
  </cols>
  <sheetData>
    <row r="1" spans="1:17" ht="18.5" x14ac:dyDescent="0.45">
      <c r="A1" s="5" t="s">
        <v>484</v>
      </c>
    </row>
    <row r="3" spans="1:17" x14ac:dyDescent="0.35">
      <c r="A3" s="19" t="s">
        <v>540</v>
      </c>
      <c r="B3" s="19" t="s">
        <v>540</v>
      </c>
      <c r="C3" s="19" t="s">
        <v>540</v>
      </c>
      <c r="D3" s="19" t="s">
        <v>540</v>
      </c>
      <c r="E3" s="19" t="s">
        <v>540</v>
      </c>
      <c r="F3" s="19" t="s">
        <v>540</v>
      </c>
    </row>
    <row r="4" spans="1:17" x14ac:dyDescent="0.35">
      <c r="A4" s="1" t="s">
        <v>483</v>
      </c>
      <c r="C4" s="1" t="s">
        <v>481</v>
      </c>
      <c r="D4" s="1" t="s">
        <v>482</v>
      </c>
      <c r="F4" s="1" t="s">
        <v>541</v>
      </c>
    </row>
    <row r="5" spans="1:17" x14ac:dyDescent="0.35">
      <c r="A5" t="s">
        <v>246</v>
      </c>
      <c r="B5" t="s">
        <v>247</v>
      </c>
      <c r="D5" t="s">
        <v>246</v>
      </c>
      <c r="E5" t="s">
        <v>247</v>
      </c>
      <c r="F5" t="s">
        <v>246</v>
      </c>
    </row>
    <row r="6" spans="1:17" x14ac:dyDescent="0.35">
      <c r="A6" t="s">
        <v>476</v>
      </c>
      <c r="B6" t="s">
        <v>477</v>
      </c>
      <c r="C6" t="s">
        <v>478</v>
      </c>
      <c r="D6" t="s">
        <v>480</v>
      </c>
      <c r="E6" t="s">
        <v>479</v>
      </c>
      <c r="F6" t="s">
        <v>593</v>
      </c>
      <c r="J6" s="142"/>
      <c r="K6" s="142" t="s">
        <v>717</v>
      </c>
      <c r="L6" s="142" t="s">
        <v>718</v>
      </c>
      <c r="M6" s="142" t="s">
        <v>719</v>
      </c>
      <c r="N6" s="143" t="s">
        <v>720</v>
      </c>
      <c r="O6" s="145" t="s">
        <v>721</v>
      </c>
      <c r="P6" s="143" t="s">
        <v>722</v>
      </c>
      <c r="Q6" s="146" t="s">
        <v>723</v>
      </c>
    </row>
    <row r="7" spans="1:17" x14ac:dyDescent="0.35">
      <c r="A7" s="142" t="s">
        <v>179</v>
      </c>
      <c r="B7" s="142" t="s">
        <v>177</v>
      </c>
      <c r="D7" t="s">
        <v>682</v>
      </c>
      <c r="E7" s="142" t="s">
        <v>179</v>
      </c>
      <c r="J7" s="142" t="s">
        <v>680</v>
      </c>
      <c r="K7" s="142">
        <v>3.7163724994087901</v>
      </c>
      <c r="L7" s="142">
        <v>2.4088046943136798</v>
      </c>
      <c r="M7" s="142">
        <v>10.4795250054663</v>
      </c>
      <c r="P7" s="143">
        <v>1.4975534967711901</v>
      </c>
      <c r="Q7" s="146">
        <v>8.9978878805075109</v>
      </c>
    </row>
    <row r="8" spans="1:17" x14ac:dyDescent="0.35">
      <c r="A8" s="142" t="s">
        <v>180</v>
      </c>
      <c r="B8" s="142" t="s">
        <v>178</v>
      </c>
      <c r="D8" s="142" t="s">
        <v>680</v>
      </c>
      <c r="E8" s="142" t="s">
        <v>180</v>
      </c>
      <c r="J8" s="142" t="s">
        <v>177</v>
      </c>
      <c r="K8" s="142">
        <v>1.3253794268499399</v>
      </c>
      <c r="L8" s="142">
        <v>0.96102041985367603</v>
      </c>
      <c r="M8" s="142">
        <v>4.3400169465938001</v>
      </c>
    </row>
    <row r="9" spans="1:17" x14ac:dyDescent="0.35">
      <c r="A9" s="142" t="s">
        <v>681</v>
      </c>
      <c r="B9" s="142" t="s">
        <v>185</v>
      </c>
      <c r="D9" s="142" t="s">
        <v>177</v>
      </c>
      <c r="E9" s="142" t="s">
        <v>181</v>
      </c>
      <c r="J9" s="142" t="s">
        <v>178</v>
      </c>
      <c r="K9" s="142">
        <v>0.48274391858427401</v>
      </c>
      <c r="L9" s="142">
        <v>0.31824250734723403</v>
      </c>
      <c r="M9" s="142">
        <v>1.6551693517563899</v>
      </c>
    </row>
    <row r="10" spans="1:17" x14ac:dyDescent="0.35">
      <c r="A10" s="142" t="s">
        <v>183</v>
      </c>
      <c r="B10" s="142" t="s">
        <v>196</v>
      </c>
      <c r="D10" s="142" t="s">
        <v>178</v>
      </c>
      <c r="E10" s="142" t="s">
        <v>681</v>
      </c>
      <c r="J10" s="142" t="s">
        <v>179</v>
      </c>
      <c r="K10" s="142">
        <v>2.75783376947183</v>
      </c>
      <c r="L10" s="142">
        <v>2.0434573454596001</v>
      </c>
      <c r="M10" s="142">
        <v>8.9935366879601304</v>
      </c>
    </row>
    <row r="11" spans="1:17" x14ac:dyDescent="0.35">
      <c r="A11" s="142" t="s">
        <v>184</v>
      </c>
      <c r="B11" s="142" t="s">
        <v>198</v>
      </c>
      <c r="D11" s="142" t="s">
        <v>188</v>
      </c>
      <c r="E11" s="142" t="s">
        <v>183</v>
      </c>
      <c r="J11" s="142" t="s">
        <v>180</v>
      </c>
      <c r="K11" s="142">
        <v>2.6848997644561998</v>
      </c>
      <c r="L11" s="142">
        <v>3.1983109317194902</v>
      </c>
      <c r="M11" s="142">
        <v>9.2929499961045892</v>
      </c>
    </row>
    <row r="12" spans="1:17" x14ac:dyDescent="0.35">
      <c r="A12" s="142" t="s">
        <v>683</v>
      </c>
      <c r="D12" s="142" t="s">
        <v>190</v>
      </c>
      <c r="E12" s="142" t="s">
        <v>184</v>
      </c>
      <c r="J12" s="142" t="s">
        <v>181</v>
      </c>
      <c r="K12" s="142">
        <v>2.1240945988868898</v>
      </c>
      <c r="L12" s="142">
        <v>1.27270222725576</v>
      </c>
      <c r="M12" s="142">
        <v>9.3809766401765096</v>
      </c>
      <c r="N12" s="143">
        <v>2.1109207381666302</v>
      </c>
      <c r="O12" s="145">
        <v>9.6145215121603904</v>
      </c>
    </row>
    <row r="13" spans="1:17" x14ac:dyDescent="0.35">
      <c r="A13" s="142" t="s">
        <v>203</v>
      </c>
      <c r="D13" s="142" t="s">
        <v>191</v>
      </c>
      <c r="E13" s="142" t="s">
        <v>683</v>
      </c>
      <c r="J13" s="142" t="s">
        <v>727</v>
      </c>
      <c r="K13" s="142">
        <v>2.3816299791583999</v>
      </c>
      <c r="L13" s="142">
        <v>1.7483236607528101</v>
      </c>
      <c r="M13" s="142">
        <v>10.4419525005406</v>
      </c>
      <c r="N13" s="143">
        <v>12.794734491853401</v>
      </c>
      <c r="O13" s="145">
        <v>37.440236771682997</v>
      </c>
    </row>
    <row r="14" spans="1:17" x14ac:dyDescent="0.35">
      <c r="A14" s="142" t="s">
        <v>202</v>
      </c>
      <c r="D14" s="142" t="s">
        <v>196</v>
      </c>
      <c r="E14" s="142" t="s">
        <v>202</v>
      </c>
      <c r="J14" s="142" t="s">
        <v>182</v>
      </c>
      <c r="K14" s="142">
        <v>1.0113474153603701</v>
      </c>
      <c r="L14" s="142">
        <v>1.0392124311415201</v>
      </c>
      <c r="M14" s="142">
        <v>3.36318817295939</v>
      </c>
      <c r="N14" s="143">
        <v>8.9214890370819404</v>
      </c>
      <c r="O14" s="145">
        <v>42.9704200317206</v>
      </c>
    </row>
    <row r="15" spans="1:17" x14ac:dyDescent="0.35">
      <c r="A15" s="142" t="s">
        <v>290</v>
      </c>
      <c r="D15" s="142" t="s">
        <v>685</v>
      </c>
      <c r="E15" s="142" t="s">
        <v>203</v>
      </c>
      <c r="J15" s="142" t="s">
        <v>681</v>
      </c>
      <c r="K15" s="142">
        <v>2.2886731778874299</v>
      </c>
      <c r="L15" s="142">
        <v>1.61815247819396</v>
      </c>
      <c r="M15" s="142">
        <v>10.313652474171001</v>
      </c>
    </row>
    <row r="16" spans="1:17" x14ac:dyDescent="0.35">
      <c r="E16" s="142" t="s">
        <v>200</v>
      </c>
      <c r="J16" s="142" t="s">
        <v>289</v>
      </c>
      <c r="K16" s="142">
        <v>1.66334682403503</v>
      </c>
      <c r="L16" s="142">
        <v>1.39463634227094</v>
      </c>
      <c r="M16" s="142">
        <v>7.1728737429088802</v>
      </c>
    </row>
    <row r="17" spans="1:17" x14ac:dyDescent="0.35">
      <c r="E17" s="142" t="s">
        <v>290</v>
      </c>
      <c r="J17" s="142" t="s">
        <v>183</v>
      </c>
      <c r="K17" s="142">
        <v>1.6742771822437601</v>
      </c>
      <c r="L17" s="142">
        <v>1.10007003954035</v>
      </c>
      <c r="M17" s="142">
        <v>7.0939944151571099</v>
      </c>
    </row>
    <row r="18" spans="1:17" x14ac:dyDescent="0.35">
      <c r="E18" s="142" t="s">
        <v>727</v>
      </c>
      <c r="J18" s="142" t="s">
        <v>184</v>
      </c>
      <c r="K18" s="142">
        <v>0.61508970377439298</v>
      </c>
      <c r="L18" s="142">
        <v>0.41370721191867799</v>
      </c>
      <c r="M18" s="142">
        <v>2.6936569684395999</v>
      </c>
    </row>
    <row r="19" spans="1:17" x14ac:dyDescent="0.35">
      <c r="E19" s="142" t="s">
        <v>182</v>
      </c>
      <c r="J19" s="142" t="s">
        <v>682</v>
      </c>
      <c r="K19" s="142"/>
      <c r="L19" s="142"/>
      <c r="M19" s="142"/>
      <c r="P19" s="143">
        <v>0.34308593193442699</v>
      </c>
      <c r="Q19" s="146">
        <v>100</v>
      </c>
    </row>
    <row r="20" spans="1:17" x14ac:dyDescent="0.35">
      <c r="J20" s="142" t="s">
        <v>683</v>
      </c>
      <c r="K20" s="142">
        <v>1.57535096889615</v>
      </c>
      <c r="L20" s="142">
        <v>0.96182572574479497</v>
      </c>
      <c r="M20" s="142">
        <v>0.61146147729978295</v>
      </c>
    </row>
    <row r="21" spans="1:17" x14ac:dyDescent="0.35">
      <c r="J21" s="142" t="s">
        <v>186</v>
      </c>
      <c r="K21" s="142">
        <v>0.47922537054280401</v>
      </c>
      <c r="L21" s="142">
        <v>1.2437585631122301</v>
      </c>
      <c r="M21" s="142">
        <v>2.3575937516805898E-2</v>
      </c>
      <c r="P21" s="143">
        <v>1.3162166768881001</v>
      </c>
      <c r="Q21" s="146">
        <v>17.671671036666499</v>
      </c>
    </row>
    <row r="22" spans="1:17" x14ac:dyDescent="0.35">
      <c r="A22" s="17"/>
      <c r="J22" s="142" t="s">
        <v>293</v>
      </c>
      <c r="K22" s="142">
        <v>0.167406556979565</v>
      </c>
      <c r="L22" s="142">
        <v>0.439106986380501</v>
      </c>
      <c r="M22" s="142">
        <v>1.0739420537382799E-2</v>
      </c>
      <c r="N22" s="143">
        <v>1.0583672290894499</v>
      </c>
      <c r="O22" s="145">
        <v>10.8600508811381</v>
      </c>
      <c r="P22" s="143">
        <v>2.2985496991421499</v>
      </c>
      <c r="Q22" s="146">
        <v>40.101336756353099</v>
      </c>
    </row>
    <row r="23" spans="1:17" x14ac:dyDescent="0.35">
      <c r="J23" s="142" t="s">
        <v>292</v>
      </c>
      <c r="K23" s="142">
        <v>0.20450637947441799</v>
      </c>
      <c r="L23" s="142">
        <v>0.25734934057306003</v>
      </c>
      <c r="M23" s="142">
        <v>1.30885728220928E-2</v>
      </c>
      <c r="N23" s="143">
        <v>1.78818344426436</v>
      </c>
      <c r="O23" s="145">
        <v>34.8671293177552</v>
      </c>
      <c r="P23" s="143">
        <v>0.22809644494286399</v>
      </c>
      <c r="Q23" s="146">
        <v>14.7774517693577</v>
      </c>
    </row>
    <row r="24" spans="1:17" x14ac:dyDescent="0.35">
      <c r="J24" s="142" t="s">
        <v>185</v>
      </c>
      <c r="K24" s="142">
        <v>1.0989794193187099</v>
      </c>
      <c r="L24" s="142">
        <v>2.0213746090558198</v>
      </c>
      <c r="M24" s="142">
        <v>0.146808184725504</v>
      </c>
    </row>
    <row r="25" spans="1:17" x14ac:dyDescent="0.35">
      <c r="J25" s="142" t="s">
        <v>290</v>
      </c>
      <c r="K25" s="142">
        <v>4.1419684943973599E-2</v>
      </c>
      <c r="L25" s="142">
        <v>6.2806993825880994E-2</v>
      </c>
      <c r="M25" s="142">
        <v>5.5476518895096697E-3</v>
      </c>
    </row>
    <row r="26" spans="1:17" x14ac:dyDescent="0.35">
      <c r="J26" s="142" t="s">
        <v>291</v>
      </c>
      <c r="K26" s="142">
        <v>0.42972937306326597</v>
      </c>
      <c r="L26" s="142">
        <v>0.49651116808123202</v>
      </c>
      <c r="M26" s="142">
        <v>5.7745404406920102E-2</v>
      </c>
      <c r="P26" s="143">
        <v>0.36782137930331299</v>
      </c>
      <c r="Q26" s="146">
        <v>8.2053484028322003</v>
      </c>
    </row>
    <row r="27" spans="1:17" x14ac:dyDescent="0.35">
      <c r="J27" s="142" t="s">
        <v>684</v>
      </c>
      <c r="K27" s="142">
        <v>2.4249716103522698</v>
      </c>
      <c r="L27" s="142">
        <v>3.7968915960262799</v>
      </c>
      <c r="M27" s="142">
        <v>0.10112845592835699</v>
      </c>
      <c r="N27" s="143">
        <v>20.193645300091799</v>
      </c>
      <c r="O27" s="145">
        <v>23.879651658805599</v>
      </c>
      <c r="P27" s="143">
        <v>2.8682471053330301</v>
      </c>
      <c r="Q27" s="146">
        <v>10.801223325602001</v>
      </c>
    </row>
    <row r="28" spans="1:17" x14ac:dyDescent="0.35">
      <c r="J28" s="142" t="s">
        <v>685</v>
      </c>
      <c r="K28" s="144">
        <v>0.13687148295198601</v>
      </c>
      <c r="L28" s="142">
        <v>0.29714830143132998</v>
      </c>
      <c r="M28" s="142">
        <v>1.02520913917302E-2</v>
      </c>
      <c r="P28" s="143">
        <v>0.337775027418731</v>
      </c>
      <c r="Q28" s="146">
        <v>13.3799219076617</v>
      </c>
    </row>
    <row r="29" spans="1:17" x14ac:dyDescent="0.35">
      <c r="J29" s="142" t="s">
        <v>187</v>
      </c>
      <c r="K29" s="142">
        <v>0.84420547142913704</v>
      </c>
      <c r="L29" s="142">
        <v>0.90454983532886801</v>
      </c>
      <c r="M29" s="142">
        <v>8.3304022490280696E-2</v>
      </c>
      <c r="N29" s="143">
        <v>5.7916992679347299</v>
      </c>
      <c r="O29" s="145">
        <v>28.302519115587899</v>
      </c>
      <c r="P29" s="143">
        <v>4.7006385726716999</v>
      </c>
      <c r="Q29" s="146">
        <v>50.398469336455797</v>
      </c>
    </row>
    <row r="30" spans="1:17" x14ac:dyDescent="0.35">
      <c r="C30" s="17"/>
      <c r="D30" s="17"/>
      <c r="E30" s="17"/>
      <c r="F30" s="17"/>
      <c r="H30" s="17"/>
      <c r="I30" s="17"/>
      <c r="J30" s="142" t="s">
        <v>188</v>
      </c>
      <c r="K30" s="142">
        <v>0.55894012422636397</v>
      </c>
      <c r="L30" s="142">
        <v>0.630525210346358</v>
      </c>
      <c r="M30" s="142">
        <v>2.3798040390933299E-2</v>
      </c>
      <c r="P30" s="143">
        <v>3.1562272108910601</v>
      </c>
      <c r="Q30" s="146">
        <v>38.3180126014108</v>
      </c>
    </row>
    <row r="31" spans="1:17" x14ac:dyDescent="0.35">
      <c r="C31" s="17"/>
      <c r="D31" s="17"/>
      <c r="E31" s="17"/>
      <c r="F31" s="17"/>
      <c r="H31" s="17"/>
      <c r="I31" s="17"/>
      <c r="J31" s="142" t="s">
        <v>189</v>
      </c>
      <c r="K31" s="142">
        <v>3.2550930653868902E-2</v>
      </c>
      <c r="L31" s="142">
        <v>5.9195648871047703E-2</v>
      </c>
      <c r="M31" s="142">
        <v>1.4326862880479499E-3</v>
      </c>
      <c r="P31" s="143">
        <v>11.778568049099301</v>
      </c>
      <c r="Q31" s="146">
        <v>95.694623721215606</v>
      </c>
    </row>
    <row r="32" spans="1:17" x14ac:dyDescent="0.35">
      <c r="C32" s="17"/>
      <c r="D32" s="17"/>
      <c r="E32" s="17"/>
      <c r="F32" s="17"/>
      <c r="I32" s="17"/>
      <c r="J32" s="142" t="s">
        <v>190</v>
      </c>
      <c r="K32" s="142">
        <v>1.6642418902287799E-2</v>
      </c>
      <c r="L32" s="142">
        <v>3.44549091352776E-2</v>
      </c>
      <c r="M32" s="142">
        <v>7.3273095213312095E-4</v>
      </c>
      <c r="P32" s="143">
        <v>3.4113545820259499</v>
      </c>
      <c r="Q32" s="146">
        <v>91.6505671861498</v>
      </c>
    </row>
    <row r="33" spans="1:17" x14ac:dyDescent="0.35">
      <c r="C33" s="17"/>
      <c r="D33" s="17"/>
      <c r="E33" s="17"/>
      <c r="F33" s="17"/>
      <c r="I33" s="17"/>
      <c r="J33" s="142" t="s">
        <v>191</v>
      </c>
      <c r="K33" s="142">
        <v>0.88124188169499895</v>
      </c>
      <c r="L33" s="142">
        <v>1.4685157427018301</v>
      </c>
      <c r="M33" s="142">
        <v>3.8971943484180302E-2</v>
      </c>
      <c r="P33" s="143">
        <v>15.997321369175101</v>
      </c>
      <c r="Q33" s="146">
        <v>55.725897614885298</v>
      </c>
    </row>
    <row r="34" spans="1:17" x14ac:dyDescent="0.35">
      <c r="C34" s="17"/>
      <c r="D34" s="17"/>
      <c r="E34" s="17"/>
      <c r="F34" s="17"/>
      <c r="I34" s="17"/>
      <c r="J34" s="142" t="s">
        <v>192</v>
      </c>
      <c r="K34" s="142">
        <v>0.28232417708024199</v>
      </c>
      <c r="L34" s="142">
        <v>0.667491874750475</v>
      </c>
      <c r="M34" s="142">
        <v>4.1780257049971299E-2</v>
      </c>
      <c r="P34" s="143">
        <v>5.6742778666048297</v>
      </c>
      <c r="Q34" s="146">
        <v>52.3174131777849</v>
      </c>
    </row>
    <row r="35" spans="1:17" x14ac:dyDescent="0.35">
      <c r="B35" s="17"/>
      <c r="C35" s="17"/>
      <c r="D35" s="17"/>
      <c r="E35" s="17"/>
      <c r="F35" s="17"/>
      <c r="J35" s="142" t="s">
        <v>193</v>
      </c>
      <c r="K35" s="142">
        <v>0.38583025999127102</v>
      </c>
      <c r="L35" s="142">
        <v>0.95527619180746004</v>
      </c>
      <c r="M35" s="142">
        <v>1.5701435111973E-2</v>
      </c>
      <c r="N35" s="143">
        <v>5.7197388691104303</v>
      </c>
      <c r="O35" s="145">
        <v>29.6563456781955</v>
      </c>
      <c r="P35" s="143">
        <v>11.2055268389862</v>
      </c>
      <c r="Q35" s="146">
        <v>66.021781913491097</v>
      </c>
    </row>
    <row r="36" spans="1:17" x14ac:dyDescent="0.35">
      <c r="B36" s="17"/>
      <c r="C36" s="17"/>
      <c r="D36" s="17"/>
      <c r="E36" s="17"/>
      <c r="F36" s="17"/>
      <c r="J36" s="142" t="s">
        <v>194</v>
      </c>
      <c r="K36" s="142">
        <v>0.24755904853833199</v>
      </c>
      <c r="L36" s="142">
        <v>0.50623916342359099</v>
      </c>
      <c r="M36" s="142">
        <v>1.0162107243291099E-2</v>
      </c>
      <c r="N36" s="143">
        <v>2.3980463173831899</v>
      </c>
      <c r="O36" s="145">
        <v>20.393624913517399</v>
      </c>
      <c r="P36" s="143">
        <v>24.2476820306373</v>
      </c>
      <c r="Q36" s="146">
        <v>87.988757189443007</v>
      </c>
    </row>
    <row r="37" spans="1:17" x14ac:dyDescent="0.35">
      <c r="B37" s="17"/>
      <c r="C37" s="17"/>
      <c r="D37" s="17"/>
      <c r="E37" s="17"/>
      <c r="F37" s="17"/>
      <c r="J37" s="142" t="s">
        <v>195</v>
      </c>
      <c r="K37" s="142">
        <v>0.38120225068841501</v>
      </c>
      <c r="L37" s="142">
        <v>0.47751187192758099</v>
      </c>
      <c r="M37" s="142">
        <v>2.2830642636218802E-2</v>
      </c>
      <c r="P37" s="143">
        <v>1.6869926485812199</v>
      </c>
      <c r="Q37" s="146">
        <v>30.267995245560002</v>
      </c>
    </row>
    <row r="38" spans="1:17" x14ac:dyDescent="0.35">
      <c r="B38" s="17"/>
      <c r="C38" s="17"/>
      <c r="D38" s="17"/>
      <c r="E38" s="17"/>
      <c r="F38" s="17"/>
      <c r="J38" s="142" t="s">
        <v>196</v>
      </c>
      <c r="K38" s="142">
        <v>1.73038665978544</v>
      </c>
      <c r="L38" s="142">
        <v>1.1387249988229999</v>
      </c>
      <c r="M38" s="142">
        <v>7.14563734100013E-2</v>
      </c>
    </row>
    <row r="39" spans="1:17" x14ac:dyDescent="0.35">
      <c r="B39" s="17"/>
      <c r="C39" s="17"/>
      <c r="D39" s="17"/>
      <c r="E39" s="17"/>
      <c r="F39" s="17"/>
      <c r="J39" s="142" t="s">
        <v>197</v>
      </c>
      <c r="K39" s="142">
        <v>0.63383272387095801</v>
      </c>
      <c r="L39" s="142">
        <v>0.53083484636337397</v>
      </c>
      <c r="M39" s="142">
        <v>2.6492390467345001E-2</v>
      </c>
    </row>
    <row r="40" spans="1:17" x14ac:dyDescent="0.35">
      <c r="A40" s="17"/>
      <c r="B40" s="17"/>
      <c r="C40" s="17"/>
      <c r="D40" s="17"/>
      <c r="E40" s="17"/>
      <c r="F40" s="17"/>
      <c r="J40" s="142" t="s">
        <v>198</v>
      </c>
      <c r="K40" s="142">
        <v>6.1310989553706001</v>
      </c>
      <c r="L40" s="142">
        <v>8.8408904703046005</v>
      </c>
      <c r="M40" s="142">
        <v>0.94307212113444405</v>
      </c>
    </row>
    <row r="41" spans="1:17" x14ac:dyDescent="0.35">
      <c r="A41" s="17"/>
      <c r="B41" s="17"/>
      <c r="C41" s="17"/>
      <c r="D41" s="17"/>
      <c r="E41" s="17"/>
      <c r="F41" s="17"/>
      <c r="J41" s="142" t="s">
        <v>199</v>
      </c>
      <c r="K41" s="142">
        <v>8.9670388509359409</v>
      </c>
      <c r="L41" s="142">
        <v>9.5223999952438607</v>
      </c>
      <c r="M41" s="142">
        <v>5.2074368070519998</v>
      </c>
    </row>
    <row r="42" spans="1:17" x14ac:dyDescent="0.35">
      <c r="A42" s="17"/>
      <c r="B42" s="17"/>
      <c r="C42" s="17"/>
      <c r="D42" s="17"/>
      <c r="E42" s="17"/>
      <c r="F42" s="17"/>
      <c r="J42" s="142" t="s">
        <v>200</v>
      </c>
      <c r="K42" s="142">
        <v>12.8227793469873</v>
      </c>
      <c r="L42" s="142">
        <v>13.2283849287004</v>
      </c>
      <c r="M42" s="142">
        <v>0.51627817979367496</v>
      </c>
      <c r="N42" s="143">
        <v>20.950072948412998</v>
      </c>
      <c r="O42" s="145">
        <v>8.40354796197418</v>
      </c>
    </row>
    <row r="43" spans="1:17" x14ac:dyDescent="0.35">
      <c r="A43" s="17"/>
      <c r="B43" s="17"/>
      <c r="C43" s="17"/>
      <c r="D43" s="17"/>
      <c r="E43" s="17"/>
      <c r="F43" s="17"/>
      <c r="J43" s="142" t="s">
        <v>201</v>
      </c>
      <c r="K43" s="144">
        <v>0.57885163678122498</v>
      </c>
      <c r="L43" s="142">
        <v>0.98581284249315204</v>
      </c>
      <c r="M43" s="142">
        <v>0.25063094580353201</v>
      </c>
      <c r="N43" s="143">
        <v>2.1889168507930301</v>
      </c>
      <c r="O43" s="145">
        <v>11.7819930010267</v>
      </c>
    </row>
    <row r="44" spans="1:17" x14ac:dyDescent="0.35">
      <c r="A44" s="17"/>
      <c r="B44" s="17"/>
      <c r="C44" s="17"/>
      <c r="D44" s="17"/>
      <c r="E44" s="17"/>
      <c r="F44" s="17"/>
      <c r="J44" s="142" t="s">
        <v>549</v>
      </c>
      <c r="K44" s="142">
        <v>0.69465830573891096</v>
      </c>
      <c r="L44" s="142">
        <v>0.99878674250848798</v>
      </c>
      <c r="M44" s="142">
        <v>0.30643257443777999</v>
      </c>
    </row>
    <row r="45" spans="1:17" x14ac:dyDescent="0.35">
      <c r="A45" s="17"/>
      <c r="J45" s="142" t="s">
        <v>202</v>
      </c>
      <c r="K45" s="142">
        <v>2.6949697725703201</v>
      </c>
      <c r="L45" s="142">
        <v>3.09571505665915</v>
      </c>
      <c r="M45" s="142">
        <v>0.19248928568839899</v>
      </c>
    </row>
    <row r="46" spans="1:17" x14ac:dyDescent="0.35">
      <c r="A46" s="17"/>
      <c r="J46" s="142" t="s">
        <v>203</v>
      </c>
      <c r="K46" s="142">
        <v>4.5558867916067296</v>
      </c>
      <c r="L46" s="142">
        <v>7.2446312642861201</v>
      </c>
      <c r="M46" s="142">
        <v>0.222668233613385</v>
      </c>
    </row>
    <row r="47" spans="1:17" x14ac:dyDescent="0.35">
      <c r="A47" s="17"/>
      <c r="J47" s="142" t="s">
        <v>204</v>
      </c>
      <c r="K47" s="142">
        <v>9.6904604446984397</v>
      </c>
      <c r="L47" s="142">
        <v>6.0483464522841199</v>
      </c>
      <c r="M47" s="142">
        <v>0.24355636413127901</v>
      </c>
    </row>
    <row r="48" spans="1:17" x14ac:dyDescent="0.35">
      <c r="A48" s="17"/>
      <c r="J48" s="142" t="s">
        <v>205</v>
      </c>
      <c r="K48" s="142">
        <v>3.4444525565642099</v>
      </c>
      <c r="L48" s="142">
        <v>2.7391030880849998</v>
      </c>
      <c r="M48" s="142">
        <v>0.28155401740714597</v>
      </c>
      <c r="N48" s="143">
        <v>7.8228741366492498</v>
      </c>
      <c r="O48" s="145">
        <v>15.154511189847501</v>
      </c>
      <c r="P48" s="143">
        <v>6.9976231797299899</v>
      </c>
      <c r="Q48" s="146">
        <v>25.027515977596199</v>
      </c>
    </row>
    <row r="49" spans="1:17" x14ac:dyDescent="0.35">
      <c r="A49" s="17"/>
      <c r="J49" s="142" t="s">
        <v>206</v>
      </c>
      <c r="K49" s="142">
        <v>5.8545589144359802</v>
      </c>
      <c r="L49" s="142">
        <v>5.0993074876647402</v>
      </c>
      <c r="M49" s="142">
        <v>1.41642403792046</v>
      </c>
    </row>
    <row r="50" spans="1:17" x14ac:dyDescent="0.35">
      <c r="J50" s="142" t="s">
        <v>207</v>
      </c>
      <c r="K50" s="142">
        <v>4.59162340716576</v>
      </c>
      <c r="L50" s="142">
        <v>3.9333914891466</v>
      </c>
      <c r="M50" s="142">
        <v>0.67928458020707905</v>
      </c>
    </row>
    <row r="51" spans="1:17" x14ac:dyDescent="0.35">
      <c r="J51" s="142" t="s">
        <v>208</v>
      </c>
      <c r="K51" s="142">
        <v>2.1258041725729799</v>
      </c>
      <c r="L51" s="142">
        <v>1.97716712559458</v>
      </c>
      <c r="M51" s="142">
        <v>0.24964923834889099</v>
      </c>
    </row>
    <row r="52" spans="1:17" x14ac:dyDescent="0.35">
      <c r="J52" s="142" t="s">
        <v>209</v>
      </c>
      <c r="K52" s="142">
        <v>2.56895179106969</v>
      </c>
      <c r="L52" s="142">
        <v>1.8193291895513799</v>
      </c>
      <c r="M52" s="142">
        <v>2.95202088618491</v>
      </c>
      <c r="N52" s="143">
        <v>8.2613113691686095</v>
      </c>
      <c r="O52" s="145">
        <v>24.094708192268399</v>
      </c>
      <c r="P52" s="143">
        <v>1.8864418898631801</v>
      </c>
      <c r="Q52" s="146">
        <v>13.1598736568923</v>
      </c>
    </row>
    <row r="53" spans="1:17" x14ac:dyDescent="0.35">
      <c r="J53" s="43" t="s">
        <v>724</v>
      </c>
      <c r="K53" s="43">
        <v>100</v>
      </c>
      <c r="L53" s="43">
        <v>100</v>
      </c>
      <c r="M53" s="43">
        <v>99.999999999999901</v>
      </c>
      <c r="N53" s="143">
        <v>99.999999999999901</v>
      </c>
      <c r="O53" s="145">
        <v>5.0656840410638901</v>
      </c>
      <c r="P53" s="143">
        <v>99.999999999999901</v>
      </c>
      <c r="Q53" s="146">
        <v>12.803374626076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499984740745262"/>
  </sheetPr>
  <dimension ref="A1:HD218"/>
  <sheetViews>
    <sheetView tabSelected="1" zoomScale="85" zoomScaleNormal="85" workbookViewId="0">
      <pane xSplit="1" ySplit="7" topLeftCell="DB44" activePane="bottomRight" state="frozen"/>
      <selection pane="topRight" activeCell="B1" sqref="B1"/>
      <selection pane="bottomLeft" activeCell="A8" sqref="A8"/>
      <selection pane="bottomRight" activeCell="DU53" sqref="DU53"/>
    </sheetView>
  </sheetViews>
  <sheetFormatPr defaultRowHeight="14.5" x14ac:dyDescent="0.35"/>
  <sheetData>
    <row r="1" spans="1:212" ht="18.5" x14ac:dyDescent="0.45">
      <c r="A1" s="2" t="s">
        <v>227</v>
      </c>
    </row>
    <row r="2" spans="1:212" x14ac:dyDescent="0.35">
      <c r="A2" s="3" t="s">
        <v>364</v>
      </c>
      <c r="B2" s="4" t="s">
        <v>228</v>
      </c>
      <c r="AL2" s="11"/>
      <c r="DE2" s="11"/>
      <c r="DG2" s="11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</row>
    <row r="3" spans="1:212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</row>
    <row r="4" spans="1:212" x14ac:dyDescent="0.35">
      <c r="B4" s="31"/>
      <c r="C4" s="24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L4" s="11"/>
      <c r="AP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FS4" s="11"/>
      <c r="FT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</row>
    <row r="5" spans="1:212" x14ac:dyDescent="0.35">
      <c r="B5" s="151">
        <f>B104/SUM(B100:B108)</f>
        <v>0.31938678290501754</v>
      </c>
      <c r="C5" s="151">
        <f t="shared" ref="C5:I5" si="0">C104/SUM(C100:C108)</f>
        <v>0.29476485208744857</v>
      </c>
      <c r="D5" s="151">
        <f t="shared" si="0"/>
        <v>0.28322806021743219</v>
      </c>
      <c r="E5" s="151">
        <f t="shared" si="0"/>
        <v>0.29003487517058546</v>
      </c>
      <c r="F5" s="151">
        <f t="shared" si="0"/>
        <v>0.27438567691294902</v>
      </c>
      <c r="G5" s="151">
        <f t="shared" si="0"/>
        <v>0.217922282632843</v>
      </c>
      <c r="H5" s="151">
        <f t="shared" si="0"/>
        <v>0.27016375227161565</v>
      </c>
      <c r="I5" s="151">
        <f t="shared" si="0"/>
        <v>0.21074605727922552</v>
      </c>
      <c r="J5" s="152">
        <f>SUM(B104:I104)/SUM(B100:I105)</f>
        <v>0.27242964551815929</v>
      </c>
    </row>
    <row r="6" spans="1:212" x14ac:dyDescent="0.35">
      <c r="B6" s="31"/>
      <c r="C6" s="24"/>
    </row>
    <row r="7" spans="1:212" x14ac:dyDescent="0.35">
      <c r="A7" s="31"/>
      <c r="B7" s="32" t="s">
        <v>675</v>
      </c>
      <c r="C7" s="32" t="s">
        <v>138</v>
      </c>
      <c r="D7" s="32" t="s">
        <v>140</v>
      </c>
      <c r="E7" s="32" t="s">
        <v>142</v>
      </c>
      <c r="F7" s="32" t="s">
        <v>143</v>
      </c>
      <c r="G7" s="32" t="s">
        <v>726</v>
      </c>
      <c r="H7" s="32" t="s">
        <v>148</v>
      </c>
      <c r="I7" s="32" t="s">
        <v>147</v>
      </c>
      <c r="J7" s="32" t="s">
        <v>676</v>
      </c>
      <c r="K7" s="32" t="s">
        <v>281</v>
      </c>
      <c r="L7" s="32" t="s">
        <v>151</v>
      </c>
      <c r="M7" s="32" t="s">
        <v>152</v>
      </c>
      <c r="N7" s="32" t="s">
        <v>677</v>
      </c>
      <c r="O7" s="32" t="s">
        <v>153</v>
      </c>
      <c r="P7" s="32" t="s">
        <v>284</v>
      </c>
      <c r="Q7" s="32" t="s">
        <v>286</v>
      </c>
      <c r="R7" s="32" t="s">
        <v>287</v>
      </c>
      <c r="S7" s="32" t="s">
        <v>285</v>
      </c>
      <c r="T7" s="32" t="s">
        <v>154</v>
      </c>
      <c r="U7" s="32" t="s">
        <v>678</v>
      </c>
      <c r="V7" s="32" t="s">
        <v>679</v>
      </c>
      <c r="W7" s="32" t="s">
        <v>155</v>
      </c>
      <c r="X7" s="32" t="s">
        <v>156</v>
      </c>
      <c r="Y7" s="32" t="s">
        <v>288</v>
      </c>
      <c r="Z7" s="32" t="s">
        <v>157</v>
      </c>
      <c r="AA7" s="32" t="s">
        <v>158</v>
      </c>
      <c r="AB7" s="32" t="s">
        <v>159</v>
      </c>
      <c r="AC7" s="32" t="s">
        <v>160</v>
      </c>
      <c r="AD7" s="32" t="s">
        <v>161</v>
      </c>
      <c r="AE7" s="32" t="s">
        <v>162</v>
      </c>
      <c r="AF7" s="32" t="s">
        <v>163</v>
      </c>
      <c r="AG7" s="32" t="s">
        <v>164</v>
      </c>
      <c r="AH7" s="32" t="s">
        <v>165</v>
      </c>
      <c r="AI7" s="32" t="s">
        <v>166</v>
      </c>
      <c r="AJ7" s="32" t="s">
        <v>167</v>
      </c>
      <c r="AK7" s="32" t="s">
        <v>168</v>
      </c>
      <c r="AL7" s="32" t="s">
        <v>548</v>
      </c>
      <c r="AM7" s="32" t="s">
        <v>169</v>
      </c>
      <c r="AN7" s="32" t="s">
        <v>170</v>
      </c>
      <c r="AO7" s="32" t="s">
        <v>171</v>
      </c>
      <c r="AP7" s="32" t="s">
        <v>172</v>
      </c>
      <c r="AQ7" s="32" t="s">
        <v>173</v>
      </c>
      <c r="AR7" s="32" t="s">
        <v>174</v>
      </c>
      <c r="AS7" s="32" t="s">
        <v>175</v>
      </c>
      <c r="AT7" s="32" t="s">
        <v>176</v>
      </c>
      <c r="AU7" s="32" t="s">
        <v>680</v>
      </c>
      <c r="AV7" s="32" t="s">
        <v>177</v>
      </c>
      <c r="AW7" s="32" t="s">
        <v>178</v>
      </c>
      <c r="AX7" s="32" t="s">
        <v>179</v>
      </c>
      <c r="AY7" s="32" t="s">
        <v>180</v>
      </c>
      <c r="AZ7" s="32" t="s">
        <v>727</v>
      </c>
      <c r="BA7" s="32" t="s">
        <v>182</v>
      </c>
      <c r="BB7" s="32" t="s">
        <v>181</v>
      </c>
      <c r="BC7" s="32" t="s">
        <v>681</v>
      </c>
      <c r="BD7" s="32" t="s">
        <v>289</v>
      </c>
      <c r="BE7" s="32" t="s">
        <v>183</v>
      </c>
      <c r="BF7" s="32" t="s">
        <v>184</v>
      </c>
      <c r="BG7" s="32" t="s">
        <v>682</v>
      </c>
      <c r="BH7" s="32" t="s">
        <v>683</v>
      </c>
      <c r="BI7" s="32" t="s">
        <v>185</v>
      </c>
      <c r="BJ7" s="32" t="s">
        <v>290</v>
      </c>
      <c r="BK7" s="32" t="s">
        <v>292</v>
      </c>
      <c r="BL7" s="32" t="s">
        <v>293</v>
      </c>
      <c r="BM7" s="32" t="s">
        <v>291</v>
      </c>
      <c r="BN7" s="32" t="s">
        <v>186</v>
      </c>
      <c r="BO7" s="32" t="s">
        <v>684</v>
      </c>
      <c r="BP7" s="32" t="s">
        <v>685</v>
      </c>
      <c r="BQ7" s="32" t="s">
        <v>187</v>
      </c>
      <c r="BR7" s="32" t="s">
        <v>188</v>
      </c>
      <c r="BS7" s="32" t="s">
        <v>189</v>
      </c>
      <c r="BT7" s="32" t="s">
        <v>190</v>
      </c>
      <c r="BU7" s="32" t="s">
        <v>191</v>
      </c>
      <c r="BV7" s="32" t="s">
        <v>192</v>
      </c>
      <c r="BW7" s="32" t="s">
        <v>193</v>
      </c>
      <c r="BX7" s="32" t="s">
        <v>194</v>
      </c>
      <c r="BY7" s="32" t="s">
        <v>195</v>
      </c>
      <c r="BZ7" s="32" t="s">
        <v>196</v>
      </c>
      <c r="CA7" s="32" t="s">
        <v>197</v>
      </c>
      <c r="CB7" s="32" t="s">
        <v>198</v>
      </c>
      <c r="CC7" s="32" t="s">
        <v>199</v>
      </c>
      <c r="CD7" s="32" t="s">
        <v>200</v>
      </c>
      <c r="CE7" s="32" t="s">
        <v>201</v>
      </c>
      <c r="CF7" s="32" t="s">
        <v>549</v>
      </c>
      <c r="CG7" s="32" t="s">
        <v>202</v>
      </c>
      <c r="CH7" s="32" t="s">
        <v>203</v>
      </c>
      <c r="CI7" s="32" t="s">
        <v>204</v>
      </c>
      <c r="CJ7" s="32" t="s">
        <v>205</v>
      </c>
      <c r="CK7" s="32" t="s">
        <v>206</v>
      </c>
      <c r="CL7" s="32" t="s">
        <v>207</v>
      </c>
      <c r="CM7" s="32" t="s">
        <v>208</v>
      </c>
      <c r="CN7" s="32" t="s">
        <v>209</v>
      </c>
      <c r="CO7" s="32" t="s">
        <v>102</v>
      </c>
      <c r="CP7" s="32" t="s">
        <v>552</v>
      </c>
      <c r="CQ7" s="32" t="s">
        <v>553</v>
      </c>
      <c r="CR7" s="32" t="s">
        <v>554</v>
      </c>
      <c r="CS7" s="32" t="s">
        <v>555</v>
      </c>
      <c r="CT7" s="32" t="s">
        <v>216</v>
      </c>
      <c r="CU7" s="32" t="s">
        <v>557</v>
      </c>
      <c r="CV7" s="32" t="s">
        <v>558</v>
      </c>
      <c r="CW7" s="32" t="s">
        <v>559</v>
      </c>
      <c r="CX7" s="32" t="s">
        <v>560</v>
      </c>
      <c r="CY7" s="32" t="s">
        <v>104</v>
      </c>
      <c r="CZ7" s="32" t="s">
        <v>217</v>
      </c>
      <c r="DA7" s="32" t="s">
        <v>218</v>
      </c>
      <c r="DB7" s="32" t="s">
        <v>219</v>
      </c>
      <c r="DC7" s="32" t="s">
        <v>220</v>
      </c>
      <c r="DD7" s="32" t="s">
        <v>221</v>
      </c>
      <c r="DE7" s="32" t="s">
        <v>595</v>
      </c>
      <c r="DF7" s="32" t="s">
        <v>596</v>
      </c>
      <c r="DG7" s="32" t="s">
        <v>597</v>
      </c>
      <c r="DH7" s="32" t="s">
        <v>598</v>
      </c>
      <c r="DI7" s="32" t="s">
        <v>599</v>
      </c>
      <c r="DJ7" s="32" t="s">
        <v>222</v>
      </c>
      <c r="DK7" s="32" t="s">
        <v>223</v>
      </c>
      <c r="DL7" s="32" t="s">
        <v>224</v>
      </c>
      <c r="DM7" s="32" t="s">
        <v>225</v>
      </c>
      <c r="DN7" s="32" t="s">
        <v>226</v>
      </c>
      <c r="DO7" s="32" t="s">
        <v>106</v>
      </c>
      <c r="DP7" s="32" t="s">
        <v>110</v>
      </c>
      <c r="DQ7" s="32" t="s">
        <v>116</v>
      </c>
      <c r="DR7" s="32" t="s">
        <v>118</v>
      </c>
      <c r="DS7" s="32" t="s">
        <v>120</v>
      </c>
      <c r="DT7" s="32" t="s">
        <v>124</v>
      </c>
      <c r="DU7" s="32" t="s">
        <v>126</v>
      </c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1"/>
      <c r="HD7" s="31"/>
    </row>
    <row r="8" spans="1:212" x14ac:dyDescent="0.35">
      <c r="A8" s="32" t="s">
        <v>675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>
        <v>308.43192157894208</v>
      </c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>
        <v>10.698963764188679</v>
      </c>
      <c r="DA8" s="31">
        <v>17.192889290237112</v>
      </c>
      <c r="DB8" s="31">
        <v>18.787551984907772</v>
      </c>
      <c r="DC8" s="31">
        <v>18.345823986031323</v>
      </c>
      <c r="DD8" s="31">
        <v>9.1212271235806384</v>
      </c>
      <c r="DE8" s="31"/>
      <c r="DF8" s="31"/>
      <c r="DG8" s="31"/>
      <c r="DH8" s="31"/>
      <c r="DI8" s="31"/>
      <c r="DJ8" s="31">
        <v>1.2141417668883681</v>
      </c>
      <c r="DK8" s="31">
        <v>1.939337474707443</v>
      </c>
      <c r="DL8" s="31">
        <v>2.9121886974667648</v>
      </c>
      <c r="DM8" s="31">
        <v>2.9336049269062712</v>
      </c>
      <c r="DN8" s="31">
        <v>5.8468270215093723</v>
      </c>
      <c r="DO8" s="31"/>
      <c r="DP8" s="31"/>
      <c r="DQ8" s="31"/>
      <c r="DR8" s="31"/>
      <c r="DS8" s="31"/>
      <c r="DT8" s="31"/>
      <c r="DU8" s="31">
        <v>397.42447761536596</v>
      </c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</row>
    <row r="9" spans="1:212" x14ac:dyDescent="0.35">
      <c r="A9" s="32" t="s">
        <v>138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>
        <v>123.92892811201207</v>
      </c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>
        <v>3.6786973890328696</v>
      </c>
      <c r="DA9" s="31">
        <v>6.4014538736755107</v>
      </c>
      <c r="DB9" s="31">
        <v>7.8190019152242458</v>
      </c>
      <c r="DC9" s="31">
        <v>7.7680139319371566</v>
      </c>
      <c r="DD9" s="31">
        <v>4.0443643095996622</v>
      </c>
      <c r="DE9" s="31"/>
      <c r="DF9" s="31"/>
      <c r="DG9" s="31"/>
      <c r="DH9" s="31"/>
      <c r="DI9" s="31"/>
      <c r="DJ9" s="31">
        <v>0.36868449071078446</v>
      </c>
      <c r="DK9" s="31">
        <v>0.74228267718586249</v>
      </c>
      <c r="DL9" s="31">
        <v>1.0995795795991494</v>
      </c>
      <c r="DM9" s="31">
        <v>1.2321505634795105</v>
      </c>
      <c r="DN9" s="31">
        <v>1.4739230402135786</v>
      </c>
      <c r="DO9" s="31"/>
      <c r="DP9" s="31"/>
      <c r="DQ9" s="31"/>
      <c r="DR9" s="31"/>
      <c r="DS9" s="31"/>
      <c r="DT9" s="31"/>
      <c r="DU9" s="31">
        <v>158.55707988267042</v>
      </c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</row>
    <row r="10" spans="1:212" x14ac:dyDescent="0.35">
      <c r="A10" s="32" t="s">
        <v>140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>
        <v>49.913724492195954</v>
      </c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>
        <v>0.14773921198242718</v>
      </c>
      <c r="DA10" s="31">
        <v>0.34391988065090706</v>
      </c>
      <c r="DB10" s="31">
        <v>0.52358003514174067</v>
      </c>
      <c r="DC10" s="31">
        <v>0.78421125699317973</v>
      </c>
      <c r="DD10" s="31">
        <v>0.25724738142137138</v>
      </c>
      <c r="DE10" s="31"/>
      <c r="DF10" s="31"/>
      <c r="DG10" s="31"/>
      <c r="DH10" s="31"/>
      <c r="DI10" s="31"/>
      <c r="DJ10" s="31">
        <v>1.607277057548432E-2</v>
      </c>
      <c r="DK10" s="31">
        <v>3.449719085940213E-2</v>
      </c>
      <c r="DL10" s="31">
        <v>0.1338927822852555</v>
      </c>
      <c r="DM10" s="31">
        <v>0.19348310898171034</v>
      </c>
      <c r="DN10" s="31">
        <v>0.15790711165926408</v>
      </c>
      <c r="DO10" s="31"/>
      <c r="DP10" s="31"/>
      <c r="DQ10" s="31"/>
      <c r="DR10" s="31"/>
      <c r="DS10" s="31"/>
      <c r="DT10" s="31"/>
      <c r="DU10" s="31">
        <v>52.506275222746702</v>
      </c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</row>
    <row r="11" spans="1:212" x14ac:dyDescent="0.35">
      <c r="A11" s="32" t="s">
        <v>142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>
        <v>277.40511700341</v>
      </c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>
        <v>6.8872438898305752</v>
      </c>
      <c r="DA11" s="31">
        <v>10.258848951995805</v>
      </c>
      <c r="DB11" s="31">
        <v>14.047139411134973</v>
      </c>
      <c r="DC11" s="31">
        <v>13.637484772208843</v>
      </c>
      <c r="DD11" s="31">
        <v>7.8545299375603026</v>
      </c>
      <c r="DE11" s="31"/>
      <c r="DF11" s="31"/>
      <c r="DG11" s="31"/>
      <c r="DH11" s="31"/>
      <c r="DI11" s="31"/>
      <c r="DJ11" s="31">
        <v>0.36705254443459356</v>
      </c>
      <c r="DK11" s="31">
        <v>0.79573389192632016</v>
      </c>
      <c r="DL11" s="31">
        <v>1.4512952164877835</v>
      </c>
      <c r="DM11" s="31">
        <v>2.0991510460097613</v>
      </c>
      <c r="DN11" s="31">
        <v>2.3428602335966189</v>
      </c>
      <c r="DO11" s="31"/>
      <c r="DP11" s="31"/>
      <c r="DQ11" s="31"/>
      <c r="DR11" s="31"/>
      <c r="DS11" s="31"/>
      <c r="DT11" s="31"/>
      <c r="DU11" s="31">
        <v>337.1464568985956</v>
      </c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</row>
    <row r="12" spans="1:212" x14ac:dyDescent="0.35">
      <c r="A12" s="32" t="s">
        <v>143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>
        <v>439.11852581636356</v>
      </c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>
        <v>10.779758305574198</v>
      </c>
      <c r="DA12" s="31">
        <v>15.886754415489861</v>
      </c>
      <c r="DB12" s="31">
        <v>18.581015021798258</v>
      </c>
      <c r="DC12" s="31">
        <v>16.898542778478131</v>
      </c>
      <c r="DD12" s="31">
        <v>10.041954874653547</v>
      </c>
      <c r="DE12" s="31"/>
      <c r="DF12" s="31"/>
      <c r="DG12" s="31"/>
      <c r="DH12" s="31"/>
      <c r="DI12" s="31"/>
      <c r="DJ12" s="31">
        <v>0.88416989835775839</v>
      </c>
      <c r="DK12" s="31">
        <v>2.031754343740209</v>
      </c>
      <c r="DL12" s="31">
        <v>3.2014839704635127</v>
      </c>
      <c r="DM12" s="31">
        <v>3.7204156700797624</v>
      </c>
      <c r="DN12" s="31">
        <v>6.5393571273386772</v>
      </c>
      <c r="DO12" s="31"/>
      <c r="DP12" s="31"/>
      <c r="DQ12" s="31"/>
      <c r="DR12" s="31"/>
      <c r="DS12" s="31"/>
      <c r="DT12" s="31"/>
      <c r="DU12" s="31">
        <v>527.68373222233754</v>
      </c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</row>
    <row r="13" spans="1:212" x14ac:dyDescent="0.35">
      <c r="A13" s="32" t="s">
        <v>726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>
        <v>287.12356115733076</v>
      </c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>
        <v>0.13675913071770918</v>
      </c>
      <c r="DA13" s="31">
        <v>0.23897885232201149</v>
      </c>
      <c r="DB13" s="31">
        <v>0.33514077124666308</v>
      </c>
      <c r="DC13" s="31">
        <v>0.26523428033077023</v>
      </c>
      <c r="DD13" s="31">
        <v>0.12904879468804045</v>
      </c>
      <c r="DE13" s="31"/>
      <c r="DF13" s="31"/>
      <c r="DG13" s="31"/>
      <c r="DH13" s="31"/>
      <c r="DI13" s="31"/>
      <c r="DJ13" s="31">
        <v>6.3931433203255365E-3</v>
      </c>
      <c r="DK13" s="31">
        <v>3.8428814749593046E-2</v>
      </c>
      <c r="DL13" s="31">
        <v>5.1075867956789922E-2</v>
      </c>
      <c r="DM13" s="31">
        <v>3.904738119317603E-2</v>
      </c>
      <c r="DN13" s="31">
        <v>8.9197751442938136E-2</v>
      </c>
      <c r="DO13" s="31"/>
      <c r="DP13" s="31"/>
      <c r="DQ13" s="31"/>
      <c r="DR13" s="31"/>
      <c r="DS13" s="31"/>
      <c r="DT13" s="31"/>
      <c r="DU13" s="31">
        <v>288.45286594529887</v>
      </c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</row>
    <row r="14" spans="1:212" x14ac:dyDescent="0.35">
      <c r="A14" s="32" t="s">
        <v>148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>
        <v>171.45784320031379</v>
      </c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>
        <v>171.45784320031379</v>
      </c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</row>
    <row r="15" spans="1:212" x14ac:dyDescent="0.35">
      <c r="A15" s="32" t="s">
        <v>147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>
        <v>163.15939216189093</v>
      </c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>
        <v>3.0506220931607837</v>
      </c>
      <c r="DA15" s="31">
        <v>7.1823100910109128</v>
      </c>
      <c r="DB15" s="31">
        <v>10.927675087502939</v>
      </c>
      <c r="DC15" s="31">
        <v>10.453238878708408</v>
      </c>
      <c r="DD15" s="31">
        <v>7.0293499159213626</v>
      </c>
      <c r="DE15" s="31"/>
      <c r="DF15" s="31"/>
      <c r="DG15" s="31"/>
      <c r="DH15" s="31"/>
      <c r="DI15" s="31"/>
      <c r="DJ15" s="31">
        <v>0.46692996103713214</v>
      </c>
      <c r="DK15" s="31">
        <v>1.0829918305881423</v>
      </c>
      <c r="DL15" s="31">
        <v>1.4125545241351591</v>
      </c>
      <c r="DM15" s="31">
        <v>2.3108524339493801</v>
      </c>
      <c r="DN15" s="31">
        <v>2.9049997070594591</v>
      </c>
      <c r="DO15" s="31"/>
      <c r="DP15" s="31"/>
      <c r="DQ15" s="31"/>
      <c r="DR15" s="31"/>
      <c r="DS15" s="31"/>
      <c r="DT15" s="31"/>
      <c r="DU15" s="31">
        <v>209.98091668496463</v>
      </c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</row>
    <row r="16" spans="1:212" x14ac:dyDescent="0.35">
      <c r="A16" s="32" t="s">
        <v>676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>
        <v>237.79108105169027</v>
      </c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>
        <v>1.0264558276654845</v>
      </c>
      <c r="DA16" s="31">
        <v>3.0348835859986609</v>
      </c>
      <c r="DB16" s="31">
        <v>5.2974585873494968</v>
      </c>
      <c r="DC16" s="31">
        <v>7.3710904750476276</v>
      </c>
      <c r="DD16" s="31">
        <v>6.7513650414319342</v>
      </c>
      <c r="DE16" s="31"/>
      <c r="DF16" s="31"/>
      <c r="DG16" s="31"/>
      <c r="DH16" s="31"/>
      <c r="DI16" s="31"/>
      <c r="DJ16" s="31">
        <v>3.5013168668361197E-2</v>
      </c>
      <c r="DK16" s="31">
        <v>0.35960988387575721</v>
      </c>
      <c r="DL16" s="31">
        <v>0.62749146745120832</v>
      </c>
      <c r="DM16" s="31">
        <v>1.343114396611587</v>
      </c>
      <c r="DN16" s="31">
        <v>3.3385864969599566</v>
      </c>
      <c r="DO16" s="31"/>
      <c r="DP16" s="31"/>
      <c r="DQ16" s="31"/>
      <c r="DR16" s="31"/>
      <c r="DS16" s="31"/>
      <c r="DT16" s="31"/>
      <c r="DU16" s="31">
        <v>266.97614998275031</v>
      </c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</row>
    <row r="17" spans="1:212" x14ac:dyDescent="0.35">
      <c r="A17" s="32" t="s">
        <v>281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>
        <v>197.0985557800584</v>
      </c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>
        <v>4.7168953094854196</v>
      </c>
      <c r="DA17" s="31">
        <v>5.549462568473758</v>
      </c>
      <c r="DB17" s="31">
        <v>6.7747199201616519</v>
      </c>
      <c r="DC17" s="31">
        <v>7.1155928284387793</v>
      </c>
      <c r="DD17" s="31">
        <v>4.4936857313673295</v>
      </c>
      <c r="DE17" s="31"/>
      <c r="DF17" s="31"/>
      <c r="DG17" s="31"/>
      <c r="DH17" s="31"/>
      <c r="DI17" s="31"/>
      <c r="DJ17" s="31">
        <v>0.17712796529902708</v>
      </c>
      <c r="DK17" s="31">
        <v>0.44628159732106781</v>
      </c>
      <c r="DL17" s="31">
        <v>0.88584351744692114</v>
      </c>
      <c r="DM17" s="31">
        <v>1.0178933645689006</v>
      </c>
      <c r="DN17" s="31">
        <v>1.8225546834721491</v>
      </c>
      <c r="DO17" s="31"/>
      <c r="DP17" s="31"/>
      <c r="DQ17" s="31"/>
      <c r="DR17" s="31"/>
      <c r="DS17" s="31"/>
      <c r="DT17" s="31"/>
      <c r="DU17" s="31">
        <v>230.09861326609342</v>
      </c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</row>
    <row r="18" spans="1:212" x14ac:dyDescent="0.35">
      <c r="A18" s="32" t="s">
        <v>151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>
        <v>181.49863367366342</v>
      </c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>
        <v>181.49863367366342</v>
      </c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</row>
    <row r="19" spans="1:212" x14ac:dyDescent="0.35">
      <c r="A19" s="32" t="s">
        <v>152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>
        <v>67.167613660671975</v>
      </c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>
        <v>0.26431341203101316</v>
      </c>
      <c r="DA19" s="31">
        <v>6.817796991307784E-2</v>
      </c>
      <c r="DB19" s="31">
        <v>6.3617166436118644E-2</v>
      </c>
      <c r="DC19" s="31">
        <v>0.23906177206779949</v>
      </c>
      <c r="DD19" s="31">
        <v>0.11943092557532932</v>
      </c>
      <c r="DE19" s="31"/>
      <c r="DF19" s="31"/>
      <c r="DG19" s="31"/>
      <c r="DH19" s="31"/>
      <c r="DI19" s="31"/>
      <c r="DJ19" s="31">
        <v>1.4165703478296716E-2</v>
      </c>
      <c r="DK19" s="31"/>
      <c r="DL19" s="31">
        <v>6.153210974102756E-2</v>
      </c>
      <c r="DM19" s="31">
        <v>2.8838168490917877E-2</v>
      </c>
      <c r="DN19" s="31">
        <v>0.23007913630334237</v>
      </c>
      <c r="DO19" s="31"/>
      <c r="DP19" s="31"/>
      <c r="DQ19" s="31"/>
      <c r="DR19" s="31"/>
      <c r="DS19" s="31"/>
      <c r="DT19" s="31"/>
      <c r="DU19" s="31">
        <v>68.256830024708904</v>
      </c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</row>
    <row r="20" spans="1:212" x14ac:dyDescent="0.35">
      <c r="A20" s="32" t="s">
        <v>677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>
        <v>158.68994589453681</v>
      </c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>
        <v>158.68994589453681</v>
      </c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</row>
    <row r="21" spans="1:212" x14ac:dyDescent="0.35">
      <c r="A21" s="32" t="s">
        <v>153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>
        <v>333.50306480445505</v>
      </c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>
        <v>333.50306480445505</v>
      </c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</row>
    <row r="22" spans="1:212" x14ac:dyDescent="0.35">
      <c r="A22" s="32" t="s">
        <v>284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>
        <v>10.362416168801978</v>
      </c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>
        <v>10.362416168801978</v>
      </c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</row>
    <row r="23" spans="1:212" x14ac:dyDescent="0.35">
      <c r="A23" s="32" t="s">
        <v>286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>
        <v>42.459618035179822</v>
      </c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>
        <v>42.459618035179822</v>
      </c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</row>
    <row r="24" spans="1:212" x14ac:dyDescent="0.35">
      <c r="A24" s="32" t="s">
        <v>287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>
        <v>72.447494432191789</v>
      </c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>
        <v>72.447494432191789</v>
      </c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</row>
    <row r="25" spans="1:212" x14ac:dyDescent="0.35">
      <c r="A25" s="32" t="s">
        <v>285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>
        <v>81.918510068787697</v>
      </c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>
        <v>81.918510068787697</v>
      </c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</row>
    <row r="26" spans="1:212" x14ac:dyDescent="0.35">
      <c r="A26" s="32" t="s">
        <v>154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>
        <v>205.20555211112799</v>
      </c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>
        <v>205.20555211112799</v>
      </c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</row>
    <row r="27" spans="1:212" x14ac:dyDescent="0.35">
      <c r="A27" s="32" t="s">
        <v>678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>
        <v>626.44251012756081</v>
      </c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>
        <v>626.44251012756081</v>
      </c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</row>
    <row r="28" spans="1:212" x14ac:dyDescent="0.35">
      <c r="A28" s="32" t="s">
        <v>679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>
        <v>49.025979046544037</v>
      </c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>
        <v>49.025979046544037</v>
      </c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</row>
    <row r="29" spans="1:212" x14ac:dyDescent="0.35">
      <c r="A29" s="32" t="s">
        <v>155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>
        <v>149.24009681285764</v>
      </c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>
        <v>149.24009681285764</v>
      </c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</row>
    <row r="30" spans="1:212" x14ac:dyDescent="0.35">
      <c r="A30" s="32" t="s">
        <v>156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>
        <v>104.02925273965252</v>
      </c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>
        <v>104.02925273965252</v>
      </c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</row>
    <row r="31" spans="1:212" x14ac:dyDescent="0.35">
      <c r="A31" s="32" t="s">
        <v>288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>
        <v>9.7665866747996049</v>
      </c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>
        <v>9.7665866747996049</v>
      </c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  <c r="GU31" s="31"/>
      <c r="GV31" s="31"/>
      <c r="GW31" s="31"/>
      <c r="GX31" s="31"/>
      <c r="GY31" s="31"/>
      <c r="GZ31" s="31"/>
      <c r="HA31" s="31"/>
      <c r="HB31" s="31"/>
      <c r="HC31" s="31"/>
      <c r="HD31" s="31"/>
    </row>
    <row r="32" spans="1:212" x14ac:dyDescent="0.35">
      <c r="A32" s="32" t="s">
        <v>157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>
        <v>5.6846552552381349</v>
      </c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>
        <v>5.6846552552381349</v>
      </c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</row>
    <row r="33" spans="1:212" x14ac:dyDescent="0.35">
      <c r="A33" s="32" t="s">
        <v>158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>
        <v>242.28784645386224</v>
      </c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>
        <v>242.28784645386224</v>
      </c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</row>
    <row r="34" spans="1:212" x14ac:dyDescent="0.35">
      <c r="A34" s="32" t="s">
        <v>159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>
        <v>110.12831810791172</v>
      </c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>
        <v>110.12831810791172</v>
      </c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</row>
    <row r="35" spans="1:212" x14ac:dyDescent="0.35">
      <c r="A35" s="32" t="s">
        <v>160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>
        <v>157.60934973420311</v>
      </c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>
        <v>157.60934973420311</v>
      </c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</row>
    <row r="36" spans="1:212" x14ac:dyDescent="0.35">
      <c r="A36" s="32" t="s">
        <v>161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>
        <v>83.523515022617374</v>
      </c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>
        <v>83.523515022617374</v>
      </c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</row>
    <row r="37" spans="1:212" x14ac:dyDescent="0.35">
      <c r="A37" s="32" t="s">
        <v>162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>
        <v>78.783849393827666</v>
      </c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>
        <v>78.783849393827666</v>
      </c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</row>
    <row r="38" spans="1:212" x14ac:dyDescent="0.35">
      <c r="A38" s="32" t="s">
        <v>163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>
        <v>187.87624786397697</v>
      </c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>
        <v>187.87624786397697</v>
      </c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</row>
    <row r="39" spans="1:212" x14ac:dyDescent="0.35">
      <c r="A39" s="32" t="s">
        <v>164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>
        <v>87.581513774866352</v>
      </c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>
        <v>87.581513774866352</v>
      </c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  <c r="HA39" s="31"/>
      <c r="HB39" s="31"/>
      <c r="HC39" s="31"/>
      <c r="HD39" s="31"/>
    </row>
    <row r="40" spans="1:212" x14ac:dyDescent="0.35">
      <c r="A40" s="32" t="s">
        <v>165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>
        <v>1458.6430710259647</v>
      </c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>
        <v>1458.6430710259647</v>
      </c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</row>
    <row r="41" spans="1:212" x14ac:dyDescent="0.35">
      <c r="A41" s="32" t="s">
        <v>166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>
        <v>1571.0841367455109</v>
      </c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>
        <v>1571.0841367455109</v>
      </c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</row>
    <row r="42" spans="1:212" x14ac:dyDescent="0.35">
      <c r="A42" s="32" t="s">
        <v>167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>
        <v>2182.5281154567074</v>
      </c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>
        <v>2182.5281154567074</v>
      </c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</row>
    <row r="43" spans="1:212" x14ac:dyDescent="0.35">
      <c r="A43" s="32" t="s">
        <v>168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>
        <v>162.64753837420912</v>
      </c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>
        <v>162.64753837420912</v>
      </c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</row>
    <row r="44" spans="1:212" x14ac:dyDescent="0.35">
      <c r="A44" s="32" t="s">
        <v>548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>
        <v>164.7880794684705</v>
      </c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>
        <v>164.7880794684705</v>
      </c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</row>
    <row r="45" spans="1:212" x14ac:dyDescent="0.35">
      <c r="A45" s="32" t="s">
        <v>169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>
        <v>510.75661806169273</v>
      </c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>
        <v>510.75661806169273</v>
      </c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</row>
    <row r="46" spans="1:212" x14ac:dyDescent="0.35">
      <c r="A46" s="32" t="s">
        <v>170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>
        <v>1195.2790537653775</v>
      </c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>
        <v>1195.2790537653775</v>
      </c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</row>
    <row r="47" spans="1:212" x14ac:dyDescent="0.35">
      <c r="A47" s="32" t="s">
        <v>171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>
        <v>997.90611289913795</v>
      </c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>
        <v>997.90611289913795</v>
      </c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</row>
    <row r="48" spans="1:212" x14ac:dyDescent="0.35">
      <c r="A48" s="32" t="s">
        <v>172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>
        <v>451.91983247399668</v>
      </c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>
        <v>451.91983247399668</v>
      </c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</row>
    <row r="49" spans="1:212" x14ac:dyDescent="0.35">
      <c r="A49" s="32" t="s">
        <v>173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>
        <v>841.3258323804024</v>
      </c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>
        <v>841.3258323804024</v>
      </c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</row>
    <row r="50" spans="1:212" x14ac:dyDescent="0.35">
      <c r="A50" s="32" t="s">
        <v>174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>
        <v>648.96338898750139</v>
      </c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>
        <v>648.96338898750139</v>
      </c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</row>
    <row r="51" spans="1:212" x14ac:dyDescent="0.35">
      <c r="A51" s="32" t="s">
        <v>175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>
        <v>326.20934935182976</v>
      </c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>
        <v>326.20934935182976</v>
      </c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</row>
    <row r="52" spans="1:212" x14ac:dyDescent="0.35">
      <c r="A52" s="32" t="s">
        <v>176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>
        <v>300.16794407396196</v>
      </c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>
        <v>300.16794407396196</v>
      </c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</row>
    <row r="53" spans="1:212" x14ac:dyDescent="0.35">
      <c r="A53" s="32" t="s">
        <v>680</v>
      </c>
      <c r="B53" s="31">
        <v>35.372933323975516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>
        <v>118.74464548984429</v>
      </c>
      <c r="U53" s="31">
        <v>8.0736145333840916</v>
      </c>
      <c r="V53" s="31">
        <v>14.530790676736622</v>
      </c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>
        <v>0.21685480189715009</v>
      </c>
      <c r="AL53" s="31">
        <v>0.36526733427371894</v>
      </c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>
        <v>23.611912363474243</v>
      </c>
      <c r="DA53" s="31">
        <v>22.120073123209501</v>
      </c>
      <c r="DB53" s="31">
        <v>14.177076866598451</v>
      </c>
      <c r="DC53" s="31">
        <v>13.394894008210198</v>
      </c>
      <c r="DD53" s="31">
        <v>6.6517910402904219</v>
      </c>
      <c r="DE53" s="31">
        <v>13.663068831891236</v>
      </c>
      <c r="DF53" s="31">
        <v>8.6162750954630223</v>
      </c>
      <c r="DG53" s="31">
        <v>8.3346257222878393</v>
      </c>
      <c r="DH53" s="31">
        <v>9.1724347831574029</v>
      </c>
      <c r="DI53" s="31">
        <v>8.9653299917689306</v>
      </c>
      <c r="DJ53" s="31">
        <v>3.3860732679476326</v>
      </c>
      <c r="DK53" s="31">
        <v>6.3067393271698737</v>
      </c>
      <c r="DL53" s="31">
        <v>7.3063717551535579</v>
      </c>
      <c r="DM53" s="31">
        <v>12.447719124093314</v>
      </c>
      <c r="DN53" s="31">
        <v>33.608243608633295</v>
      </c>
      <c r="DO53" s="31"/>
      <c r="DP53" s="31"/>
      <c r="DQ53" s="31"/>
      <c r="DR53" s="31"/>
      <c r="DS53" s="31"/>
      <c r="DT53" s="31">
        <v>2.4900079558090482</v>
      </c>
      <c r="DU53" s="31">
        <v>371.55674302526944</v>
      </c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</row>
    <row r="54" spans="1:212" x14ac:dyDescent="0.35">
      <c r="A54" s="32" t="s">
        <v>177</v>
      </c>
      <c r="B54" s="31"/>
      <c r="C54" s="31">
        <v>25.832668063577785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>
        <v>0.45737293931920819</v>
      </c>
      <c r="R54" s="31"/>
      <c r="S54" s="31"/>
      <c r="T54" s="31">
        <v>0.72842723463337911</v>
      </c>
      <c r="U54" s="31">
        <v>7.1252836730079885</v>
      </c>
      <c r="V54" s="31"/>
      <c r="W54" s="31"/>
      <c r="X54" s="31"/>
      <c r="Y54" s="31"/>
      <c r="Z54" s="31"/>
      <c r="AA54" s="31">
        <v>2.7269994379030449E-3</v>
      </c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>
        <v>0.70295432076543896</v>
      </c>
      <c r="AR54" s="31">
        <v>6.4956619817386656</v>
      </c>
      <c r="AS54" s="31">
        <v>1.2053527458716398</v>
      </c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>
        <v>7.5085572783200387</v>
      </c>
      <c r="DA54" s="31">
        <v>9.0660567899968871</v>
      </c>
      <c r="DB54" s="31">
        <v>9.2179714943235727</v>
      </c>
      <c r="DC54" s="31">
        <v>8.1001337862472536</v>
      </c>
      <c r="DD54" s="31">
        <v>6.6519501325010095</v>
      </c>
      <c r="DE54" s="31">
        <v>3.2903505142406222</v>
      </c>
      <c r="DF54" s="31">
        <v>3.7977146143117029</v>
      </c>
      <c r="DG54" s="31">
        <v>3.8716545092574424</v>
      </c>
      <c r="DH54" s="31">
        <v>5.2172706235026141</v>
      </c>
      <c r="DI54" s="31">
        <v>5.0393101498203592</v>
      </c>
      <c r="DJ54" s="31">
        <v>1.2220408694515408</v>
      </c>
      <c r="DK54" s="31">
        <v>2.7088342149096905</v>
      </c>
      <c r="DL54" s="31">
        <v>4.6014967850335422</v>
      </c>
      <c r="DM54" s="31">
        <v>7.6901109859348207</v>
      </c>
      <c r="DN54" s="31">
        <v>21.670225892009494</v>
      </c>
      <c r="DO54" s="31"/>
      <c r="DP54" s="31"/>
      <c r="DQ54" s="31"/>
      <c r="DR54" s="31"/>
      <c r="DS54" s="31"/>
      <c r="DT54" s="31">
        <v>1.0123819644099861</v>
      </c>
      <c r="DU54" s="31">
        <v>143.21650856262261</v>
      </c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</row>
    <row r="55" spans="1:212" x14ac:dyDescent="0.35">
      <c r="A55" s="32" t="s">
        <v>178</v>
      </c>
      <c r="B55" s="31"/>
      <c r="C55" s="31"/>
      <c r="D55" s="31">
        <v>5.2368213603386868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>
        <v>38.523259266338684</v>
      </c>
      <c r="S55" s="31"/>
      <c r="T55" s="31"/>
      <c r="U55" s="31"/>
      <c r="V55" s="31">
        <v>3.274491051263932</v>
      </c>
      <c r="W55" s="31">
        <v>2.9122189675850261E-2</v>
      </c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>
        <v>0.28601491822410968</v>
      </c>
      <c r="DA55" s="31">
        <v>0.41840204591139296</v>
      </c>
      <c r="DB55" s="31">
        <v>0.47052482907879734</v>
      </c>
      <c r="DC55" s="31">
        <v>0.52109738633179103</v>
      </c>
      <c r="DD55" s="31">
        <v>0.50854674774889896</v>
      </c>
      <c r="DE55" s="31">
        <v>0.11094201227831706</v>
      </c>
      <c r="DF55" s="31">
        <v>0.15155844791164497</v>
      </c>
      <c r="DG55" s="31">
        <v>0.28811307643974804</v>
      </c>
      <c r="DH55" s="31">
        <v>0.48771010307323392</v>
      </c>
      <c r="DI55" s="31">
        <v>0.58404714682607828</v>
      </c>
      <c r="DJ55" s="31">
        <v>5.7484255177766133E-2</v>
      </c>
      <c r="DK55" s="31">
        <v>0.13448362596257574</v>
      </c>
      <c r="DL55" s="31">
        <v>0.30225925120627695</v>
      </c>
      <c r="DM55" s="31">
        <v>1.0048053804098449</v>
      </c>
      <c r="DN55" s="31">
        <v>4.2349364404379752</v>
      </c>
      <c r="DO55" s="31"/>
      <c r="DP55" s="31"/>
      <c r="DQ55" s="31"/>
      <c r="DR55" s="31"/>
      <c r="DS55" s="31"/>
      <c r="DT55" s="31">
        <v>0.33189087720123278</v>
      </c>
      <c r="DU55" s="31">
        <v>56.956510411836845</v>
      </c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</row>
    <row r="56" spans="1:212" x14ac:dyDescent="0.35">
      <c r="A56" s="32" t="s">
        <v>179</v>
      </c>
      <c r="B56" s="31"/>
      <c r="C56" s="31"/>
      <c r="D56" s="31"/>
      <c r="E56" s="31">
        <v>60.095135852312694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>
        <v>0.2585966438791768</v>
      </c>
      <c r="R56" s="31"/>
      <c r="S56" s="31"/>
      <c r="T56" s="31">
        <v>7.059675626127877</v>
      </c>
      <c r="U56" s="31">
        <v>9.5504858367943968E-3</v>
      </c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>
        <v>0.33241274070733173</v>
      </c>
      <c r="AL56" s="31">
        <v>0.90171794897414348</v>
      </c>
      <c r="AM56" s="31"/>
      <c r="AN56" s="31"/>
      <c r="AO56" s="31"/>
      <c r="AP56" s="31"/>
      <c r="AQ56" s="31">
        <v>3.0924279314464727</v>
      </c>
      <c r="AR56" s="31">
        <v>13.363544605201193</v>
      </c>
      <c r="AS56" s="31">
        <v>3.071396367029485</v>
      </c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>
        <v>8.4948745547903783</v>
      </c>
      <c r="DA56" s="31">
        <v>13.923552861462195</v>
      </c>
      <c r="DB56" s="31">
        <v>17.235244899711457</v>
      </c>
      <c r="DC56" s="31">
        <v>17.184980515333898</v>
      </c>
      <c r="DD56" s="31">
        <v>13.477099053415113</v>
      </c>
      <c r="DE56" s="31">
        <v>3.2873658867522071</v>
      </c>
      <c r="DF56" s="31">
        <v>6.1656265291043733</v>
      </c>
      <c r="DG56" s="31">
        <v>7.7327291259692217</v>
      </c>
      <c r="DH56" s="31">
        <v>10.618009104619329</v>
      </c>
      <c r="DI56" s="31">
        <v>11.839367995583762</v>
      </c>
      <c r="DJ56" s="31">
        <v>1.6437621191558149</v>
      </c>
      <c r="DK56" s="31">
        <v>5.0790232945060403</v>
      </c>
      <c r="DL56" s="31">
        <v>9.8399287922111558</v>
      </c>
      <c r="DM56" s="31">
        <v>22.643182634194474</v>
      </c>
      <c r="DN56" s="31">
        <v>66.413881304503306</v>
      </c>
      <c r="DO56" s="31"/>
      <c r="DP56" s="31"/>
      <c r="DQ56" s="31"/>
      <c r="DR56" s="31"/>
      <c r="DS56" s="31"/>
      <c r="DT56" s="31">
        <v>0.12914989871470961</v>
      </c>
      <c r="DU56" s="31">
        <v>303.89223677154263</v>
      </c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</row>
    <row r="57" spans="1:212" x14ac:dyDescent="0.35">
      <c r="A57" s="32" t="s">
        <v>180</v>
      </c>
      <c r="B57" s="31"/>
      <c r="C57" s="31"/>
      <c r="D57" s="31"/>
      <c r="E57" s="31"/>
      <c r="F57" s="31">
        <v>60.130470927994857</v>
      </c>
      <c r="G57" s="31"/>
      <c r="H57" s="31"/>
      <c r="I57" s="31"/>
      <c r="J57" s="31"/>
      <c r="K57" s="31"/>
      <c r="L57" s="31"/>
      <c r="M57" s="31"/>
      <c r="N57" s="31"/>
      <c r="O57" s="31">
        <v>1.8909790952689478</v>
      </c>
      <c r="P57" s="31"/>
      <c r="Q57" s="31">
        <v>4.9382517658571627</v>
      </c>
      <c r="R57" s="31"/>
      <c r="S57" s="31"/>
      <c r="T57" s="31"/>
      <c r="U57" s="31">
        <v>7.2083149604433242E-3</v>
      </c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>
        <v>0.76638789422488729</v>
      </c>
      <c r="AL57" s="31">
        <v>1.346312039928278</v>
      </c>
      <c r="AM57" s="31"/>
      <c r="AN57" s="31"/>
      <c r="AO57" s="31"/>
      <c r="AP57" s="31"/>
      <c r="AQ57" s="31"/>
      <c r="AR57" s="31">
        <v>5.7080492451536529</v>
      </c>
      <c r="AS57" s="31">
        <v>3.2855316267352399</v>
      </c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>
        <v>16.203363179310948</v>
      </c>
      <c r="DA57" s="31">
        <v>22.772440291213595</v>
      </c>
      <c r="DB57" s="31">
        <v>24.700231578760363</v>
      </c>
      <c r="DC57" s="31">
        <v>23.75092268343365</v>
      </c>
      <c r="DD57" s="31">
        <v>15.616090034896089</v>
      </c>
      <c r="DE57" s="31">
        <v>6.9455910872384816</v>
      </c>
      <c r="DF57" s="31">
        <v>9.4592492225328098</v>
      </c>
      <c r="DG57" s="31">
        <v>10.778800736838679</v>
      </c>
      <c r="DH57" s="31">
        <v>16.494908866758159</v>
      </c>
      <c r="DI57" s="31">
        <v>16.647099553519947</v>
      </c>
      <c r="DJ57" s="31">
        <v>4.9032635965318692</v>
      </c>
      <c r="DK57" s="31">
        <v>11.049412288351721</v>
      </c>
      <c r="DL57" s="31">
        <v>20.394041512298561</v>
      </c>
      <c r="DM57" s="31">
        <v>47.235829926717244</v>
      </c>
      <c r="DN57" s="31">
        <v>154.68962510412317</v>
      </c>
      <c r="DO57" s="31"/>
      <c r="DP57" s="31"/>
      <c r="DQ57" s="31"/>
      <c r="DR57" s="31"/>
      <c r="DS57" s="31"/>
      <c r="DT57" s="31">
        <v>15.853938817720811</v>
      </c>
      <c r="DU57" s="31">
        <v>495.56799939036961</v>
      </c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</row>
    <row r="58" spans="1:212" x14ac:dyDescent="0.35">
      <c r="A58" s="32" t="s">
        <v>727</v>
      </c>
      <c r="B58" s="31"/>
      <c r="C58" s="31"/>
      <c r="D58" s="31"/>
      <c r="E58" s="31"/>
      <c r="F58" s="31"/>
      <c r="G58" s="31">
        <v>0.29772935100070635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>
        <v>182.8847101134219</v>
      </c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>
        <v>0.25640459621455963</v>
      </c>
      <c r="DA58" s="31">
        <v>0.5610783977943109</v>
      </c>
      <c r="DB58" s="31">
        <v>0.49334256804459392</v>
      </c>
      <c r="DC58" s="31">
        <v>0.30927496001572852</v>
      </c>
      <c r="DD58" s="31">
        <v>0.17744301652295882</v>
      </c>
      <c r="DE58" s="31">
        <v>0.10562660958750496</v>
      </c>
      <c r="DF58" s="31">
        <v>0.13355473191133957</v>
      </c>
      <c r="DG58" s="31">
        <v>0.14445065879304092</v>
      </c>
      <c r="DH58" s="31">
        <v>0.19171435717347282</v>
      </c>
      <c r="DI58" s="31">
        <v>0.16698458024805818</v>
      </c>
      <c r="DJ58" s="31">
        <v>3.9417283292415624E-2</v>
      </c>
      <c r="DK58" s="31">
        <v>7.0833794047450507E-2</v>
      </c>
      <c r="DL58" s="31">
        <v>8.7525804281407035E-2</v>
      </c>
      <c r="DM58" s="31">
        <v>0.23798822297033517</v>
      </c>
      <c r="DN58" s="31">
        <v>0.9148982878891313</v>
      </c>
      <c r="DO58" s="31"/>
      <c r="DP58" s="31"/>
      <c r="DQ58" s="31"/>
      <c r="DR58" s="31"/>
      <c r="DS58" s="31"/>
      <c r="DT58" s="31">
        <v>112.4986733162571</v>
      </c>
      <c r="DU58" s="31">
        <v>299.57165064946605</v>
      </c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</row>
    <row r="59" spans="1:212" x14ac:dyDescent="0.35">
      <c r="A59" s="32" t="s">
        <v>182</v>
      </c>
      <c r="B59" s="31"/>
      <c r="C59" s="31"/>
      <c r="D59" s="31"/>
      <c r="E59" s="31"/>
      <c r="F59" s="31"/>
      <c r="G59" s="31"/>
      <c r="H59" s="31">
        <v>9.1568231560591293</v>
      </c>
      <c r="I59" s="31"/>
      <c r="J59" s="31"/>
      <c r="K59" s="31"/>
      <c r="L59" s="31">
        <v>4.094434663451438E-3</v>
      </c>
      <c r="M59" s="31"/>
      <c r="N59" s="31"/>
      <c r="O59" s="31">
        <v>4.4655239088398566E-3</v>
      </c>
      <c r="P59" s="31">
        <v>5.2753592943514437E-3</v>
      </c>
      <c r="Q59" s="31">
        <v>3.8161655824688698E-3</v>
      </c>
      <c r="R59" s="31">
        <v>1.2247781456987622E-2</v>
      </c>
      <c r="S59" s="31">
        <v>3.8163369479716873E-3</v>
      </c>
      <c r="T59" s="31">
        <v>0.65570295342143159</v>
      </c>
      <c r="U59" s="31">
        <v>2.3750432495632953E-2</v>
      </c>
      <c r="V59" s="31">
        <v>8.4403235532103693</v>
      </c>
      <c r="W59" s="31">
        <v>2.0176145354229398</v>
      </c>
      <c r="X59" s="31">
        <v>8.4307871713510535E-2</v>
      </c>
      <c r="Y59" s="31">
        <v>3.0551296513246528E-3</v>
      </c>
      <c r="Z59" s="31">
        <v>3.8605562362157841</v>
      </c>
      <c r="AA59" s="31">
        <v>0.11970533661608046</v>
      </c>
      <c r="AB59" s="31">
        <v>3.3501122155896921E-3</v>
      </c>
      <c r="AC59" s="31">
        <v>3.0559977224018401E-3</v>
      </c>
      <c r="AD59" s="31">
        <v>4.9480883376074938E-3</v>
      </c>
      <c r="AE59" s="31">
        <v>9.1678304954548318E-3</v>
      </c>
      <c r="AF59" s="31">
        <v>3.3717718738388593E-3</v>
      </c>
      <c r="AG59" s="31">
        <v>6.1833396234681733E-3</v>
      </c>
      <c r="AH59" s="31">
        <v>4.4017718941056641E-3</v>
      </c>
      <c r="AI59" s="31">
        <v>7.9821415082563015E-3</v>
      </c>
      <c r="AJ59" s="31">
        <v>0.12219487441549012</v>
      </c>
      <c r="AK59" s="31">
        <v>4.4352319815500378E-3</v>
      </c>
      <c r="AL59" s="31">
        <v>5.7451450408512452E-3</v>
      </c>
      <c r="AM59" s="31">
        <v>1.1195742110466428E-2</v>
      </c>
      <c r="AN59" s="31">
        <v>2.4520602371694841E-2</v>
      </c>
      <c r="AO59" s="31">
        <v>3.9989973029130772E-3</v>
      </c>
      <c r="AP59" s="31">
        <v>1.8926758626237921E-2</v>
      </c>
      <c r="AQ59" s="31">
        <v>3.9925212775391867E-3</v>
      </c>
      <c r="AR59" s="31">
        <v>2.3336575160296542E-2</v>
      </c>
      <c r="AS59" s="31">
        <v>7.5946879493901508E-3</v>
      </c>
      <c r="AT59" s="31">
        <v>4.3235809666540968E-2</v>
      </c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>
        <v>0.11021717023372561</v>
      </c>
      <c r="DB59" s="31">
        <v>0.18406173612876148</v>
      </c>
      <c r="DC59" s="31">
        <v>0.20464243531330148</v>
      </c>
      <c r="DD59" s="31">
        <v>0.86534183796122544</v>
      </c>
      <c r="DE59" s="31">
        <v>2.0199254005859819E-2</v>
      </c>
      <c r="DF59" s="31"/>
      <c r="DG59" s="31">
        <v>2.8967340518381478E-2</v>
      </c>
      <c r="DH59" s="31">
        <v>0.22714593279363388</v>
      </c>
      <c r="DI59" s="31">
        <v>0.47822028461889299</v>
      </c>
      <c r="DJ59" s="31"/>
      <c r="DK59" s="31">
        <v>5.7708360415220247E-2</v>
      </c>
      <c r="DL59" s="31">
        <v>0.1417668097973574</v>
      </c>
      <c r="DM59" s="31">
        <v>0.20294110379867622</v>
      </c>
      <c r="DN59" s="31">
        <v>11.716689769682642</v>
      </c>
      <c r="DO59" s="31">
        <v>49.757696207490589</v>
      </c>
      <c r="DP59" s="31"/>
      <c r="DQ59" s="31"/>
      <c r="DR59" s="31"/>
      <c r="DS59" s="31">
        <v>14.903756498298783</v>
      </c>
      <c r="DT59" s="31">
        <v>84.15272815151144</v>
      </c>
      <c r="DU59" s="31">
        <v>187.75927569880244</v>
      </c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</row>
    <row r="60" spans="1:212" x14ac:dyDescent="0.35">
      <c r="A60" s="32" t="s">
        <v>181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>
        <v>13.729561133409938</v>
      </c>
      <c r="R60" s="31"/>
      <c r="S60" s="31"/>
      <c r="T60" s="31">
        <v>0.36866743688710157</v>
      </c>
      <c r="U60" s="31">
        <v>3.8699150051104279</v>
      </c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>
        <v>0.36741204000612304</v>
      </c>
      <c r="AL60" s="31">
        <v>0.64957189419903494</v>
      </c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>
        <v>2.6682449048370001</v>
      </c>
      <c r="DA60" s="31">
        <v>4.674912594004911</v>
      </c>
      <c r="DB60" s="31">
        <v>6.4574936255554061</v>
      </c>
      <c r="DC60" s="31">
        <v>7.4493181140928115</v>
      </c>
      <c r="DD60" s="31">
        <v>6.3589618230854477</v>
      </c>
      <c r="DE60" s="31">
        <v>1.5964629032989781</v>
      </c>
      <c r="DF60" s="31">
        <v>2.6819662882701842</v>
      </c>
      <c r="DG60" s="31">
        <v>3.8983380949257422</v>
      </c>
      <c r="DH60" s="31">
        <v>6.9754178910771589</v>
      </c>
      <c r="DI60" s="31">
        <v>8.8580507170055274</v>
      </c>
      <c r="DJ60" s="31">
        <v>0.73168632126025257</v>
      </c>
      <c r="DK60" s="31">
        <v>2.0497071988403976</v>
      </c>
      <c r="DL60" s="31">
        <v>5.0503353386444756</v>
      </c>
      <c r="DM60" s="31">
        <v>15.870094375309044</v>
      </c>
      <c r="DN60" s="31">
        <v>66.563639200139846</v>
      </c>
      <c r="DO60" s="31"/>
      <c r="DP60" s="31"/>
      <c r="DQ60" s="31"/>
      <c r="DR60" s="31"/>
      <c r="DS60" s="31"/>
      <c r="DT60" s="31">
        <v>21.97304241710853</v>
      </c>
      <c r="DU60" s="31">
        <v>182.84279931706834</v>
      </c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</row>
    <row r="61" spans="1:212" x14ac:dyDescent="0.35">
      <c r="A61" s="32" t="s">
        <v>681</v>
      </c>
      <c r="B61" s="31"/>
      <c r="C61" s="31"/>
      <c r="D61" s="31"/>
      <c r="E61" s="31"/>
      <c r="F61" s="31">
        <v>17.463946299760174</v>
      </c>
      <c r="G61" s="31">
        <v>2.4362012096526922</v>
      </c>
      <c r="H61" s="31">
        <v>14.470259871189045</v>
      </c>
      <c r="I61" s="31">
        <v>0.66047510435867285</v>
      </c>
      <c r="J61" s="31"/>
      <c r="K61" s="31"/>
      <c r="L61" s="31"/>
      <c r="M61" s="31"/>
      <c r="N61" s="31"/>
      <c r="O61" s="31">
        <v>106.12120371744804</v>
      </c>
      <c r="P61" s="31"/>
      <c r="Q61" s="31"/>
      <c r="R61" s="31"/>
      <c r="S61" s="31"/>
      <c r="T61" s="31">
        <v>4.7801103083321535E-2</v>
      </c>
      <c r="U61" s="31">
        <v>0.24448868436390539</v>
      </c>
      <c r="V61" s="31">
        <v>0.64493771225306018</v>
      </c>
      <c r="W61" s="31">
        <v>1.8140326774491926</v>
      </c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>
        <v>0.4556056142047491</v>
      </c>
      <c r="AL61" s="31">
        <v>0.60807651029024923</v>
      </c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>
        <v>1.0841802309992929</v>
      </c>
      <c r="DA61" s="31">
        <v>2.1031620808873721</v>
      </c>
      <c r="DB61" s="31">
        <v>2.844733826778072</v>
      </c>
      <c r="DC61" s="31">
        <v>4.2791574931057283</v>
      </c>
      <c r="DD61" s="31">
        <v>4.2121176911080163</v>
      </c>
      <c r="DE61" s="31">
        <v>0.90167825108843058</v>
      </c>
      <c r="DF61" s="31">
        <v>0.96154439652710288</v>
      </c>
      <c r="DG61" s="31">
        <v>2.9826485455414424</v>
      </c>
      <c r="DH61" s="31">
        <v>4.5257870787914412</v>
      </c>
      <c r="DI61" s="31">
        <v>7.1740253631320803</v>
      </c>
      <c r="DJ61" s="31">
        <v>0.36685503299179312</v>
      </c>
      <c r="DK61" s="31">
        <v>0.93632471276266871</v>
      </c>
      <c r="DL61" s="31">
        <v>2.6503329088453795</v>
      </c>
      <c r="DM61" s="31">
        <v>7.7297578813420902</v>
      </c>
      <c r="DN61" s="31">
        <v>39.962762786465149</v>
      </c>
      <c r="DO61" s="31"/>
      <c r="DP61" s="31"/>
      <c r="DQ61" s="31"/>
      <c r="DR61" s="31"/>
      <c r="DS61" s="31">
        <v>29.510658634735464</v>
      </c>
      <c r="DT61" s="31">
        <v>5.2719348928597682</v>
      </c>
      <c r="DU61" s="31">
        <v>262.4646903120144</v>
      </c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</row>
    <row r="62" spans="1:212" x14ac:dyDescent="0.35">
      <c r="A62" s="32" t="s">
        <v>289</v>
      </c>
      <c r="B62" s="31"/>
      <c r="C62" s="31"/>
      <c r="D62" s="31"/>
      <c r="E62" s="31"/>
      <c r="F62" s="31">
        <v>46.680052003962942</v>
      </c>
      <c r="G62" s="31">
        <v>6.5349998880095015</v>
      </c>
      <c r="H62" s="31">
        <v>35.674831740389671</v>
      </c>
      <c r="I62" s="31">
        <v>1.774855262971585</v>
      </c>
      <c r="J62" s="31"/>
      <c r="K62" s="31"/>
      <c r="L62" s="31"/>
      <c r="M62" s="31"/>
      <c r="N62" s="31"/>
      <c r="O62" s="31"/>
      <c r="P62" s="31"/>
      <c r="Q62" s="31"/>
      <c r="R62" s="31"/>
      <c r="S62" s="31">
        <v>17.598539994295006</v>
      </c>
      <c r="T62" s="31"/>
      <c r="U62" s="31">
        <v>5.020524429612033</v>
      </c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>
        <v>1.2394361900006412</v>
      </c>
      <c r="AL62" s="31">
        <v>1.8791565414104405</v>
      </c>
      <c r="AM62" s="31"/>
      <c r="AN62" s="31"/>
      <c r="AO62" s="31"/>
      <c r="AP62" s="31"/>
      <c r="AQ62" s="31">
        <v>1.0998086531907789</v>
      </c>
      <c r="AR62" s="31">
        <v>3.6540595817367407</v>
      </c>
      <c r="AS62" s="31">
        <v>2.0267751774905016</v>
      </c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>
        <v>2.715153700686785</v>
      </c>
      <c r="DA62" s="31">
        <v>3.8109821446885053</v>
      </c>
      <c r="DB62" s="31">
        <v>4.7225074426026898</v>
      </c>
      <c r="DC62" s="31">
        <v>4.2883771834237541</v>
      </c>
      <c r="DD62" s="31">
        <v>2.5279718839626275</v>
      </c>
      <c r="DE62" s="31">
        <v>1.8124032466698907</v>
      </c>
      <c r="DF62" s="31">
        <v>2.6283013691704262</v>
      </c>
      <c r="DG62" s="31">
        <v>3.2172158126736932</v>
      </c>
      <c r="DH62" s="31">
        <v>4.5104849581334641</v>
      </c>
      <c r="DI62" s="31">
        <v>4.7543566643156057</v>
      </c>
      <c r="DJ62" s="31">
        <v>0.63869591371446066</v>
      </c>
      <c r="DK62" s="31">
        <v>1.9226708453795012</v>
      </c>
      <c r="DL62" s="31">
        <v>4.6563830124844374</v>
      </c>
      <c r="DM62" s="31">
        <v>10.91224636582446</v>
      </c>
      <c r="DN62" s="31">
        <v>35.607596022043211</v>
      </c>
      <c r="DO62" s="31"/>
      <c r="DP62" s="31"/>
      <c r="DQ62" s="31"/>
      <c r="DR62" s="31"/>
      <c r="DS62" s="31"/>
      <c r="DT62" s="31"/>
      <c r="DU62" s="31">
        <v>211.90838602884338</v>
      </c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</row>
    <row r="63" spans="1:212" x14ac:dyDescent="0.35">
      <c r="A63" s="32" t="s">
        <v>183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>
        <v>10.638008061697427</v>
      </c>
      <c r="M63" s="31">
        <v>0.61712134771163329</v>
      </c>
      <c r="N63" s="31">
        <v>5.9577961927956063E-3</v>
      </c>
      <c r="O63" s="31"/>
      <c r="P63" s="31"/>
      <c r="Q63" s="31">
        <v>5.8816033940863002E-2</v>
      </c>
      <c r="R63" s="31">
        <v>0.98150354566615383</v>
      </c>
      <c r="S63" s="31">
        <v>8.5593982946876E-3</v>
      </c>
      <c r="T63" s="31">
        <v>2.2725195313077185E-3</v>
      </c>
      <c r="U63" s="31">
        <v>17.437713559921875</v>
      </c>
      <c r="V63" s="31"/>
      <c r="W63" s="31">
        <v>7.8886005530040437E-2</v>
      </c>
      <c r="X63" s="31">
        <v>2.9266973801574472</v>
      </c>
      <c r="Y63" s="31"/>
      <c r="Z63" s="31"/>
      <c r="AA63" s="31">
        <v>0.83767114067037107</v>
      </c>
      <c r="AB63" s="31">
        <v>0.51893009712356508</v>
      </c>
      <c r="AC63" s="31">
        <v>1.8611530479174944E-2</v>
      </c>
      <c r="AD63" s="31">
        <v>1.6929037186540181E-4</v>
      </c>
      <c r="AE63" s="31">
        <v>2.1194675329535614E-3</v>
      </c>
      <c r="AF63" s="31"/>
      <c r="AG63" s="31">
        <v>3.0079959405044199E-2</v>
      </c>
      <c r="AH63" s="31">
        <v>6.6573968357332163</v>
      </c>
      <c r="AI63" s="31"/>
      <c r="AJ63" s="31"/>
      <c r="AK63" s="31"/>
      <c r="AL63" s="31"/>
      <c r="AM63" s="31"/>
      <c r="AN63" s="31"/>
      <c r="AO63" s="31"/>
      <c r="AP63" s="31"/>
      <c r="AQ63" s="31">
        <v>1.1216478093862297</v>
      </c>
      <c r="AR63" s="31">
        <v>0.1067170839660741</v>
      </c>
      <c r="AS63" s="31">
        <v>0.13629859245863626</v>
      </c>
      <c r="AT63" s="31">
        <v>1.446949160319471E-2</v>
      </c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>
        <v>7.5314464746433583</v>
      </c>
      <c r="DA63" s="31">
        <v>13.234936605553605</v>
      </c>
      <c r="DB63" s="31">
        <v>16.700560864185686</v>
      </c>
      <c r="DC63" s="31">
        <v>16.744921145935223</v>
      </c>
      <c r="DD63" s="31">
        <v>11.963658490691598</v>
      </c>
      <c r="DE63" s="31">
        <v>2.3282019362415078</v>
      </c>
      <c r="DF63" s="31">
        <v>4.4697366638950813</v>
      </c>
      <c r="DG63" s="31">
        <v>5.3721214881393475</v>
      </c>
      <c r="DH63" s="31">
        <v>7.4818972428041857</v>
      </c>
      <c r="DI63" s="31">
        <v>7.047172995116548</v>
      </c>
      <c r="DJ63" s="31">
        <v>2.1730755773794335</v>
      </c>
      <c r="DK63" s="31">
        <v>4.9745956511604303</v>
      </c>
      <c r="DL63" s="31">
        <v>9.9310695749833737</v>
      </c>
      <c r="DM63" s="31">
        <v>18.540352841297054</v>
      </c>
      <c r="DN63" s="31">
        <v>31.958905260330642</v>
      </c>
      <c r="DO63" s="31"/>
      <c r="DP63" s="31"/>
      <c r="DQ63" s="31"/>
      <c r="DR63" s="31"/>
      <c r="DS63" s="31"/>
      <c r="DT63" s="31">
        <v>1.1652629441356734</v>
      </c>
      <c r="DU63" s="31">
        <v>203.81756270386731</v>
      </c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</row>
    <row r="64" spans="1:212" x14ac:dyDescent="0.35">
      <c r="A64" s="32" t="s">
        <v>184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>
        <v>6.7520421777492595E-2</v>
      </c>
      <c r="N64" s="31">
        <v>4.125333009779842E-5</v>
      </c>
      <c r="O64" s="31"/>
      <c r="P64" s="31">
        <v>6.1644663527726733</v>
      </c>
      <c r="Q64" s="31"/>
      <c r="R64" s="31"/>
      <c r="S64" s="31"/>
      <c r="T64" s="31">
        <v>0.3075665499280702</v>
      </c>
      <c r="U64" s="31"/>
      <c r="V64" s="31">
        <v>3.5292692316674708E-2</v>
      </c>
      <c r="W64" s="31">
        <v>9.1311162870507886E-5</v>
      </c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>
        <v>0.43151369280069551</v>
      </c>
      <c r="AL64" s="31">
        <v>0.69685347036219969</v>
      </c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>
        <v>2.661006109022062</v>
      </c>
      <c r="DA64" s="31">
        <v>3.930466458499585</v>
      </c>
      <c r="DB64" s="31">
        <v>5.4486788445431236</v>
      </c>
      <c r="DC64" s="31">
        <v>4.5664166464866822</v>
      </c>
      <c r="DD64" s="31">
        <v>3.0835354545419631</v>
      </c>
      <c r="DE64" s="31">
        <v>0.98055922450961219</v>
      </c>
      <c r="DF64" s="31">
        <v>1.4870982032848969</v>
      </c>
      <c r="DG64" s="31">
        <v>1.9452292250058258</v>
      </c>
      <c r="DH64" s="31">
        <v>3.1049271525192301</v>
      </c>
      <c r="DI64" s="31">
        <v>3.2414021173778162</v>
      </c>
      <c r="DJ64" s="31">
        <v>0.57144009674691132</v>
      </c>
      <c r="DK64" s="31">
        <v>1.6604066972514038</v>
      </c>
      <c r="DL64" s="31">
        <v>4.6706476815607898</v>
      </c>
      <c r="DM64" s="31">
        <v>10.391291360822128</v>
      </c>
      <c r="DN64" s="31">
        <v>26.111592229473562</v>
      </c>
      <c r="DO64" s="31"/>
      <c r="DP64" s="31"/>
      <c r="DQ64" s="31"/>
      <c r="DR64" s="31"/>
      <c r="DS64" s="31"/>
      <c r="DT64" s="31">
        <v>2.5807804240900403</v>
      </c>
      <c r="DU64" s="31">
        <v>84.138823670186397</v>
      </c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</row>
    <row r="65" spans="1:212" x14ac:dyDescent="0.35">
      <c r="A65" s="32" t="s">
        <v>682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>
        <v>8.3240273056859007E-2</v>
      </c>
      <c r="O65" s="31"/>
      <c r="P65" s="31"/>
      <c r="Q65" s="31"/>
      <c r="R65" s="31"/>
      <c r="S65" s="31"/>
      <c r="T65" s="31"/>
      <c r="U65" s="31"/>
      <c r="V65" s="31"/>
      <c r="W65" s="31">
        <v>3.5855554392247274E-2</v>
      </c>
      <c r="X65" s="31">
        <v>1.9855445357607071E-17</v>
      </c>
      <c r="Y65" s="31">
        <v>0.18515852367078386</v>
      </c>
      <c r="Z65" s="31"/>
      <c r="AA65" s="31"/>
      <c r="AB65" s="31">
        <v>3.2599693379813277</v>
      </c>
      <c r="AC65" s="31">
        <v>1.0809871555560793</v>
      </c>
      <c r="AD65" s="31">
        <v>3.4552746884308427E-2</v>
      </c>
      <c r="AE65" s="31"/>
      <c r="AF65" s="31"/>
      <c r="AG65" s="31"/>
      <c r="AH65" s="31">
        <v>2.451903095828563</v>
      </c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>
        <v>0.29840230992473293</v>
      </c>
      <c r="DU65" s="31">
        <v>7.4300689972949021</v>
      </c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</row>
    <row r="66" spans="1:212" x14ac:dyDescent="0.35">
      <c r="A66" s="32" t="s">
        <v>683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>
        <v>6.9183981180949788E-2</v>
      </c>
      <c r="N66" s="31">
        <v>0.16245616472702595</v>
      </c>
      <c r="O66" s="31"/>
      <c r="P66" s="31"/>
      <c r="Q66" s="31"/>
      <c r="R66" s="31">
        <v>0.86050992247605196</v>
      </c>
      <c r="S66" s="31">
        <v>1.6414893397351612E-4</v>
      </c>
      <c r="T66" s="31">
        <v>6.9235850707208529E-2</v>
      </c>
      <c r="U66" s="31">
        <v>0.47274648113641943</v>
      </c>
      <c r="V66" s="31">
        <v>0.11098253135979404</v>
      </c>
      <c r="W66" s="31">
        <v>0.88557207033323548</v>
      </c>
      <c r="X66" s="31">
        <v>5.0312051269626186E-6</v>
      </c>
      <c r="Y66" s="31">
        <v>1.9432868178188834E-2</v>
      </c>
      <c r="Z66" s="31">
        <v>1.1694397592647888E-2</v>
      </c>
      <c r="AA66" s="31">
        <v>1.5317165043556511</v>
      </c>
      <c r="AB66" s="31">
        <v>9.0451066777898852</v>
      </c>
      <c r="AC66" s="31">
        <v>0.10283389035333892</v>
      </c>
      <c r="AD66" s="31">
        <v>0.80406930558113898</v>
      </c>
      <c r="AE66" s="31">
        <v>3.0186219777644588E-2</v>
      </c>
      <c r="AF66" s="31"/>
      <c r="AG66" s="31">
        <v>2.6538748455147566E-2</v>
      </c>
      <c r="AH66" s="31">
        <v>156.69246616238118</v>
      </c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>
        <v>4.6496012909092848</v>
      </c>
      <c r="DU66" s="31">
        <v>175.54450224743391</v>
      </c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</row>
    <row r="67" spans="1:212" x14ac:dyDescent="0.35">
      <c r="A67" s="32" t="s">
        <v>185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>
        <v>8.9478211388436648</v>
      </c>
      <c r="P67" s="31"/>
      <c r="Q67" s="31"/>
      <c r="R67" s="31"/>
      <c r="S67" s="31"/>
      <c r="T67" s="31">
        <v>3.3491369249062639E-2</v>
      </c>
      <c r="U67" s="31">
        <v>1.4031029885352526</v>
      </c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>
        <v>6.5198773187625045</v>
      </c>
      <c r="AL67" s="31">
        <v>9.270748407968588</v>
      </c>
      <c r="AM67" s="31"/>
      <c r="AN67" s="31"/>
      <c r="AO67" s="31"/>
      <c r="AP67" s="31"/>
      <c r="AQ67" s="31">
        <v>5.2214014431657843</v>
      </c>
      <c r="AR67" s="31">
        <v>7.0863085250151361</v>
      </c>
      <c r="AS67" s="31">
        <v>6.8514779833972375</v>
      </c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>
        <v>6.533244309255827</v>
      </c>
      <c r="DA67" s="31">
        <v>1.870867092865425</v>
      </c>
      <c r="DB67" s="31">
        <v>3.9258441828357058</v>
      </c>
      <c r="DC67" s="31">
        <v>5.5070623383108481</v>
      </c>
      <c r="DD67" s="31">
        <v>8.4609302440157581</v>
      </c>
      <c r="DE67" s="31">
        <v>0.24999123170790138</v>
      </c>
      <c r="DF67" s="31">
        <v>0.6957598682859345</v>
      </c>
      <c r="DG67" s="31">
        <v>0.30050544965566534</v>
      </c>
      <c r="DH67" s="31">
        <v>7.7927908773471248</v>
      </c>
      <c r="DI67" s="31">
        <v>15.73144784556929</v>
      </c>
      <c r="DJ67" s="31"/>
      <c r="DK67" s="31">
        <v>4.0536487744638437E-2</v>
      </c>
      <c r="DL67" s="31">
        <v>1.6292407458190739</v>
      </c>
      <c r="DM67" s="31">
        <v>8.0959951288209862</v>
      </c>
      <c r="DN67" s="31">
        <v>367.16318659477309</v>
      </c>
      <c r="DO67" s="31"/>
      <c r="DP67" s="31"/>
      <c r="DQ67" s="31"/>
      <c r="DR67" s="31"/>
      <c r="DS67" s="31"/>
      <c r="DT67" s="31"/>
      <c r="DU67" s="31">
        <v>473.33163157194451</v>
      </c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</row>
    <row r="68" spans="1:212" x14ac:dyDescent="0.35">
      <c r="A68" s="32" t="s">
        <v>290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>
        <v>1.8747853801171936E-2</v>
      </c>
      <c r="Q68" s="31"/>
      <c r="R68" s="31"/>
      <c r="S68" s="31"/>
      <c r="T68" s="31">
        <v>2.1545308764792378E-2</v>
      </c>
      <c r="U68" s="31">
        <v>2.3911557139340865E-2</v>
      </c>
      <c r="V68" s="31"/>
      <c r="W68" s="31">
        <v>0.75890175993352671</v>
      </c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>
        <v>0.2360687048352885</v>
      </c>
      <c r="AL68" s="31">
        <v>0.30560498028453548</v>
      </c>
      <c r="AM68" s="31"/>
      <c r="AN68" s="31"/>
      <c r="AO68" s="31"/>
      <c r="AP68" s="31"/>
      <c r="AQ68" s="31"/>
      <c r="AR68" s="31"/>
      <c r="AS68" s="31">
        <v>6.7451554235666275E-2</v>
      </c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>
        <v>0.6687052754830245</v>
      </c>
      <c r="DA68" s="31">
        <v>1.087309593630847</v>
      </c>
      <c r="DB68" s="31">
        <v>1.3049064336421998</v>
      </c>
      <c r="DC68" s="31">
        <v>0.99924222140660812</v>
      </c>
      <c r="DD68" s="31">
        <v>0.65252237719487116</v>
      </c>
      <c r="DE68" s="31">
        <v>0.15567900361469819</v>
      </c>
      <c r="DF68" s="31">
        <v>0.23351545681449531</v>
      </c>
      <c r="DG68" s="31">
        <v>0.47346674517911441</v>
      </c>
      <c r="DH68" s="31">
        <v>0.50907152831050828</v>
      </c>
      <c r="DI68" s="31">
        <v>0.53184612318670355</v>
      </c>
      <c r="DJ68" s="31">
        <v>8.7257327701411883E-2</v>
      </c>
      <c r="DK68" s="31">
        <v>0.24621342711657904</v>
      </c>
      <c r="DL68" s="31">
        <v>0.46279138709603562</v>
      </c>
      <c r="DM68" s="31">
        <v>1.2012596577291725</v>
      </c>
      <c r="DN68" s="31">
        <v>4.4731857467322591</v>
      </c>
      <c r="DO68" s="31"/>
      <c r="DP68" s="31"/>
      <c r="DQ68" s="31"/>
      <c r="DR68" s="31"/>
      <c r="DS68" s="31"/>
      <c r="DT68" s="31">
        <v>2.6818624393972286</v>
      </c>
      <c r="DU68" s="31">
        <v>17.201066463230077</v>
      </c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</row>
    <row r="69" spans="1:212" x14ac:dyDescent="0.35">
      <c r="A69" s="32" t="s">
        <v>292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>
        <v>3.3615024072079829E-6</v>
      </c>
      <c r="T69" s="31"/>
      <c r="U69" s="31">
        <v>3.7378390625423514</v>
      </c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>
        <v>1.3420283439801312E-2</v>
      </c>
      <c r="AL69" s="31">
        <v>2.3601446438027286E-2</v>
      </c>
      <c r="AM69" s="31"/>
      <c r="AN69" s="31"/>
      <c r="AO69" s="31"/>
      <c r="AP69" s="31">
        <v>4.8950305556592162E-4</v>
      </c>
      <c r="AQ69" s="31">
        <v>0.1571155922948505</v>
      </c>
      <c r="AR69" s="31">
        <v>0.14243570332275984</v>
      </c>
      <c r="AS69" s="31">
        <v>8.2313696665716071E-2</v>
      </c>
      <c r="AT69" s="31">
        <v>4.0236256489677175E-3</v>
      </c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>
        <v>0.54309807742389937</v>
      </c>
      <c r="DA69" s="31">
        <v>0.2931008433744558</v>
      </c>
      <c r="DB69" s="31">
        <v>1.2148932660627474</v>
      </c>
      <c r="DC69" s="31">
        <v>7.9379124569956674E-2</v>
      </c>
      <c r="DD69" s="31">
        <v>0.92873210176284959</v>
      </c>
      <c r="DE69" s="31">
        <v>0.70069004523087619</v>
      </c>
      <c r="DF69" s="31">
        <v>14.499405769858518</v>
      </c>
      <c r="DG69" s="31">
        <v>2.4227114448078519</v>
      </c>
      <c r="DH69" s="31">
        <v>0.55148402636809057</v>
      </c>
      <c r="DI69" s="31">
        <v>2.3471579755711973</v>
      </c>
      <c r="DJ69" s="31"/>
      <c r="DK69" s="31"/>
      <c r="DL69" s="31">
        <v>0.62951506141172009</v>
      </c>
      <c r="DM69" s="31">
        <v>0.73842623255309492</v>
      </c>
      <c r="DN69" s="31">
        <v>8.351744861398835</v>
      </c>
      <c r="DO69" s="31"/>
      <c r="DP69" s="31"/>
      <c r="DQ69" s="31"/>
      <c r="DR69" s="31"/>
      <c r="DS69" s="31"/>
      <c r="DT69" s="31">
        <v>15.65485539157944</v>
      </c>
      <c r="DU69" s="31">
        <v>53.116436496883978</v>
      </c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</row>
    <row r="70" spans="1:212" x14ac:dyDescent="0.35">
      <c r="A70" s="32" t="s">
        <v>293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>
        <v>3.5772356688917775</v>
      </c>
      <c r="S70" s="31"/>
      <c r="T70" s="31">
        <v>1.2339762598596518</v>
      </c>
      <c r="U70" s="31">
        <v>2.940393735957052</v>
      </c>
      <c r="V70" s="31"/>
      <c r="W70" s="31"/>
      <c r="X70" s="31"/>
      <c r="Y70" s="31">
        <v>1.2125779507445636E-2</v>
      </c>
      <c r="Z70" s="31"/>
      <c r="AA70" s="31">
        <v>0.95728712956698059</v>
      </c>
      <c r="AB70" s="31"/>
      <c r="AC70" s="31">
        <v>0.10399429907807126</v>
      </c>
      <c r="AD70" s="31"/>
      <c r="AE70" s="31"/>
      <c r="AF70" s="31"/>
      <c r="AG70" s="31"/>
      <c r="AH70" s="31"/>
      <c r="AI70" s="31"/>
      <c r="AJ70" s="31"/>
      <c r="AK70" s="31">
        <v>7.6294561563084837</v>
      </c>
      <c r="AL70" s="31">
        <v>12.897094866479533</v>
      </c>
      <c r="AM70" s="31"/>
      <c r="AN70" s="31"/>
      <c r="AO70" s="31"/>
      <c r="AP70" s="31"/>
      <c r="AQ70" s="31"/>
      <c r="AR70" s="31">
        <v>2.6791818048082412</v>
      </c>
      <c r="AS70" s="31">
        <v>0.63655098172550262</v>
      </c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>
        <v>6.3735882336264469</v>
      </c>
      <c r="DA70" s="31">
        <v>7.6670039525416414</v>
      </c>
      <c r="DB70" s="31">
        <v>8.2465025422205418</v>
      </c>
      <c r="DC70" s="31">
        <v>8.5475323265833527</v>
      </c>
      <c r="DD70" s="31">
        <v>5.6646650466260704</v>
      </c>
      <c r="DE70" s="31">
        <v>2.1278830840555476</v>
      </c>
      <c r="DF70" s="31">
        <v>2.3473095435555762</v>
      </c>
      <c r="DG70" s="31">
        <v>2.7569750932641424</v>
      </c>
      <c r="DH70" s="31">
        <v>3.8423388853111446</v>
      </c>
      <c r="DI70" s="31">
        <v>3.8818518966118911</v>
      </c>
      <c r="DJ70" s="31">
        <v>1.349936650501578</v>
      </c>
      <c r="DK70" s="31">
        <v>2.8642471124064532</v>
      </c>
      <c r="DL70" s="31">
        <v>5.1023263383228432</v>
      </c>
      <c r="DM70" s="31">
        <v>10.346068190510545</v>
      </c>
      <c r="DN70" s="31">
        <v>32.31215905155932</v>
      </c>
      <c r="DO70" s="31"/>
      <c r="DP70" s="31"/>
      <c r="DQ70" s="31"/>
      <c r="DR70" s="31"/>
      <c r="DS70" s="31"/>
      <c r="DT70" s="31">
        <v>9.2655963098898813</v>
      </c>
      <c r="DU70" s="31">
        <v>145.36328093976974</v>
      </c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</row>
    <row r="71" spans="1:212" x14ac:dyDescent="0.35">
      <c r="A71" s="32" t="s">
        <v>291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>
        <v>4.4692798561909273</v>
      </c>
      <c r="P71" s="31"/>
      <c r="Q71" s="31"/>
      <c r="R71" s="31"/>
      <c r="S71" s="31">
        <v>7.148977818203865</v>
      </c>
      <c r="T71" s="31">
        <v>1.4750364784185059E-4</v>
      </c>
      <c r="U71" s="31">
        <v>2.325348449013477</v>
      </c>
      <c r="V71" s="31">
        <v>0.10588790722180243</v>
      </c>
      <c r="W71" s="31">
        <v>5.0576697197553352E-2</v>
      </c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>
        <v>0.72487209172365863</v>
      </c>
      <c r="AL71" s="31">
        <v>1.5947226166550723</v>
      </c>
      <c r="AM71" s="31"/>
      <c r="AN71" s="31"/>
      <c r="AO71" s="31"/>
      <c r="AP71" s="31"/>
      <c r="AQ71" s="31">
        <v>0.54536265621382607</v>
      </c>
      <c r="AR71" s="31">
        <v>1.1803550705484793</v>
      </c>
      <c r="AS71" s="31">
        <v>6.4857698984101042E-2</v>
      </c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>
        <v>3.3624079209257696</v>
      </c>
      <c r="DA71" s="31">
        <v>5.6357134852025066</v>
      </c>
      <c r="DB71" s="31">
        <v>6.1517213089283116</v>
      </c>
      <c r="DC71" s="31">
        <v>7.9987786693949756</v>
      </c>
      <c r="DD71" s="31">
        <v>5.4329428100916761</v>
      </c>
      <c r="DE71" s="31">
        <v>1.7089526542538866</v>
      </c>
      <c r="DF71" s="31">
        <v>1.2915599629513983</v>
      </c>
      <c r="DG71" s="31">
        <v>2.655391376040217</v>
      </c>
      <c r="DH71" s="31">
        <v>2.9982274201080137</v>
      </c>
      <c r="DI71" s="31">
        <v>6.4303916180722824</v>
      </c>
      <c r="DJ71" s="31">
        <v>0.8692460033966517</v>
      </c>
      <c r="DK71" s="31">
        <v>2.0009124453398357</v>
      </c>
      <c r="DL71" s="31">
        <v>4.2016230560924948</v>
      </c>
      <c r="DM71" s="31">
        <v>9.227754357891051</v>
      </c>
      <c r="DN71" s="31">
        <v>50.067910262305233</v>
      </c>
      <c r="DO71" s="31"/>
      <c r="DP71" s="31"/>
      <c r="DQ71" s="31"/>
      <c r="DR71" s="31"/>
      <c r="DS71" s="31"/>
      <c r="DT71" s="31"/>
      <c r="DU71" s="31">
        <v>128.24392171659491</v>
      </c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</row>
    <row r="72" spans="1:212" x14ac:dyDescent="0.35">
      <c r="A72" s="32" t="s">
        <v>186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>
        <v>24.20732229356658</v>
      </c>
      <c r="P72" s="31"/>
      <c r="Q72" s="31"/>
      <c r="R72" s="31"/>
      <c r="S72" s="31"/>
      <c r="T72" s="31">
        <v>0.8297503185681594</v>
      </c>
      <c r="U72" s="31">
        <v>16.355259063741389</v>
      </c>
      <c r="V72" s="31"/>
      <c r="W72" s="31"/>
      <c r="X72" s="31"/>
      <c r="Y72" s="31"/>
      <c r="Z72" s="31"/>
      <c r="AA72" s="31">
        <v>1.4869921258272019E-3</v>
      </c>
      <c r="AB72" s="31"/>
      <c r="AC72" s="31"/>
      <c r="AD72" s="31"/>
      <c r="AE72" s="31">
        <v>0.23033625044717532</v>
      </c>
      <c r="AF72" s="31"/>
      <c r="AG72" s="31"/>
      <c r="AH72" s="31"/>
      <c r="AI72" s="31"/>
      <c r="AJ72" s="31"/>
      <c r="AK72" s="31">
        <v>1.9556375493145364</v>
      </c>
      <c r="AL72" s="31">
        <v>3.4302465039162411</v>
      </c>
      <c r="AM72" s="31"/>
      <c r="AN72" s="31"/>
      <c r="AO72" s="31"/>
      <c r="AP72" s="31"/>
      <c r="AQ72" s="31">
        <v>2.29800293117541</v>
      </c>
      <c r="AR72" s="31">
        <v>4.4434386552762195</v>
      </c>
      <c r="AS72" s="31">
        <v>3.8564997740179154</v>
      </c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>
        <v>17.876739888749611</v>
      </c>
      <c r="DA72" s="31">
        <v>25.391592999177117</v>
      </c>
      <c r="DB72" s="31">
        <v>28.805512366729594</v>
      </c>
      <c r="DC72" s="31">
        <v>27.810262003038595</v>
      </c>
      <c r="DD72" s="31">
        <v>16.114050880513513</v>
      </c>
      <c r="DE72" s="31">
        <v>5.1541860630442002</v>
      </c>
      <c r="DF72" s="31">
        <v>7.2282576732569819</v>
      </c>
      <c r="DG72" s="31">
        <v>7.8726724288855605</v>
      </c>
      <c r="DH72" s="31">
        <v>9.616521249619737</v>
      </c>
      <c r="DI72" s="31">
        <v>8.460888255240171</v>
      </c>
      <c r="DJ72" s="31">
        <v>4.0734140897270894</v>
      </c>
      <c r="DK72" s="31">
        <v>8.2334662755953083</v>
      </c>
      <c r="DL72" s="31">
        <v>14.74955890384186</v>
      </c>
      <c r="DM72" s="31">
        <v>23.600152148487602</v>
      </c>
      <c r="DN72" s="31">
        <v>53.085341229265417</v>
      </c>
      <c r="DO72" s="31"/>
      <c r="DP72" s="31"/>
      <c r="DQ72" s="31"/>
      <c r="DR72" s="31"/>
      <c r="DS72" s="31"/>
      <c r="DT72" s="31"/>
      <c r="DU72" s="31">
        <v>315.6805967873218</v>
      </c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</row>
    <row r="73" spans="1:212" x14ac:dyDescent="0.35">
      <c r="A73" s="32" t="s">
        <v>684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>
        <v>1.4957130541947628E-2</v>
      </c>
      <c r="M73" s="31"/>
      <c r="N73" s="31"/>
      <c r="O73" s="31">
        <v>3.5578853594580706</v>
      </c>
      <c r="P73" s="31"/>
      <c r="Q73" s="31">
        <v>1.0878062155804455</v>
      </c>
      <c r="R73" s="31"/>
      <c r="S73" s="31">
        <v>6.0156198209034171E-3</v>
      </c>
      <c r="T73" s="31">
        <v>0.41964884057638524</v>
      </c>
      <c r="U73" s="31">
        <v>30.90048388327676</v>
      </c>
      <c r="V73" s="31">
        <v>0.61034227707473321</v>
      </c>
      <c r="W73" s="31"/>
      <c r="X73" s="31"/>
      <c r="Y73" s="31"/>
      <c r="Z73" s="31"/>
      <c r="AA73" s="31">
        <v>2.1135937399019099E-2</v>
      </c>
      <c r="AB73" s="31"/>
      <c r="AC73" s="31"/>
      <c r="AD73" s="31"/>
      <c r="AE73" s="31">
        <v>7.2993089554549098E-2</v>
      </c>
      <c r="AF73" s="31"/>
      <c r="AG73" s="31"/>
      <c r="AH73" s="31"/>
      <c r="AI73" s="31"/>
      <c r="AJ73" s="31"/>
      <c r="AK73" s="31">
        <v>12.170778723391479</v>
      </c>
      <c r="AL73" s="31">
        <v>22.036888680850456</v>
      </c>
      <c r="AM73" s="31"/>
      <c r="AN73" s="31"/>
      <c r="AO73" s="31"/>
      <c r="AP73" s="31">
        <v>1.4822974650915079E-3</v>
      </c>
      <c r="AQ73" s="31">
        <v>0.17141296076670334</v>
      </c>
      <c r="AR73" s="31">
        <v>6.1401118358604077</v>
      </c>
      <c r="AS73" s="31">
        <v>0.86994160070209725</v>
      </c>
      <c r="AT73" s="31">
        <v>1.1819389841806818E-2</v>
      </c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>
        <v>23.421532045546172</v>
      </c>
      <c r="DA73" s="31">
        <v>31.729589051080168</v>
      </c>
      <c r="DB73" s="31">
        <v>39.834998706300127</v>
      </c>
      <c r="DC73" s="31">
        <v>41.099455562194308</v>
      </c>
      <c r="DD73" s="31">
        <v>53.270351247462706</v>
      </c>
      <c r="DE73" s="31">
        <v>6.5286038010363887</v>
      </c>
      <c r="DF73" s="31">
        <v>8.56451366715606</v>
      </c>
      <c r="DG73" s="31">
        <v>11.673859791072106</v>
      </c>
      <c r="DH73" s="31">
        <v>19.907483394273456</v>
      </c>
      <c r="DI73" s="31">
        <v>34.954563842203129</v>
      </c>
      <c r="DJ73" s="31">
        <v>3.7566019291463455</v>
      </c>
      <c r="DK73" s="31">
        <v>9.716583704752118</v>
      </c>
      <c r="DL73" s="31">
        <v>18.984419875874529</v>
      </c>
      <c r="DM73" s="31">
        <v>49.101140543767904</v>
      </c>
      <c r="DN73" s="31">
        <v>330.15041884425142</v>
      </c>
      <c r="DO73" s="31"/>
      <c r="DP73" s="31"/>
      <c r="DQ73" s="31"/>
      <c r="DR73" s="31"/>
      <c r="DS73" s="31"/>
      <c r="DT73" s="31">
        <v>176.78756506541549</v>
      </c>
      <c r="DU73" s="31">
        <v>937.57538491369337</v>
      </c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</row>
    <row r="74" spans="1:212" x14ac:dyDescent="0.35">
      <c r="A74" s="32" t="s">
        <v>685</v>
      </c>
      <c r="B74" s="31"/>
      <c r="C74" s="31"/>
      <c r="D74" s="31"/>
      <c r="E74" s="31"/>
      <c r="F74" s="31"/>
      <c r="G74" s="31"/>
      <c r="H74" s="31"/>
      <c r="I74" s="31"/>
      <c r="J74" s="31">
        <v>20.602527768485473</v>
      </c>
      <c r="K74" s="31">
        <v>24.628081871593793</v>
      </c>
      <c r="L74" s="31"/>
      <c r="M74" s="31"/>
      <c r="N74" s="31">
        <v>1.3938200846849152E-4</v>
      </c>
      <c r="O74" s="31"/>
      <c r="P74" s="31"/>
      <c r="Q74" s="31"/>
      <c r="R74" s="31"/>
      <c r="S74" s="31"/>
      <c r="T74" s="31"/>
      <c r="U74" s="31"/>
      <c r="V74" s="31"/>
      <c r="W74" s="31">
        <v>11.329316262343141</v>
      </c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>
        <v>1.4689477107216298</v>
      </c>
      <c r="DA74" s="31">
        <v>2.4795696787420574</v>
      </c>
      <c r="DB74" s="31">
        <v>3.5681653967820437</v>
      </c>
      <c r="DC74" s="31">
        <v>3.4991069679017408</v>
      </c>
      <c r="DD74" s="31">
        <v>3.4034815383978794</v>
      </c>
      <c r="DE74" s="31">
        <v>0.50096395182691589</v>
      </c>
      <c r="DF74" s="31">
        <v>0.67603176426201927</v>
      </c>
      <c r="DG74" s="31">
        <v>1.1266050811274055</v>
      </c>
      <c r="DH74" s="31">
        <v>1.6589302519766516</v>
      </c>
      <c r="DI74" s="31">
        <v>2.6269461233289877</v>
      </c>
      <c r="DJ74" s="31">
        <v>0.40662549262572123</v>
      </c>
      <c r="DK74" s="31">
        <v>0.68999798460907114</v>
      </c>
      <c r="DL74" s="31">
        <v>1.3619077966527484</v>
      </c>
      <c r="DM74" s="31">
        <v>3.8396415820322729</v>
      </c>
      <c r="DN74" s="31">
        <v>14.761429132820581</v>
      </c>
      <c r="DO74" s="31"/>
      <c r="DP74" s="31"/>
      <c r="DQ74" s="31"/>
      <c r="DR74" s="31"/>
      <c r="DS74" s="31"/>
      <c r="DT74" s="31">
        <v>8.7952919949495652</v>
      </c>
      <c r="DU74" s="31">
        <v>107.42370773318818</v>
      </c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</row>
    <row r="75" spans="1:212" x14ac:dyDescent="0.35">
      <c r="A75" s="32" t="s">
        <v>187</v>
      </c>
      <c r="B75" s="31">
        <v>4.5911360155760327E-2</v>
      </c>
      <c r="C75" s="31">
        <v>1.7318756757758642E-2</v>
      </c>
      <c r="D75" s="31">
        <v>1.6488754705614381E-3</v>
      </c>
      <c r="E75" s="31">
        <v>2.8459162101921256E-4</v>
      </c>
      <c r="F75" s="31">
        <v>0.1160229289929646</v>
      </c>
      <c r="G75" s="31"/>
      <c r="H75" s="31">
        <v>2.4778575169634716E-3</v>
      </c>
      <c r="I75" s="31">
        <v>1.5015211884834546E-3</v>
      </c>
      <c r="J75" s="31">
        <v>0.10297402955108061</v>
      </c>
      <c r="K75" s="31"/>
      <c r="L75" s="31">
        <v>9.84269073671874E-2</v>
      </c>
      <c r="M75" s="31">
        <v>1.4927057180780974</v>
      </c>
      <c r="N75" s="31">
        <v>2.5231353592016663E-2</v>
      </c>
      <c r="O75" s="31"/>
      <c r="P75" s="31"/>
      <c r="Q75" s="31"/>
      <c r="R75" s="31"/>
      <c r="S75" s="31"/>
      <c r="T75" s="31"/>
      <c r="U75" s="31">
        <v>0.56884913432356177</v>
      </c>
      <c r="V75" s="31"/>
      <c r="W75" s="31">
        <v>22.802269286652223</v>
      </c>
      <c r="X75" s="31">
        <v>0.35496008174884663</v>
      </c>
      <c r="Y75" s="31">
        <v>8.0516705141159065E-2</v>
      </c>
      <c r="Z75" s="31"/>
      <c r="AA75" s="31">
        <v>0.15573158460270217</v>
      </c>
      <c r="AB75" s="31">
        <v>5.368342222996942E-3</v>
      </c>
      <c r="AC75" s="31">
        <v>4.1151833823516504E-2</v>
      </c>
      <c r="AD75" s="31">
        <v>4.6938848747500395E-3</v>
      </c>
      <c r="AE75" s="31">
        <v>0.41208731781933378</v>
      </c>
      <c r="AF75" s="31"/>
      <c r="AG75" s="31"/>
      <c r="AH75" s="31">
        <v>0.61823950410892425</v>
      </c>
      <c r="AI75" s="31"/>
      <c r="AJ75" s="31">
        <v>2.5624221809178191</v>
      </c>
      <c r="AK75" s="31">
        <v>24.015639910337942</v>
      </c>
      <c r="AL75" s="31">
        <v>2.5161105342215229</v>
      </c>
      <c r="AM75" s="31">
        <v>0.16687121047031775</v>
      </c>
      <c r="AN75" s="31"/>
      <c r="AO75" s="31">
        <v>1.8908838716289547</v>
      </c>
      <c r="AP75" s="31">
        <v>1.8030012804932902</v>
      </c>
      <c r="AQ75" s="31">
        <v>13.482449162238817</v>
      </c>
      <c r="AR75" s="31">
        <v>0.66168978647033394</v>
      </c>
      <c r="AS75" s="31">
        <v>0.90900220484057648</v>
      </c>
      <c r="AT75" s="31">
        <v>4.2599845634179978</v>
      </c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>
        <v>5.2137446651510109</v>
      </c>
      <c r="DA75" s="31">
        <v>8.8233326913420367</v>
      </c>
      <c r="DB75" s="31">
        <v>13.244703111389956</v>
      </c>
      <c r="DC75" s="31">
        <v>15.30310268751334</v>
      </c>
      <c r="DD75" s="31">
        <v>12.545894889482847</v>
      </c>
      <c r="DE75" s="31">
        <v>1.5613832566864394</v>
      </c>
      <c r="DF75" s="31">
        <v>2.7152343659097289</v>
      </c>
      <c r="DG75" s="31">
        <v>4.3173201300974258</v>
      </c>
      <c r="DH75" s="31">
        <v>7.4541585869023761</v>
      </c>
      <c r="DI75" s="31">
        <v>11.615942734626607</v>
      </c>
      <c r="DJ75" s="31">
        <v>0.75908622353024746</v>
      </c>
      <c r="DK75" s="31">
        <v>2.4634404858069487</v>
      </c>
      <c r="DL75" s="31">
        <v>6.6955121304064447</v>
      </c>
      <c r="DM75" s="31">
        <v>17.677564302650829</v>
      </c>
      <c r="DN75" s="31">
        <v>94.052117362642065</v>
      </c>
      <c r="DO75" s="31"/>
      <c r="DP75" s="31"/>
      <c r="DQ75" s="31"/>
      <c r="DR75" s="31"/>
      <c r="DS75" s="31"/>
      <c r="DT75" s="31">
        <v>50.70409012109738</v>
      </c>
      <c r="DU75" s="31">
        <v>334.36305402588323</v>
      </c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</row>
    <row r="76" spans="1:212" x14ac:dyDescent="0.35">
      <c r="A76" s="32" t="s">
        <v>188</v>
      </c>
      <c r="B76" s="31">
        <v>0.23695185859833509</v>
      </c>
      <c r="C76" s="31">
        <v>0.5755341649344673</v>
      </c>
      <c r="D76" s="31">
        <v>3.6140835135551892E-2</v>
      </c>
      <c r="E76" s="31">
        <v>1.5042998858366392E-2</v>
      </c>
      <c r="F76" s="31"/>
      <c r="G76" s="31">
        <v>0.16892598865863592</v>
      </c>
      <c r="H76" s="31">
        <v>0.64543697513360743</v>
      </c>
      <c r="I76" s="31">
        <v>0.32341933021580954</v>
      </c>
      <c r="J76" s="31"/>
      <c r="K76" s="31"/>
      <c r="L76" s="31">
        <v>2.1020381956688658</v>
      </c>
      <c r="M76" s="31">
        <v>2.022594634740825E-2</v>
      </c>
      <c r="N76" s="31">
        <v>3.4015915263532558E-2</v>
      </c>
      <c r="O76" s="31">
        <v>5.8543544105248557</v>
      </c>
      <c r="P76" s="31">
        <v>3.0064836046227198E-3</v>
      </c>
      <c r="Q76" s="31">
        <v>0.71118963844158578</v>
      </c>
      <c r="R76" s="31">
        <v>0.37361263294289992</v>
      </c>
      <c r="S76" s="31">
        <v>3.5807445675218941</v>
      </c>
      <c r="T76" s="31">
        <v>1.3589580867708879</v>
      </c>
      <c r="U76" s="31">
        <v>5.0067572137487373</v>
      </c>
      <c r="V76" s="31">
        <v>0.38814949409497618</v>
      </c>
      <c r="W76" s="31">
        <v>0.59322368293393313</v>
      </c>
      <c r="X76" s="31">
        <v>26.928850408425419</v>
      </c>
      <c r="Y76" s="31">
        <v>1.4188953767346468E-2</v>
      </c>
      <c r="Z76" s="31"/>
      <c r="AA76" s="31">
        <v>3.6570387049062099</v>
      </c>
      <c r="AB76" s="31">
        <v>0.46526567020802956</v>
      </c>
      <c r="AC76" s="31">
        <v>0.40022876718048672</v>
      </c>
      <c r="AD76" s="31">
        <v>0.34904678033444875</v>
      </c>
      <c r="AE76" s="31">
        <v>4.7795191167164619</v>
      </c>
      <c r="AF76" s="31">
        <v>0.11275550952319781</v>
      </c>
      <c r="AG76" s="31">
        <v>0.8776319776733712</v>
      </c>
      <c r="AH76" s="31">
        <v>18.765956895341827</v>
      </c>
      <c r="AI76" s="31">
        <v>11.747842068305307</v>
      </c>
      <c r="AJ76" s="31">
        <v>15.467839396601832</v>
      </c>
      <c r="AK76" s="31">
        <v>0.82831990277997736</v>
      </c>
      <c r="AL76" s="31">
        <v>1.0466469972426693</v>
      </c>
      <c r="AM76" s="31">
        <v>12.144626511809431</v>
      </c>
      <c r="AN76" s="31">
        <v>12.604452138108735</v>
      </c>
      <c r="AO76" s="31">
        <v>0.60944137229059436</v>
      </c>
      <c r="AP76" s="31">
        <v>1.9706367649299503</v>
      </c>
      <c r="AQ76" s="31">
        <v>9.1894735922864328</v>
      </c>
      <c r="AR76" s="31">
        <v>16.204923213828142</v>
      </c>
      <c r="AS76" s="31">
        <v>1.2931301129101094</v>
      </c>
      <c r="AT76" s="31">
        <v>1.8043810108925522</v>
      </c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>
        <v>1.506146656181645</v>
      </c>
      <c r="DA76" s="31">
        <v>2.3291801363694504</v>
      </c>
      <c r="DB76" s="31">
        <v>2.9288696627458299</v>
      </c>
      <c r="DC76" s="31">
        <v>2.4128004944883945</v>
      </c>
      <c r="DD76" s="31">
        <v>1.4286929051454638</v>
      </c>
      <c r="DE76" s="31">
        <v>0.35244377702967417</v>
      </c>
      <c r="DF76" s="31">
        <v>0.51727282542612996</v>
      </c>
      <c r="DG76" s="31">
        <v>0.57455328836984465</v>
      </c>
      <c r="DH76" s="31">
        <v>1.0623252542094257</v>
      </c>
      <c r="DI76" s="31">
        <v>2.2319129545056162</v>
      </c>
      <c r="DJ76" s="31">
        <v>0.28145851132067112</v>
      </c>
      <c r="DK76" s="31">
        <v>0.6571831193422385</v>
      </c>
      <c r="DL76" s="31">
        <v>1.7215524333790526</v>
      </c>
      <c r="DM76" s="31">
        <v>3.4570191350692494</v>
      </c>
      <c r="DN76" s="31">
        <v>16.549555355425522</v>
      </c>
      <c r="DO76" s="31"/>
      <c r="DP76" s="31"/>
      <c r="DQ76" s="31"/>
      <c r="DR76" s="31"/>
      <c r="DS76" s="31"/>
      <c r="DT76" s="31">
        <v>10.45885136133445</v>
      </c>
      <c r="DU76" s="31">
        <v>211.75974215580419</v>
      </c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</row>
    <row r="77" spans="1:212" x14ac:dyDescent="0.35">
      <c r="A77" s="32" t="s">
        <v>189</v>
      </c>
      <c r="B77" s="31">
        <v>0.12279148047634779</v>
      </c>
      <c r="C77" s="31">
        <v>9.5917670724490131E-2</v>
      </c>
      <c r="D77" s="31">
        <v>0.13222736861747822</v>
      </c>
      <c r="E77" s="31">
        <v>0.8784505658216164</v>
      </c>
      <c r="F77" s="31">
        <v>0.82983222661636258</v>
      </c>
      <c r="G77" s="31">
        <v>9.7135703048434371E-2</v>
      </c>
      <c r="H77" s="31">
        <v>0.10904139839758138</v>
      </c>
      <c r="I77" s="31">
        <v>5.5982201861776389E-2</v>
      </c>
      <c r="J77" s="31">
        <v>3.7379239083578537</v>
      </c>
      <c r="K77" s="31">
        <v>3.0447425202197353E-2</v>
      </c>
      <c r="L77" s="31">
        <v>9.1683706987475758E-2</v>
      </c>
      <c r="M77" s="31">
        <v>2.6089973000329194</v>
      </c>
      <c r="N77" s="31">
        <v>2.0004468898989889</v>
      </c>
      <c r="O77" s="31">
        <v>1.0580967048418184</v>
      </c>
      <c r="P77" s="31">
        <v>9.1683175203157823E-3</v>
      </c>
      <c r="Q77" s="31">
        <v>9.3885919987862637E-2</v>
      </c>
      <c r="R77" s="31">
        <v>0.63450020596208689</v>
      </c>
      <c r="S77" s="31">
        <v>0.20228711875555674</v>
      </c>
      <c r="T77" s="31">
        <v>2.8306092517812065</v>
      </c>
      <c r="U77" s="31">
        <v>5.8926337769533319</v>
      </c>
      <c r="V77" s="31">
        <v>1.3109724361123497E-2</v>
      </c>
      <c r="W77" s="31">
        <v>0.87719258757663721</v>
      </c>
      <c r="X77" s="31">
        <v>1.2923039685474902</v>
      </c>
      <c r="Y77" s="31">
        <v>2.2828791635223364</v>
      </c>
      <c r="Z77" s="31">
        <v>1.0766330352042902E-4</v>
      </c>
      <c r="AA77" s="31">
        <v>7.4981658792475079</v>
      </c>
      <c r="AB77" s="31">
        <v>0.62706010282852009</v>
      </c>
      <c r="AC77" s="31">
        <v>0.24383115856847476</v>
      </c>
      <c r="AD77" s="31">
        <v>0.3673513828092369</v>
      </c>
      <c r="AE77" s="31">
        <v>1.3072150233109632</v>
      </c>
      <c r="AF77" s="31">
        <v>19.273846025366069</v>
      </c>
      <c r="AG77" s="31">
        <v>1.3976481067279207</v>
      </c>
      <c r="AH77" s="31">
        <v>50.439710998142864</v>
      </c>
      <c r="AI77" s="31">
        <v>33.440540684912527</v>
      </c>
      <c r="AJ77" s="31">
        <v>215.98606386864239</v>
      </c>
      <c r="AK77" s="31">
        <v>0.64253909880445603</v>
      </c>
      <c r="AL77" s="31">
        <v>0.11172355705906321</v>
      </c>
      <c r="AM77" s="31">
        <v>1.7955352529026172</v>
      </c>
      <c r="AN77" s="31">
        <v>3.8135634247173278</v>
      </c>
      <c r="AO77" s="31">
        <v>0.57377975210032339</v>
      </c>
      <c r="AP77" s="31">
        <v>4.7217507590198524</v>
      </c>
      <c r="AQ77" s="31">
        <v>9.8525285529428235</v>
      </c>
      <c r="AR77" s="31">
        <v>6.4828911807476084</v>
      </c>
      <c r="AS77" s="31">
        <v>1.833038040001056</v>
      </c>
      <c r="AT77" s="31">
        <v>0.88390810110478846</v>
      </c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>
        <v>1.4849365723781571</v>
      </c>
      <c r="DA77" s="31">
        <v>3.0142764776973854</v>
      </c>
      <c r="DB77" s="31">
        <v>3.9193398695290895</v>
      </c>
      <c r="DC77" s="31">
        <v>8.9697521803528044</v>
      </c>
      <c r="DD77" s="31">
        <v>10.61227681557202</v>
      </c>
      <c r="DE77" s="31">
        <v>0.43212275628936392</v>
      </c>
      <c r="DF77" s="31">
        <v>0.74153302227688367</v>
      </c>
      <c r="DG77" s="31">
        <v>1.4853463482314329</v>
      </c>
      <c r="DH77" s="31">
        <v>3.7223599432546637</v>
      </c>
      <c r="DI77" s="31">
        <v>9.3628790113247895</v>
      </c>
      <c r="DJ77" s="31">
        <v>0.3593420399179777</v>
      </c>
      <c r="DK77" s="31">
        <v>1.188619200208278</v>
      </c>
      <c r="DL77" s="31">
        <v>2.8114007780947481</v>
      </c>
      <c r="DM77" s="31">
        <v>8.8122256943947885</v>
      </c>
      <c r="DN77" s="31">
        <v>69.768451007669682</v>
      </c>
      <c r="DO77" s="31"/>
      <c r="DP77" s="31"/>
      <c r="DQ77" s="31"/>
      <c r="DR77" s="31"/>
      <c r="DS77" s="31"/>
      <c r="DT77" s="31"/>
      <c r="DU77" s="31">
        <v>513.95520491630532</v>
      </c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</row>
    <row r="78" spans="1:212" x14ac:dyDescent="0.35">
      <c r="A78" s="32" t="s">
        <v>190</v>
      </c>
      <c r="B78" s="31">
        <v>3.2785938836113333</v>
      </c>
      <c r="C78" s="31">
        <v>0.24157676669614819</v>
      </c>
      <c r="D78" s="31">
        <v>5.3321228648309626E-2</v>
      </c>
      <c r="E78" s="31">
        <v>0.169472728976445</v>
      </c>
      <c r="F78" s="31">
        <v>42.665948320040478</v>
      </c>
      <c r="G78" s="31">
        <v>18.083604660246419</v>
      </c>
      <c r="H78" s="31">
        <v>1.5866298422630458</v>
      </c>
      <c r="I78" s="31">
        <v>2.5008266046170955</v>
      </c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>
        <v>3.7567788989183994</v>
      </c>
      <c r="DU78" s="31">
        <v>72.336752934017667</v>
      </c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</row>
    <row r="79" spans="1:212" x14ac:dyDescent="0.35">
      <c r="A79" s="32" t="s">
        <v>191</v>
      </c>
      <c r="B79" s="31">
        <v>5.9017786813916642</v>
      </c>
      <c r="C79" s="31">
        <v>5.1880753651119127</v>
      </c>
      <c r="D79" s="31">
        <v>0.63668657575403065</v>
      </c>
      <c r="E79" s="31">
        <v>11.665210430159156</v>
      </c>
      <c r="F79" s="31">
        <v>68.819595520390621</v>
      </c>
      <c r="G79" s="31">
        <v>20.681692094848934</v>
      </c>
      <c r="H79" s="31">
        <v>4.021036031274714</v>
      </c>
      <c r="I79" s="31">
        <v>2.9039548573283258</v>
      </c>
      <c r="J79" s="31">
        <v>16.072268463165525</v>
      </c>
      <c r="K79" s="31">
        <v>36.655444175211564</v>
      </c>
      <c r="L79" s="31">
        <v>0.16493890808757516</v>
      </c>
      <c r="M79" s="31"/>
      <c r="N79" s="31">
        <v>2.2130097110183868</v>
      </c>
      <c r="O79" s="31">
        <v>5.26963550497174</v>
      </c>
      <c r="P79" s="31"/>
      <c r="Q79" s="31">
        <v>0.825377171281655</v>
      </c>
      <c r="R79" s="31">
        <v>1.3520514005843078</v>
      </c>
      <c r="S79" s="31">
        <v>5.0308119785475292</v>
      </c>
      <c r="T79" s="31">
        <v>2.6609751946102755</v>
      </c>
      <c r="U79" s="31">
        <v>39.883535255128244</v>
      </c>
      <c r="V79" s="31">
        <v>0.21558456197741566</v>
      </c>
      <c r="W79" s="31">
        <v>10.58806337350191</v>
      </c>
      <c r="X79" s="31">
        <v>5.4879450338490701</v>
      </c>
      <c r="Y79" s="31">
        <v>3.7543012855730282</v>
      </c>
      <c r="Z79" s="31">
        <v>0.24874197223336506</v>
      </c>
      <c r="AA79" s="31">
        <v>72.879272053621975</v>
      </c>
      <c r="AB79" s="31">
        <v>3.1523251093693139</v>
      </c>
      <c r="AC79" s="31">
        <v>5.2442235718649304</v>
      </c>
      <c r="AD79" s="31">
        <v>3.7102532002684492</v>
      </c>
      <c r="AE79" s="31">
        <v>14.652229611900543</v>
      </c>
      <c r="AF79" s="31">
        <v>9.9217087956886274E-2</v>
      </c>
      <c r="AG79" s="31">
        <v>3.7593016338817318</v>
      </c>
      <c r="AH79" s="31">
        <v>51.681205251438875</v>
      </c>
      <c r="AI79" s="31">
        <v>17.6921339960079</v>
      </c>
      <c r="AJ79" s="31">
        <v>25.78008558418674</v>
      </c>
      <c r="AK79" s="31">
        <v>1.6332999511906536</v>
      </c>
      <c r="AL79" s="31">
        <v>1.6347801667071948</v>
      </c>
      <c r="AM79" s="31">
        <v>3.8375576849670416</v>
      </c>
      <c r="AN79" s="31">
        <v>1.0510343135119617</v>
      </c>
      <c r="AO79" s="31">
        <v>0.68905091760825321</v>
      </c>
      <c r="AP79" s="31">
        <v>2.5505865579724567</v>
      </c>
      <c r="AQ79" s="31">
        <v>1.073793016355844</v>
      </c>
      <c r="AR79" s="31">
        <v>7.1230157691646605</v>
      </c>
      <c r="AS79" s="31">
        <v>46.706782981985768</v>
      </c>
      <c r="AT79" s="31">
        <v>0.84681009540986085</v>
      </c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>
        <v>4.9037456415621543</v>
      </c>
      <c r="DA79" s="31">
        <v>8.0262917463588721</v>
      </c>
      <c r="DB79" s="31">
        <v>9.6112834167965566</v>
      </c>
      <c r="DC79" s="31">
        <v>10.050220034648282</v>
      </c>
      <c r="DD79" s="31">
        <v>8.3717847122069351</v>
      </c>
      <c r="DE79" s="31">
        <v>1.4104178081150804</v>
      </c>
      <c r="DF79" s="31">
        <v>2.2250419139627908</v>
      </c>
      <c r="DG79" s="31">
        <v>2.8918895342869835</v>
      </c>
      <c r="DH79" s="31">
        <v>4.775475693480935</v>
      </c>
      <c r="DI79" s="31">
        <v>5.5368997967794149</v>
      </c>
      <c r="DJ79" s="31">
        <v>0.89850552995124888</v>
      </c>
      <c r="DK79" s="31">
        <v>2.390012329775749</v>
      </c>
      <c r="DL79" s="31">
        <v>5.370823193480156</v>
      </c>
      <c r="DM79" s="31">
        <v>13.170017113770644</v>
      </c>
      <c r="DN79" s="31">
        <v>53.920838294878543</v>
      </c>
      <c r="DO79" s="31"/>
      <c r="DP79" s="31"/>
      <c r="DQ79" s="31"/>
      <c r="DR79" s="31"/>
      <c r="DS79" s="31"/>
      <c r="DT79" s="31">
        <v>8.414527782886374</v>
      </c>
      <c r="DU79" s="31">
        <v>658.00544664431288</v>
      </c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</row>
    <row r="80" spans="1:212" x14ac:dyDescent="0.35">
      <c r="A80" s="32" t="s">
        <v>192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>
        <v>0.43629200537221263</v>
      </c>
      <c r="O80" s="31"/>
      <c r="P80" s="31"/>
      <c r="Q80" s="31"/>
      <c r="R80" s="31">
        <v>5.1160869590196799E-2</v>
      </c>
      <c r="S80" s="31"/>
      <c r="T80" s="31">
        <v>2.0914248776285154E-2</v>
      </c>
      <c r="U80" s="31">
        <v>1.8520898842852481E-4</v>
      </c>
      <c r="V80" s="31"/>
      <c r="W80" s="31">
        <v>0.61288914053351373</v>
      </c>
      <c r="X80" s="31"/>
      <c r="Y80" s="31"/>
      <c r="Z80" s="31"/>
      <c r="AA80" s="31">
        <v>0.15251991066013379</v>
      </c>
      <c r="AB80" s="31">
        <v>17.382926329127272</v>
      </c>
      <c r="AC80" s="31">
        <v>0.80929369146672858</v>
      </c>
      <c r="AD80" s="31">
        <v>3.327065584848623</v>
      </c>
      <c r="AE80" s="31">
        <v>3.2415589323346733E-2</v>
      </c>
      <c r="AF80" s="31"/>
      <c r="AG80" s="31"/>
      <c r="AH80" s="31">
        <v>244.81262967931801</v>
      </c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>
        <v>0.19173412961290029</v>
      </c>
      <c r="DA80" s="31">
        <v>0.11491152569279639</v>
      </c>
      <c r="DB80" s="31">
        <v>0.361355995189306</v>
      </c>
      <c r="DC80" s="31">
        <v>0.32629054530054447</v>
      </c>
      <c r="DD80" s="31">
        <v>0.79295641633473313</v>
      </c>
      <c r="DE80" s="31">
        <v>5.0021918806447338E-3</v>
      </c>
      <c r="DF80" s="31">
        <v>2.6729272926981747E-2</v>
      </c>
      <c r="DG80" s="31">
        <v>0.16887088924166255</v>
      </c>
      <c r="DH80" s="31">
        <v>0.54886598971431966</v>
      </c>
      <c r="DI80" s="31">
        <v>0.38205255894606327</v>
      </c>
      <c r="DJ80" s="31">
        <v>8.1511220713349434E-3</v>
      </c>
      <c r="DK80" s="31">
        <v>5.1032294340152745E-2</v>
      </c>
      <c r="DL80" s="31">
        <v>0.16628065829338759</v>
      </c>
      <c r="DM80" s="31">
        <v>0.31105219780643784</v>
      </c>
      <c r="DN80" s="31">
        <v>2.1321862703658407</v>
      </c>
      <c r="DO80" s="31"/>
      <c r="DP80" s="31"/>
      <c r="DQ80" s="31"/>
      <c r="DR80" s="31"/>
      <c r="DS80" s="31"/>
      <c r="DT80" s="31"/>
      <c r="DU80" s="31">
        <v>273.22576431572168</v>
      </c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</row>
    <row r="81" spans="1:212" x14ac:dyDescent="0.35">
      <c r="A81" s="32" t="s">
        <v>193</v>
      </c>
      <c r="B81" s="31">
        <v>0.35118946650368715</v>
      </c>
      <c r="C81" s="31">
        <v>0.10896362433374085</v>
      </c>
      <c r="D81" s="31">
        <v>1.9656831693405739E-2</v>
      </c>
      <c r="E81" s="31">
        <v>2.8262833878363648E-3</v>
      </c>
      <c r="F81" s="31">
        <v>2.7951650091447</v>
      </c>
      <c r="G81" s="31">
        <v>0.37931321575505017</v>
      </c>
      <c r="H81" s="31">
        <v>0.89064836795572455</v>
      </c>
      <c r="I81" s="31">
        <v>0.57225928917525115</v>
      </c>
      <c r="J81" s="31">
        <v>2.5561780760227091</v>
      </c>
      <c r="K81" s="31"/>
      <c r="L81" s="31">
        <v>0.81074978092145922</v>
      </c>
      <c r="M81" s="31">
        <v>6.332586133345347E-2</v>
      </c>
      <c r="N81" s="31">
        <v>8.257959839009002E-2</v>
      </c>
      <c r="O81" s="31">
        <v>5.4797534635579961</v>
      </c>
      <c r="P81" s="31"/>
      <c r="Q81" s="31">
        <v>1.5410018541654729E-2</v>
      </c>
      <c r="R81" s="31">
        <v>1.0659382125963301</v>
      </c>
      <c r="S81" s="31">
        <v>6.1431542596707622E-4</v>
      </c>
      <c r="T81" s="31">
        <v>1.230058039761099</v>
      </c>
      <c r="U81" s="31">
        <v>1.2385800537363403</v>
      </c>
      <c r="V81" s="31">
        <v>0.19669190053667904</v>
      </c>
      <c r="W81" s="31">
        <v>0.25018320683711687</v>
      </c>
      <c r="X81" s="31">
        <v>0.9656815291488714</v>
      </c>
      <c r="Y81" s="31">
        <v>0.17702095042602409</v>
      </c>
      <c r="Z81" s="31"/>
      <c r="AA81" s="31">
        <v>9.4765736238583589</v>
      </c>
      <c r="AB81" s="31">
        <v>4.3568699767132752</v>
      </c>
      <c r="AC81" s="31">
        <v>94.335661727697314</v>
      </c>
      <c r="AD81" s="31">
        <v>17.569692113782249</v>
      </c>
      <c r="AE81" s="31">
        <v>2.9138306897982842</v>
      </c>
      <c r="AF81" s="31"/>
      <c r="AG81" s="31"/>
      <c r="AH81" s="31">
        <v>167.41207302582183</v>
      </c>
      <c r="AI81" s="31"/>
      <c r="AJ81" s="31">
        <v>4.8124523653838867E-2</v>
      </c>
      <c r="AK81" s="31"/>
      <c r="AL81" s="31"/>
      <c r="AM81" s="31"/>
      <c r="AN81" s="31"/>
      <c r="AO81" s="31"/>
      <c r="AP81" s="31"/>
      <c r="AQ81" s="31">
        <v>25.755270354215547</v>
      </c>
      <c r="AR81" s="31">
        <v>0.52532528778745502</v>
      </c>
      <c r="AS81" s="31">
        <v>2.0201079336164804</v>
      </c>
      <c r="AT81" s="31">
        <v>2.6348493169075959E-2</v>
      </c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>
        <v>0.13399545008391561</v>
      </c>
      <c r="DA81" s="31"/>
      <c r="DB81" s="31">
        <v>0.26047374891055936</v>
      </c>
      <c r="DC81" s="31">
        <v>0.17001452751291307</v>
      </c>
      <c r="DD81" s="31">
        <v>0.55434547763222453</v>
      </c>
      <c r="DE81" s="31"/>
      <c r="DF81" s="31">
        <v>3.6782014982533542E-2</v>
      </c>
      <c r="DG81" s="31"/>
      <c r="DH81" s="31">
        <v>3.4604767627530723E-2</v>
      </c>
      <c r="DI81" s="31">
        <v>4.5238791798437434</v>
      </c>
      <c r="DJ81" s="31">
        <v>4.2603575554036816E-3</v>
      </c>
      <c r="DK81" s="31">
        <v>8.3332779157013551E-2</v>
      </c>
      <c r="DL81" s="31">
        <v>3.0756053054970384E-2</v>
      </c>
      <c r="DM81" s="31">
        <v>0.35156471803510625</v>
      </c>
      <c r="DN81" s="31">
        <v>1.5393568639608086</v>
      </c>
      <c r="DO81" s="31"/>
      <c r="DP81" s="31"/>
      <c r="DQ81" s="31"/>
      <c r="DR81" s="31"/>
      <c r="DS81" s="31"/>
      <c r="DT81" s="31">
        <v>50.074104623173071</v>
      </c>
      <c r="DU81" s="31">
        <v>401.49013540682859</v>
      </c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</row>
    <row r="82" spans="1:212" x14ac:dyDescent="0.35">
      <c r="A82" s="32" t="s">
        <v>194</v>
      </c>
      <c r="B82" s="31">
        <v>2.4202016248994584E-3</v>
      </c>
      <c r="C82" s="31">
        <v>1.8796062568188492E-3</v>
      </c>
      <c r="D82" s="31">
        <v>1.0635310923086418E-3</v>
      </c>
      <c r="E82" s="31">
        <v>6.1787540661034715E-3</v>
      </c>
      <c r="F82" s="31">
        <v>2.440692663259127E-2</v>
      </c>
      <c r="G82" s="31">
        <v>7.2334555717428898E-3</v>
      </c>
      <c r="H82" s="31">
        <v>2.2046972821066007</v>
      </c>
      <c r="I82" s="31">
        <v>9.734647586624979E-4</v>
      </c>
      <c r="J82" s="31">
        <v>0.3554604407591187</v>
      </c>
      <c r="K82" s="31"/>
      <c r="L82" s="31">
        <v>0.85784926489248314</v>
      </c>
      <c r="M82" s="31">
        <v>0.27175558512694747</v>
      </c>
      <c r="N82" s="31">
        <v>5.8541818294877604E-2</v>
      </c>
      <c r="O82" s="31">
        <v>6.7651515643797016</v>
      </c>
      <c r="P82" s="31">
        <v>1.2651182222506679E-3</v>
      </c>
      <c r="Q82" s="31">
        <v>0.14714815039852394</v>
      </c>
      <c r="R82" s="31">
        <v>9.2627815996997931E-2</v>
      </c>
      <c r="S82" s="31">
        <v>0.11989074205388016</v>
      </c>
      <c r="T82" s="31">
        <v>0.45642341578022289</v>
      </c>
      <c r="U82" s="31">
        <v>1.7929933469375907</v>
      </c>
      <c r="V82" s="31">
        <v>6.3137831169467334E-2</v>
      </c>
      <c r="W82" s="31">
        <v>0.56384945204751002</v>
      </c>
      <c r="X82" s="31">
        <v>0.51670635274447607</v>
      </c>
      <c r="Y82" s="31">
        <v>4.2017248976989868E-3</v>
      </c>
      <c r="Z82" s="31"/>
      <c r="AA82" s="31">
        <v>1.2287800077068618</v>
      </c>
      <c r="AB82" s="31">
        <v>4.3456330695699119</v>
      </c>
      <c r="AC82" s="31">
        <v>0.65157283368310637</v>
      </c>
      <c r="AD82" s="31">
        <v>23.10897372931489</v>
      </c>
      <c r="AE82" s="31">
        <v>1.7962793545960731</v>
      </c>
      <c r="AF82" s="31">
        <v>0.23130020900224998</v>
      </c>
      <c r="AG82" s="31">
        <v>4.8282105989666269</v>
      </c>
      <c r="AH82" s="31">
        <v>68.444822126138874</v>
      </c>
      <c r="AI82" s="31">
        <v>27.49406423179834</v>
      </c>
      <c r="AJ82" s="31">
        <v>16.968397365822128</v>
      </c>
      <c r="AK82" s="31">
        <v>0.83140842451228703</v>
      </c>
      <c r="AL82" s="31">
        <v>0.32115048621431258</v>
      </c>
      <c r="AM82" s="31">
        <v>4.1964004795089629</v>
      </c>
      <c r="AN82" s="31">
        <v>4.2235271955747482</v>
      </c>
      <c r="AO82" s="31">
        <v>1.3071507711461527</v>
      </c>
      <c r="AP82" s="31">
        <v>2.2108888665170263</v>
      </c>
      <c r="AQ82" s="31">
        <v>14.454924130755145</v>
      </c>
      <c r="AR82" s="31">
        <v>3.2947102503376939</v>
      </c>
      <c r="AS82" s="31">
        <v>1.3187476187844391</v>
      </c>
      <c r="AT82" s="31">
        <v>1.5288316324199254</v>
      </c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>
        <v>0.81194214197319714</v>
      </c>
      <c r="DA82" s="31">
        <v>1.4055340051664049</v>
      </c>
      <c r="DB82" s="31">
        <v>2.058218635951</v>
      </c>
      <c r="DC82" s="31">
        <v>3.7471180350182229</v>
      </c>
      <c r="DD82" s="31">
        <v>4.9570072344140188</v>
      </c>
      <c r="DE82" s="31">
        <v>0.2684113941382385</v>
      </c>
      <c r="DF82" s="31">
        <v>0.36617623121963427</v>
      </c>
      <c r="DG82" s="31">
        <v>1.9216396926957775</v>
      </c>
      <c r="DH82" s="31">
        <v>1.2055271211417236</v>
      </c>
      <c r="DI82" s="31">
        <v>3.837444327207062</v>
      </c>
      <c r="DJ82" s="31">
        <v>7.7416410551646317E-2</v>
      </c>
      <c r="DK82" s="31">
        <v>0.29542007927513536</v>
      </c>
      <c r="DL82" s="31">
        <v>0.79011971943176162</v>
      </c>
      <c r="DM82" s="31">
        <v>4.5208567124935044</v>
      </c>
      <c r="DN82" s="31">
        <v>49.925454031722722</v>
      </c>
      <c r="DO82" s="31"/>
      <c r="DP82" s="31"/>
      <c r="DQ82" s="31"/>
      <c r="DR82" s="31"/>
      <c r="DS82" s="31">
        <v>442.18825400193288</v>
      </c>
      <c r="DT82" s="31">
        <v>20.993969294010199</v>
      </c>
      <c r="DU82" s="31">
        <v>736.47213829652446</v>
      </c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</row>
    <row r="83" spans="1:212" x14ac:dyDescent="0.35">
      <c r="A83" s="32" t="s">
        <v>195</v>
      </c>
      <c r="B83" s="31">
        <v>8.3477412710722357E-2</v>
      </c>
      <c r="C83" s="31">
        <v>0.12898475574060123</v>
      </c>
      <c r="D83" s="31">
        <v>4.1017953281094678E-2</v>
      </c>
      <c r="E83" s="31">
        <v>0.24686510061047076</v>
      </c>
      <c r="F83" s="31">
        <v>0.97477636451341498</v>
      </c>
      <c r="G83" s="31">
        <v>0.33675777856011585</v>
      </c>
      <c r="H83" s="31">
        <v>6.4618359420012164E-2</v>
      </c>
      <c r="I83" s="31">
        <v>3.8934527670576619E-2</v>
      </c>
      <c r="J83" s="31"/>
      <c r="K83" s="31"/>
      <c r="L83" s="31">
        <v>0.14498782415015513</v>
      </c>
      <c r="M83" s="31"/>
      <c r="N83" s="31">
        <v>0.34402709196083081</v>
      </c>
      <c r="O83" s="31">
        <v>3.8717589435503537</v>
      </c>
      <c r="P83" s="31">
        <v>4.7051885295234662E-4</v>
      </c>
      <c r="Q83" s="31">
        <v>4.0541449251716925E-2</v>
      </c>
      <c r="R83" s="31">
        <v>3.7834991666903565E-2</v>
      </c>
      <c r="S83" s="31">
        <v>4.8683866246742855E-2</v>
      </c>
      <c r="T83" s="31">
        <v>0.201699177511627</v>
      </c>
      <c r="U83" s="31">
        <v>2.2048661542008441</v>
      </c>
      <c r="V83" s="31">
        <v>2.7268591355743772</v>
      </c>
      <c r="W83" s="31">
        <v>3.7194014995837512</v>
      </c>
      <c r="X83" s="31">
        <v>0.23541780313804059</v>
      </c>
      <c r="Y83" s="31"/>
      <c r="Z83" s="31">
        <v>1.2042643107684559E-3</v>
      </c>
      <c r="AA83" s="31">
        <v>2.00894220943839</v>
      </c>
      <c r="AB83" s="31">
        <v>0.11770701641799668</v>
      </c>
      <c r="AC83" s="31">
        <v>0.20527784228382046</v>
      </c>
      <c r="AD83" s="31">
        <v>0.44442259181452409</v>
      </c>
      <c r="AE83" s="31">
        <v>1.9471970150037936</v>
      </c>
      <c r="AF83" s="31">
        <v>9.5668868758570252E-2</v>
      </c>
      <c r="AG83" s="31">
        <v>2.3659007542414368</v>
      </c>
      <c r="AH83" s="31">
        <v>1.7267168537821189</v>
      </c>
      <c r="AI83" s="31">
        <v>12.189210223299888</v>
      </c>
      <c r="AJ83" s="31">
        <v>17.481368161427032</v>
      </c>
      <c r="AK83" s="31">
        <v>0.55292328383458855</v>
      </c>
      <c r="AL83" s="31">
        <v>0.43615113708888625</v>
      </c>
      <c r="AM83" s="31">
        <v>1.1506837579357967</v>
      </c>
      <c r="AN83" s="31">
        <v>1.668578331859405</v>
      </c>
      <c r="AO83" s="31">
        <v>2.2106000519050353</v>
      </c>
      <c r="AP83" s="31">
        <v>0.98822078687891934</v>
      </c>
      <c r="AQ83" s="31">
        <v>2.5801105589564703</v>
      </c>
      <c r="AR83" s="31">
        <v>6.7879805871399546</v>
      </c>
      <c r="AS83" s="31">
        <v>9.5130539746774438</v>
      </c>
      <c r="AT83" s="31">
        <v>1.0687781361055344</v>
      </c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>
        <v>1.2320863436453147</v>
      </c>
      <c r="DA83" s="31">
        <v>2.1472896397702828</v>
      </c>
      <c r="DB83" s="31">
        <v>2.770034321174911</v>
      </c>
      <c r="DC83" s="31">
        <v>3.5974644576619954</v>
      </c>
      <c r="DD83" s="31">
        <v>2.7541199188380596</v>
      </c>
      <c r="DE83" s="31">
        <v>0.32809601387186016</v>
      </c>
      <c r="DF83" s="31">
        <v>0.44744504414422209</v>
      </c>
      <c r="DG83" s="31">
        <v>0.84639305020991762</v>
      </c>
      <c r="DH83" s="31">
        <v>1.5338665548511623</v>
      </c>
      <c r="DI83" s="31">
        <v>2.1414270140439129</v>
      </c>
      <c r="DJ83" s="31">
        <v>0.19509949699339768</v>
      </c>
      <c r="DK83" s="31">
        <v>0.54125637748647015</v>
      </c>
      <c r="DL83" s="31">
        <v>1.0656118169435829</v>
      </c>
      <c r="DM83" s="31">
        <v>3.3000619452147992</v>
      </c>
      <c r="DN83" s="31">
        <v>23.115069201791552</v>
      </c>
      <c r="DO83" s="31"/>
      <c r="DP83" s="31"/>
      <c r="DQ83" s="31"/>
      <c r="DR83" s="31"/>
      <c r="DS83" s="31">
        <v>30.357544854405592</v>
      </c>
      <c r="DT83" s="31"/>
      <c r="DU83" s="31">
        <v>157.40554316640271</v>
      </c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</row>
    <row r="84" spans="1:212" x14ac:dyDescent="0.35">
      <c r="A84" s="32" t="s">
        <v>196</v>
      </c>
      <c r="B84" s="31">
        <v>4.8998867432514311E-2</v>
      </c>
      <c r="C84" s="31">
        <v>4.4788038626297148E-2</v>
      </c>
      <c r="D84" s="31">
        <v>5.0051974446037262E-2</v>
      </c>
      <c r="E84" s="31">
        <v>0.33680847542186354</v>
      </c>
      <c r="F84" s="31">
        <v>0.52206089734284689</v>
      </c>
      <c r="G84" s="31">
        <v>0.8045531098980917</v>
      </c>
      <c r="H84" s="31">
        <v>8.3154562488315154E-2</v>
      </c>
      <c r="I84" s="31">
        <v>2.7910770900824795E-2</v>
      </c>
      <c r="J84" s="31">
        <v>0.25230674713226581</v>
      </c>
      <c r="K84" s="31">
        <v>6.7743209099351442E-2</v>
      </c>
      <c r="L84" s="31">
        <v>2.2604281357860634E-2</v>
      </c>
      <c r="M84" s="31">
        <v>0.95614427186683959</v>
      </c>
      <c r="N84" s="31">
        <v>2.5237498866449575</v>
      </c>
      <c r="O84" s="31"/>
      <c r="P84" s="31">
        <v>7.4404147478376717E-2</v>
      </c>
      <c r="Q84" s="31">
        <v>3.5062806110731579E-2</v>
      </c>
      <c r="R84" s="31">
        <v>1.0071315877269804</v>
      </c>
      <c r="S84" s="31">
        <v>0.49972011217824491</v>
      </c>
      <c r="T84" s="31">
        <v>3.5081999550102938</v>
      </c>
      <c r="U84" s="31">
        <v>10.040480169135542</v>
      </c>
      <c r="V84" s="31">
        <v>2.1622456068701043E-2</v>
      </c>
      <c r="W84" s="31">
        <v>2.6949708445994762</v>
      </c>
      <c r="X84" s="31">
        <v>2.3270568170547725</v>
      </c>
      <c r="Y84" s="31">
        <v>0.10429913429826849</v>
      </c>
      <c r="Z84" s="31">
        <v>4.2280465772645532E-4</v>
      </c>
      <c r="AA84" s="31">
        <v>8.8904722308823345</v>
      </c>
      <c r="AB84" s="31">
        <v>12.734571946014695</v>
      </c>
      <c r="AC84" s="31">
        <v>0.64109819285879954</v>
      </c>
      <c r="AD84" s="31">
        <v>1.3535887998715774</v>
      </c>
      <c r="AE84" s="31">
        <v>2.6395202441056185</v>
      </c>
      <c r="AF84" s="31"/>
      <c r="AG84" s="31">
        <v>0.24681506428846456</v>
      </c>
      <c r="AH84" s="31">
        <v>3.6713787048390851</v>
      </c>
      <c r="AI84" s="31">
        <v>27.957677817092666</v>
      </c>
      <c r="AJ84" s="31">
        <v>8.1943899265932032</v>
      </c>
      <c r="AK84" s="31">
        <v>5.7724583771567284</v>
      </c>
      <c r="AL84" s="31">
        <v>5.168488274703618</v>
      </c>
      <c r="AM84" s="31">
        <v>8.2007128823107376</v>
      </c>
      <c r="AN84" s="31">
        <v>13.256604518177094</v>
      </c>
      <c r="AO84" s="31">
        <v>6.0237903389453562</v>
      </c>
      <c r="AP84" s="31">
        <v>4.1378851458534269</v>
      </c>
      <c r="AQ84" s="31">
        <v>9.7290513694831731</v>
      </c>
      <c r="AR84" s="31">
        <v>9.0013222030198108</v>
      </c>
      <c r="AS84" s="31">
        <v>2.6601292972411987</v>
      </c>
      <c r="AT84" s="31">
        <v>5.0756124513424021</v>
      </c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>
        <v>0.10918575678207627</v>
      </c>
      <c r="DA84" s="31">
        <v>0.43511455984250558</v>
      </c>
      <c r="DB84" s="31">
        <v>0.95059291126903533</v>
      </c>
      <c r="DC84" s="31">
        <v>1.4484050889347311</v>
      </c>
      <c r="DD84" s="31">
        <v>1.9605204392725564</v>
      </c>
      <c r="DE84" s="31">
        <v>8.6074929565212843E-2</v>
      </c>
      <c r="DF84" s="31">
        <v>0.28408220558799441</v>
      </c>
      <c r="DG84" s="31">
        <v>0.49183188464685973</v>
      </c>
      <c r="DH84" s="31">
        <v>1.2626483293971831</v>
      </c>
      <c r="DI84" s="31">
        <v>1.6821487260842689</v>
      </c>
      <c r="DJ84" s="31">
        <v>0.20012072586086554</v>
      </c>
      <c r="DK84" s="31">
        <v>0.63870992465228671</v>
      </c>
      <c r="DL84" s="31">
        <v>1.9967886702131517</v>
      </c>
      <c r="DM84" s="31">
        <v>5.5376664221345404</v>
      </c>
      <c r="DN84" s="31">
        <v>30.458329481145203</v>
      </c>
      <c r="DO84" s="31"/>
      <c r="DP84" s="31"/>
      <c r="DQ84" s="31"/>
      <c r="DR84" s="31"/>
      <c r="DS84" s="31"/>
      <c r="DT84" s="31">
        <v>0.20923849205597872</v>
      </c>
      <c r="DU84" s="31">
        <v>209.16127225920167</v>
      </c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  <c r="HA84" s="31"/>
      <c r="HB84" s="31"/>
      <c r="HC84" s="31"/>
      <c r="HD84" s="31"/>
    </row>
    <row r="85" spans="1:212" x14ac:dyDescent="0.35">
      <c r="A85" s="32" t="s">
        <v>197</v>
      </c>
      <c r="B85" s="31">
        <v>6.942119938897777E-2</v>
      </c>
      <c r="C85" s="31">
        <v>3.5274312998522697E-2</v>
      </c>
      <c r="D85" s="31">
        <v>6.9757998951597133E-3</v>
      </c>
      <c r="E85" s="31">
        <v>2.8438691040982733E-2</v>
      </c>
      <c r="F85" s="31">
        <v>0.67528443583531406</v>
      </c>
      <c r="G85" s="31">
        <v>2.0279184146780511</v>
      </c>
      <c r="H85" s="31">
        <v>8.4839714378555725E-2</v>
      </c>
      <c r="I85" s="31">
        <v>7.8322584238982376E-2</v>
      </c>
      <c r="J85" s="31">
        <v>2.16863396916902</v>
      </c>
      <c r="K85" s="31">
        <v>1.4097028588987346</v>
      </c>
      <c r="L85" s="31">
        <v>1.9370743448831221E-2</v>
      </c>
      <c r="M85" s="31"/>
      <c r="N85" s="31">
        <v>7.3237787817721986E-3</v>
      </c>
      <c r="O85" s="31">
        <v>0.61196601227478842</v>
      </c>
      <c r="P85" s="31"/>
      <c r="Q85" s="31">
        <v>1.6956396229718215E-2</v>
      </c>
      <c r="R85" s="31">
        <v>1.2250597924886002</v>
      </c>
      <c r="S85" s="31">
        <v>0.14199418484307672</v>
      </c>
      <c r="T85" s="31">
        <v>0.69434185756481948</v>
      </c>
      <c r="U85" s="31">
        <v>2.4625798067714069</v>
      </c>
      <c r="V85" s="31">
        <v>2.64823776265753E-2</v>
      </c>
      <c r="W85" s="31">
        <v>0.37965802874004489</v>
      </c>
      <c r="X85" s="31">
        <v>0.45523615631478875</v>
      </c>
      <c r="Y85" s="31">
        <v>7.3856993926515485E-2</v>
      </c>
      <c r="Z85" s="31">
        <v>1.4474342032358186E-6</v>
      </c>
      <c r="AA85" s="31">
        <v>2.4633237816296218</v>
      </c>
      <c r="AB85" s="31">
        <v>0.86039209308057529</v>
      </c>
      <c r="AC85" s="31">
        <v>4.6943075639518411E-2</v>
      </c>
      <c r="AD85" s="31">
        <v>1.2761674354676009</v>
      </c>
      <c r="AE85" s="31">
        <v>0.21277476065367323</v>
      </c>
      <c r="AF85" s="31">
        <v>0.68166269684367276</v>
      </c>
      <c r="AG85" s="31">
        <v>0.8633106185830679</v>
      </c>
      <c r="AH85" s="31">
        <v>2.1399488972416494</v>
      </c>
      <c r="AI85" s="31">
        <v>3.081129102091607</v>
      </c>
      <c r="AJ85" s="31">
        <v>1.0325584631459894</v>
      </c>
      <c r="AK85" s="31">
        <v>1.2170359509055961</v>
      </c>
      <c r="AL85" s="31">
        <v>1.7714612070254663</v>
      </c>
      <c r="AM85" s="31">
        <v>1.1433195066644772</v>
      </c>
      <c r="AN85" s="31">
        <v>0.78678003250449957</v>
      </c>
      <c r="AO85" s="31">
        <v>0.55325255327540568</v>
      </c>
      <c r="AP85" s="31">
        <v>0.87872635041796099</v>
      </c>
      <c r="AQ85" s="31">
        <v>2.5864095374969116</v>
      </c>
      <c r="AR85" s="31">
        <v>3.1372087845184602</v>
      </c>
      <c r="AS85" s="31">
        <v>0.79080000557764785</v>
      </c>
      <c r="AT85" s="31">
        <v>1.6102875910050172</v>
      </c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>
        <v>1.4721083511813713</v>
      </c>
      <c r="DA85" s="31">
        <v>1.7137369213386919</v>
      </c>
      <c r="DB85" s="31">
        <v>2.0401134013186213</v>
      </c>
      <c r="DC85" s="31">
        <v>2.401369771473969</v>
      </c>
      <c r="DD85" s="31">
        <v>2.2024204952922917</v>
      </c>
      <c r="DE85" s="31">
        <v>0.43892380086183697</v>
      </c>
      <c r="DF85" s="31">
        <v>0.7709323513172649</v>
      </c>
      <c r="DG85" s="31">
        <v>0.743898128027633</v>
      </c>
      <c r="DH85" s="31">
        <v>1.4851911152210113</v>
      </c>
      <c r="DI85" s="31">
        <v>1.4272845035580319</v>
      </c>
      <c r="DJ85" s="31">
        <v>0.39059170517125535</v>
      </c>
      <c r="DK85" s="31">
        <v>1.3273614403683727</v>
      </c>
      <c r="DL85" s="31">
        <v>2.5113910139855578</v>
      </c>
      <c r="DM85" s="31">
        <v>6.1185349262763342</v>
      </c>
      <c r="DN85" s="31">
        <v>22.704523848738258</v>
      </c>
      <c r="DO85" s="31"/>
      <c r="DP85" s="31"/>
      <c r="DQ85" s="31"/>
      <c r="DR85" s="31"/>
      <c r="DS85" s="31"/>
      <c r="DT85" s="31"/>
      <c r="DU85" s="31">
        <v>87.581513774866366</v>
      </c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</row>
    <row r="86" spans="1:212" x14ac:dyDescent="0.35">
      <c r="A86" s="32" t="s">
        <v>198</v>
      </c>
      <c r="B86" s="31">
        <v>7.3674901003440124E-2</v>
      </c>
      <c r="C86" s="31"/>
      <c r="D86" s="31">
        <v>4.1221239716124703E-3</v>
      </c>
      <c r="E86" s="31"/>
      <c r="F86" s="31"/>
      <c r="G86" s="31">
        <v>0.39355943295013779</v>
      </c>
      <c r="H86" s="31">
        <v>0.28727391110890604</v>
      </c>
      <c r="I86" s="31">
        <v>4.8794471542678696E-3</v>
      </c>
      <c r="J86" s="31">
        <v>3.1146498004376642</v>
      </c>
      <c r="K86" s="31">
        <v>6.7439974908850164</v>
      </c>
      <c r="L86" s="31">
        <v>0.16758113901962865</v>
      </c>
      <c r="M86" s="31">
        <v>0.28990398006170637</v>
      </c>
      <c r="N86" s="31">
        <v>0.2057803365684209</v>
      </c>
      <c r="O86" s="31">
        <v>9.581829004597294</v>
      </c>
      <c r="P86" s="31">
        <v>1.4459079888894349E-3</v>
      </c>
      <c r="Q86" s="31">
        <v>0.27771333108823859</v>
      </c>
      <c r="R86" s="31">
        <v>0.22741531941105675</v>
      </c>
      <c r="S86" s="31">
        <v>0.31015793490433513</v>
      </c>
      <c r="T86" s="31">
        <v>0.3283299580240634</v>
      </c>
      <c r="U86" s="31">
        <v>3.9621513929197509</v>
      </c>
      <c r="V86" s="31"/>
      <c r="W86" s="31">
        <v>0.39582255699603819</v>
      </c>
      <c r="X86" s="31">
        <v>0.73059882825281453</v>
      </c>
      <c r="Y86" s="31"/>
      <c r="Z86" s="31"/>
      <c r="AA86" s="31">
        <v>1.9170449967462757</v>
      </c>
      <c r="AB86" s="31">
        <v>0.57800599649450923</v>
      </c>
      <c r="AC86" s="31">
        <v>0.5262954994214748</v>
      </c>
      <c r="AD86" s="31">
        <v>0.97084681518922533</v>
      </c>
      <c r="AE86" s="31">
        <v>0.17757507019608326</v>
      </c>
      <c r="AF86" s="31">
        <v>0.48496228354561299</v>
      </c>
      <c r="AG86" s="31">
        <v>3.8612705429285779</v>
      </c>
      <c r="AH86" s="31">
        <v>0.49939611318614902</v>
      </c>
      <c r="AI86" s="31">
        <v>51.488794609775837</v>
      </c>
      <c r="AJ86" s="31">
        <v>14.41452057360353</v>
      </c>
      <c r="AK86" s="31">
        <v>2.8786090229961121</v>
      </c>
      <c r="AL86" s="31">
        <v>1.1963465441862138</v>
      </c>
      <c r="AM86" s="31">
        <v>5.878155813423537</v>
      </c>
      <c r="AN86" s="31">
        <v>17.972110818647288</v>
      </c>
      <c r="AO86" s="31">
        <v>40.477678182396041</v>
      </c>
      <c r="AP86" s="31">
        <v>4.075588684247335</v>
      </c>
      <c r="AQ86" s="31">
        <v>2.3285639884296505</v>
      </c>
      <c r="AR86" s="31">
        <v>18.534255134580736</v>
      </c>
      <c r="AS86" s="31">
        <v>2.416240037878278</v>
      </c>
      <c r="AT86" s="31">
        <v>2.5962996153921472</v>
      </c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>
        <v>1300.5494035177817</v>
      </c>
      <c r="DT86" s="31"/>
      <c r="DU86" s="31">
        <v>1500.9228506583895</v>
      </c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</row>
    <row r="87" spans="1:212" x14ac:dyDescent="0.35">
      <c r="A87" s="32" t="s">
        <v>199</v>
      </c>
      <c r="B87" s="31">
        <v>0.2133400641400269</v>
      </c>
      <c r="C87" s="31">
        <v>0.10689287461403484</v>
      </c>
      <c r="D87" s="31">
        <v>1.6869361521308364E-2</v>
      </c>
      <c r="E87" s="31">
        <v>5.8035608405115277E-2</v>
      </c>
      <c r="F87" s="31">
        <v>2.3001260923126576</v>
      </c>
      <c r="G87" s="31">
        <v>0.36747824648932759</v>
      </c>
      <c r="H87" s="31">
        <v>0.10759423269236761</v>
      </c>
      <c r="I87" s="31">
        <v>0.11020894011126769</v>
      </c>
      <c r="J87" s="31"/>
      <c r="K87" s="31"/>
      <c r="L87" s="31">
        <v>0.60214346350918158</v>
      </c>
      <c r="M87" s="31">
        <v>0.40118433028159017</v>
      </c>
      <c r="N87" s="31"/>
      <c r="O87" s="31">
        <v>2.0276926489680571</v>
      </c>
      <c r="P87" s="31"/>
      <c r="Q87" s="31">
        <v>4.5841485764587846E-2</v>
      </c>
      <c r="R87" s="31">
        <v>0.17379379268554543</v>
      </c>
      <c r="S87" s="31">
        <v>0.43119648315046399</v>
      </c>
      <c r="T87" s="31">
        <v>1.0033090141922896</v>
      </c>
      <c r="U87" s="31">
        <v>3.8193276836859305</v>
      </c>
      <c r="V87" s="31">
        <v>1.0453104525454317E-3</v>
      </c>
      <c r="W87" s="31">
        <v>0.2786595124875676</v>
      </c>
      <c r="X87" s="31">
        <v>1.2408584349461036</v>
      </c>
      <c r="Y87" s="31"/>
      <c r="Z87" s="31"/>
      <c r="AA87" s="31">
        <v>2.7300068365686725</v>
      </c>
      <c r="AB87" s="31">
        <v>0.63017001417554552</v>
      </c>
      <c r="AC87" s="31">
        <v>0.83833304346616389</v>
      </c>
      <c r="AD87" s="31">
        <v>0.39819622186372305</v>
      </c>
      <c r="AE87" s="31">
        <v>0.92674936634888205</v>
      </c>
      <c r="AF87" s="31">
        <v>0.32553859463122498</v>
      </c>
      <c r="AG87" s="31">
        <v>0.5655252822674629</v>
      </c>
      <c r="AH87" s="31">
        <v>7.377515080037389</v>
      </c>
      <c r="AI87" s="31">
        <v>34.864114273723693</v>
      </c>
      <c r="AJ87" s="31">
        <v>216.35158002013978</v>
      </c>
      <c r="AK87" s="31">
        <v>6.8185139070594163</v>
      </c>
      <c r="AL87" s="31">
        <v>5.1648632091008686</v>
      </c>
      <c r="AM87" s="31">
        <v>2.7661571032070782</v>
      </c>
      <c r="AN87" s="31">
        <v>4.5146072910501562</v>
      </c>
      <c r="AO87" s="31">
        <v>9.4085064157617387E-2</v>
      </c>
      <c r="AP87" s="31">
        <v>8.6134550263256351</v>
      </c>
      <c r="AQ87" s="31">
        <v>3.6762099385839617</v>
      </c>
      <c r="AR87" s="31">
        <v>1.8762265521475365</v>
      </c>
      <c r="AS87" s="31">
        <v>2.1607289897921103</v>
      </c>
      <c r="AT87" s="31">
        <v>1.659541856543586</v>
      </c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>
        <v>1028.5520168452745</v>
      </c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>
        <v>5.2008845677773531E-3</v>
      </c>
      <c r="DA87" s="31">
        <v>5.9654675493764749E-2</v>
      </c>
      <c r="DB87" s="31">
        <v>1.443490085472106</v>
      </c>
      <c r="DC87" s="31">
        <v>0.83735301064790912</v>
      </c>
      <c r="DD87" s="31">
        <v>3.2373734867244903</v>
      </c>
      <c r="DE87" s="31"/>
      <c r="DF87" s="31">
        <v>0.38528023078805185</v>
      </c>
      <c r="DG87" s="31"/>
      <c r="DH87" s="31">
        <v>0.39156895839841832</v>
      </c>
      <c r="DI87" s="31">
        <v>1.8985903683350094</v>
      </c>
      <c r="DJ87" s="31"/>
      <c r="DK87" s="31">
        <v>5.8423810004679414E-3</v>
      </c>
      <c r="DL87" s="31">
        <v>0.42373406849191886</v>
      </c>
      <c r="DM87" s="31">
        <v>1.3295210291668609</v>
      </c>
      <c r="DN87" s="31">
        <v>251.889227932773</v>
      </c>
      <c r="DO87" s="31"/>
      <c r="DP87" s="31"/>
      <c r="DQ87" s="31"/>
      <c r="DR87" s="31"/>
      <c r="DS87" s="31"/>
      <c r="DT87" s="31"/>
      <c r="DU87" s="31">
        <v>1606.1165692087347</v>
      </c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</row>
    <row r="88" spans="1:212" x14ac:dyDescent="0.35">
      <c r="A88" s="32" t="s">
        <v>200</v>
      </c>
      <c r="B88" s="31">
        <v>2.0849304005790548</v>
      </c>
      <c r="C88" s="31">
        <v>1.3514729686964686</v>
      </c>
      <c r="D88" s="31">
        <v>0.69297076788402612</v>
      </c>
      <c r="E88" s="31">
        <v>3.4380109955845528</v>
      </c>
      <c r="F88" s="31">
        <v>23.744747829327938</v>
      </c>
      <c r="G88" s="31">
        <v>7.8766022514094747</v>
      </c>
      <c r="H88" s="31">
        <v>2.0152262199949234</v>
      </c>
      <c r="I88" s="31">
        <v>1.014525486216717</v>
      </c>
      <c r="J88" s="31">
        <v>1.4493040240554735</v>
      </c>
      <c r="K88" s="31">
        <v>0.54461174735745632</v>
      </c>
      <c r="L88" s="31">
        <v>6.9532395776695193</v>
      </c>
      <c r="M88" s="31">
        <v>2.0976820951454083</v>
      </c>
      <c r="N88" s="31">
        <v>1.7451804930358021</v>
      </c>
      <c r="O88" s="31">
        <v>23.433801895462484</v>
      </c>
      <c r="P88" s="31">
        <v>4.6428654572699478E-2</v>
      </c>
      <c r="Q88" s="31">
        <v>0.36417987443915634</v>
      </c>
      <c r="R88" s="31">
        <v>3.6004943950790484</v>
      </c>
      <c r="S88" s="31">
        <v>4.5769350025283115</v>
      </c>
      <c r="T88" s="31">
        <v>12.219069819625359</v>
      </c>
      <c r="U88" s="31">
        <v>17.87271768610406</v>
      </c>
      <c r="V88" s="31">
        <v>4.1400505158577943</v>
      </c>
      <c r="W88" s="31">
        <v>2.6547678857250023</v>
      </c>
      <c r="X88" s="31">
        <v>2.3578368483747543</v>
      </c>
      <c r="Y88" s="31"/>
      <c r="Z88" s="31">
        <v>1.3885197214933684E-4</v>
      </c>
      <c r="AA88" s="31">
        <v>19.771889120337089</v>
      </c>
      <c r="AB88" s="31">
        <v>22.468016886955198</v>
      </c>
      <c r="AC88" s="31">
        <v>11.448884332017524</v>
      </c>
      <c r="AD88" s="31">
        <v>3.4116322226837297</v>
      </c>
      <c r="AE88" s="31">
        <v>3.005052301560533</v>
      </c>
      <c r="AF88" s="31">
        <v>0.52315104586972416</v>
      </c>
      <c r="AG88" s="31">
        <v>2.9089271387672939</v>
      </c>
      <c r="AH88" s="31">
        <v>54.906336367165018</v>
      </c>
      <c r="AI88" s="31">
        <v>248.42142702926265</v>
      </c>
      <c r="AJ88" s="31">
        <v>246.90171262764835</v>
      </c>
      <c r="AK88" s="31">
        <v>2.4412141082930261</v>
      </c>
      <c r="AL88" s="31">
        <v>7.6011280662990401</v>
      </c>
      <c r="AM88" s="31">
        <v>13.310366178478981</v>
      </c>
      <c r="AN88" s="31">
        <v>8.9806322924988322</v>
      </c>
      <c r="AO88" s="31">
        <v>3.7773231314515727</v>
      </c>
      <c r="AP88" s="31">
        <v>21.098444333550436</v>
      </c>
      <c r="AQ88" s="31">
        <v>48.091668506836918</v>
      </c>
      <c r="AR88" s="31">
        <v>23.305868866267975</v>
      </c>
      <c r="AS88" s="31">
        <v>9.3436158252891595</v>
      </c>
      <c r="AT88" s="31">
        <v>8.1019424674840259</v>
      </c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>
        <v>61.194698019002587</v>
      </c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>
        <v>12.138641666729349</v>
      </c>
      <c r="DA88" s="31">
        <v>28.448850987578091</v>
      </c>
      <c r="DB88" s="31">
        <v>45.430576214315934</v>
      </c>
      <c r="DC88" s="31">
        <v>57.142767789976489</v>
      </c>
      <c r="DD88" s="31">
        <v>58.179169120302127</v>
      </c>
      <c r="DE88" s="31">
        <v>2.3231478789625903</v>
      </c>
      <c r="DF88" s="31">
        <v>7.1078244650077895</v>
      </c>
      <c r="DG88" s="31">
        <v>15.445266920972934</v>
      </c>
      <c r="DH88" s="31">
        <v>169.74893643183046</v>
      </c>
      <c r="DI88" s="31">
        <v>50.243088847152627</v>
      </c>
      <c r="DJ88" s="31">
        <v>2.3001712335248303</v>
      </c>
      <c r="DK88" s="31">
        <v>6.1213368791658143</v>
      </c>
      <c r="DL88" s="31">
        <v>19.922858807122797</v>
      </c>
      <c r="DM88" s="31">
        <v>73.079980930528578</v>
      </c>
      <c r="DN88" s="31">
        <v>514.41229642915312</v>
      </c>
      <c r="DO88" s="31"/>
      <c r="DP88" s="31"/>
      <c r="DQ88" s="31"/>
      <c r="DR88" s="31"/>
      <c r="DS88" s="31"/>
      <c r="DT88" s="31">
        <v>307.37010762680717</v>
      </c>
      <c r="DU88" s="31">
        <v>2316.7038793835477</v>
      </c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  <c r="HA88" s="31"/>
      <c r="HB88" s="31"/>
      <c r="HC88" s="31"/>
      <c r="HD88" s="31"/>
    </row>
    <row r="89" spans="1:212" x14ac:dyDescent="0.35">
      <c r="A89" s="32" t="s">
        <v>201</v>
      </c>
      <c r="B89" s="31"/>
      <c r="C89" s="31"/>
      <c r="D89" s="31"/>
      <c r="E89" s="31"/>
      <c r="F89" s="31"/>
      <c r="G89" s="31"/>
      <c r="H89" s="31">
        <v>1.0277892621587588</v>
      </c>
      <c r="I89" s="31"/>
      <c r="J89" s="31"/>
      <c r="K89" s="31"/>
      <c r="L89" s="31">
        <v>0.35094668588852157</v>
      </c>
      <c r="M89" s="31"/>
      <c r="N89" s="31">
        <v>2.1114061791880144E-3</v>
      </c>
      <c r="O89" s="31">
        <v>4.248024161089428</v>
      </c>
      <c r="P89" s="31">
        <v>3.5430965131356064E-3</v>
      </c>
      <c r="Q89" s="31">
        <v>8.7451529301952713E-2</v>
      </c>
      <c r="R89" s="31">
        <v>4.5616250653840389E-2</v>
      </c>
      <c r="S89" s="31">
        <v>8.649479463628032E-2</v>
      </c>
      <c r="T89" s="31">
        <v>8.3655793355936533E-3</v>
      </c>
      <c r="U89" s="31">
        <v>0.77094727335159874</v>
      </c>
      <c r="V89" s="31">
        <v>3.4111547208377046E-3</v>
      </c>
      <c r="W89" s="31">
        <v>5.6592125961282738E-3</v>
      </c>
      <c r="X89" s="31">
        <v>0.18972896012988916</v>
      </c>
      <c r="Y89" s="31"/>
      <c r="Z89" s="31"/>
      <c r="AA89" s="31">
        <v>0.94050185964057043</v>
      </c>
      <c r="AB89" s="31">
        <v>0.17701131574930862</v>
      </c>
      <c r="AC89" s="31">
        <v>0.13303786631317946</v>
      </c>
      <c r="AD89" s="31">
        <v>0.17505814263473662</v>
      </c>
      <c r="AE89" s="31">
        <v>0.16512228245922328</v>
      </c>
      <c r="AF89" s="31">
        <v>0.30588703003185758</v>
      </c>
      <c r="AG89" s="31">
        <v>0.98888680836404574</v>
      </c>
      <c r="AH89" s="31">
        <v>1.9837869626283848</v>
      </c>
      <c r="AI89" s="31">
        <v>3.5333270118692335</v>
      </c>
      <c r="AJ89" s="31">
        <v>3.6556258170221754</v>
      </c>
      <c r="AK89" s="31">
        <v>0.43164510034578973</v>
      </c>
      <c r="AL89" s="31">
        <v>0.24688077681239334</v>
      </c>
      <c r="AM89" s="31">
        <v>4.3822501214249527</v>
      </c>
      <c r="AN89" s="31">
        <v>2.3554984754841155</v>
      </c>
      <c r="AO89" s="31">
        <v>0.35969668521834702</v>
      </c>
      <c r="AP89" s="31">
        <v>5.2288229743033208</v>
      </c>
      <c r="AQ89" s="31">
        <v>18.079254383547845</v>
      </c>
      <c r="AR89" s="31">
        <v>8.4706487646428368</v>
      </c>
      <c r="AS89" s="31">
        <v>4.354958779696358</v>
      </c>
      <c r="AT89" s="31">
        <v>0.93829592296424336</v>
      </c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>
        <v>1.7729745103646632E-3</v>
      </c>
      <c r="DA89" s="31">
        <v>2.0337836217655295E-2</v>
      </c>
      <c r="DB89" s="31">
        <v>0.49275941710152554</v>
      </c>
      <c r="DC89" s="31">
        <v>0.28563377270792639</v>
      </c>
      <c r="DD89" s="31">
        <v>1.1044688808369554</v>
      </c>
      <c r="DE89" s="31"/>
      <c r="DF89" s="31">
        <v>0.13138307888550796</v>
      </c>
      <c r="DG89" s="31"/>
      <c r="DH89" s="31">
        <v>0.13348624030120751</v>
      </c>
      <c r="DI89" s="31">
        <v>0.64731707972579722</v>
      </c>
      <c r="DJ89" s="31"/>
      <c r="DK89" s="31">
        <v>1.9916494672822709E-3</v>
      </c>
      <c r="DL89" s="31">
        <v>0.14448187513229116</v>
      </c>
      <c r="DM89" s="31">
        <v>0.45335019244360653</v>
      </c>
      <c r="DN89" s="31">
        <v>85.865854085741532</v>
      </c>
      <c r="DO89" s="31"/>
      <c r="DP89" s="31"/>
      <c r="DQ89" s="31"/>
      <c r="DR89" s="31"/>
      <c r="DS89" s="31"/>
      <c r="DT89" s="31">
        <v>19.163121587591657</v>
      </c>
      <c r="DU89" s="31">
        <v>172.18224511837138</v>
      </c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</row>
    <row r="90" spans="1:212" x14ac:dyDescent="0.35">
      <c r="A90" s="32" t="s">
        <v>549</v>
      </c>
      <c r="B90" s="31"/>
      <c r="C90" s="31"/>
      <c r="D90" s="31"/>
      <c r="E90" s="31"/>
      <c r="F90" s="31"/>
      <c r="G90" s="31"/>
      <c r="H90" s="31">
        <v>0.22977501106595402</v>
      </c>
      <c r="I90" s="31"/>
      <c r="J90" s="31"/>
      <c r="K90" s="31"/>
      <c r="L90" s="31">
        <v>6.4335571402564268E-2</v>
      </c>
      <c r="M90" s="31"/>
      <c r="N90" s="31">
        <v>2.7989913217298785E-2</v>
      </c>
      <c r="O90" s="31">
        <v>0.33344687363337128</v>
      </c>
      <c r="P90" s="31"/>
      <c r="Q90" s="31">
        <v>1.0844075786320476E-2</v>
      </c>
      <c r="R90" s="31">
        <v>1.0321764843203131E-2</v>
      </c>
      <c r="S90" s="31">
        <v>8.5977567541635647E-3</v>
      </c>
      <c r="T90" s="31">
        <v>0.10195583675794578</v>
      </c>
      <c r="U90" s="31">
        <v>0.3023622847740553</v>
      </c>
      <c r="V90" s="31">
        <v>3.1514144410716573E-2</v>
      </c>
      <c r="W90" s="31">
        <v>2.7494389008330018E-2</v>
      </c>
      <c r="X90" s="31">
        <v>3.1196214868701614E-2</v>
      </c>
      <c r="Y90" s="31"/>
      <c r="Z90" s="31"/>
      <c r="AA90" s="31">
        <v>0.15189191500722765</v>
      </c>
      <c r="AB90" s="31">
        <v>2.0443593420285785E-2</v>
      </c>
      <c r="AC90" s="31">
        <v>1.8472556101163946E-2</v>
      </c>
      <c r="AD90" s="31">
        <v>2.8057937037290075E-2</v>
      </c>
      <c r="AE90" s="31">
        <v>5.2099537810149206E-2</v>
      </c>
      <c r="AF90" s="31">
        <v>2.0705952131523899E-2</v>
      </c>
      <c r="AG90" s="31">
        <v>0.10489094325849076</v>
      </c>
      <c r="AH90" s="31">
        <v>0.31035332855308823</v>
      </c>
      <c r="AI90" s="31">
        <v>6.3107963303376247</v>
      </c>
      <c r="AJ90" s="31">
        <v>4.0933338310431102</v>
      </c>
      <c r="AK90" s="31">
        <v>0.20066988309673434</v>
      </c>
      <c r="AL90" s="31">
        <v>0.18147008902304576</v>
      </c>
      <c r="AM90" s="31">
        <v>0.47573538088837625</v>
      </c>
      <c r="AN90" s="31">
        <v>3.6329587978217242</v>
      </c>
      <c r="AO90" s="31">
        <v>0.16476563502238484</v>
      </c>
      <c r="AP90" s="31">
        <v>1.0219192382557101</v>
      </c>
      <c r="AQ90" s="31">
        <v>7.0350431539277523</v>
      </c>
      <c r="AR90" s="31">
        <v>3.2116290476737079</v>
      </c>
      <c r="AS90" s="31">
        <v>1.2481995759686828</v>
      </c>
      <c r="AT90" s="31">
        <v>0.44558148446434465</v>
      </c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>
        <v>1.2254894689980664</v>
      </c>
      <c r="DA90" s="31">
        <v>2.731949446079343</v>
      </c>
      <c r="DB90" s="31">
        <v>4.6076023563051152</v>
      </c>
      <c r="DC90" s="31">
        <v>5.7401208115567366</v>
      </c>
      <c r="DD90" s="31">
        <v>5.8041858444835839</v>
      </c>
      <c r="DE90" s="31">
        <v>0.528581658479508</v>
      </c>
      <c r="DF90" s="31">
        <v>1.5610237027837075</v>
      </c>
      <c r="DG90" s="31">
        <v>2.1326673514366101</v>
      </c>
      <c r="DH90" s="31">
        <v>3.8627977926445407</v>
      </c>
      <c r="DI90" s="31">
        <v>8.2975875596116762</v>
      </c>
      <c r="DJ90" s="31">
        <v>0.41976776671237215</v>
      </c>
      <c r="DK90" s="31">
        <v>1.1720812180935007</v>
      </c>
      <c r="DL90" s="31">
        <v>4.4928242003640939</v>
      </c>
      <c r="DM90" s="31">
        <v>16.296210693205513</v>
      </c>
      <c r="DN90" s="31">
        <v>89.849841138791987</v>
      </c>
      <c r="DO90" s="31"/>
      <c r="DP90" s="31"/>
      <c r="DQ90" s="31"/>
      <c r="DR90" s="31"/>
      <c r="DS90" s="31"/>
      <c r="DT90" s="31"/>
      <c r="DU90" s="31">
        <v>178.63158305691138</v>
      </c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</row>
    <row r="91" spans="1:212" x14ac:dyDescent="0.35">
      <c r="A91" s="32" t="s">
        <v>202</v>
      </c>
      <c r="B91" s="31">
        <v>0.23433324166637284</v>
      </c>
      <c r="C91" s="31"/>
      <c r="D91" s="31">
        <v>4.7558718823325824E-2</v>
      </c>
      <c r="E91" s="31">
        <v>2.7292829115887875E-3</v>
      </c>
      <c r="F91" s="31">
        <v>2.5348252797544628</v>
      </c>
      <c r="G91" s="31">
        <v>2.9984390332227777</v>
      </c>
      <c r="H91" s="31">
        <v>0.55793728872611226</v>
      </c>
      <c r="I91" s="31">
        <v>0.26015462482108787</v>
      </c>
      <c r="J91" s="31"/>
      <c r="K91" s="31"/>
      <c r="L91" s="31">
        <v>0.30508533595371262</v>
      </c>
      <c r="M91" s="31">
        <v>8.0828390385152132E-2</v>
      </c>
      <c r="N91" s="31">
        <v>4.9195965612687013E-2</v>
      </c>
      <c r="O91" s="31">
        <v>3.0579182482298704</v>
      </c>
      <c r="P91" s="31">
        <v>2.3186426626637811E-2</v>
      </c>
      <c r="Q91" s="31">
        <v>3.6363001216580843E-2</v>
      </c>
      <c r="R91" s="31">
        <v>0.39338358692912695</v>
      </c>
      <c r="S91" s="31">
        <v>0.2140829210546544</v>
      </c>
      <c r="T91" s="31">
        <v>0.26465057696638378</v>
      </c>
      <c r="U91" s="31">
        <v>2.1647919913411262</v>
      </c>
      <c r="V91" s="31">
        <v>2.3554745048441385E-2</v>
      </c>
      <c r="W91" s="31">
        <v>0.47877905559413847</v>
      </c>
      <c r="X91" s="31">
        <v>1.1847692320467877</v>
      </c>
      <c r="Y91" s="31"/>
      <c r="Z91" s="31">
        <v>4.9765654363175498E-5</v>
      </c>
      <c r="AA91" s="31">
        <v>2.1293732386251261</v>
      </c>
      <c r="AB91" s="31">
        <v>0.32196409094839912</v>
      </c>
      <c r="AC91" s="31">
        <v>0.47851958102311382</v>
      </c>
      <c r="AD91" s="31">
        <v>0.44687611030647545</v>
      </c>
      <c r="AE91" s="31">
        <v>0.71035831886978251</v>
      </c>
      <c r="AF91" s="31">
        <v>0.3314809422645949</v>
      </c>
      <c r="AG91" s="31">
        <v>1.3595060434069139</v>
      </c>
      <c r="AH91" s="31">
        <v>4.8990221531061602</v>
      </c>
      <c r="AI91" s="31">
        <v>36.979798514906193</v>
      </c>
      <c r="AJ91" s="31">
        <v>24.179586949269694</v>
      </c>
      <c r="AK91" s="31">
        <v>3.8494766021324032</v>
      </c>
      <c r="AL91" s="31">
        <v>1.5917169604069292</v>
      </c>
      <c r="AM91" s="31">
        <v>62.120453107231519</v>
      </c>
      <c r="AN91" s="31">
        <v>19.552976184368024</v>
      </c>
      <c r="AO91" s="31">
        <v>10.366517707876886</v>
      </c>
      <c r="AP91" s="31">
        <v>19.086241255860969</v>
      </c>
      <c r="AQ91" s="31">
        <v>14.501866492911256</v>
      </c>
      <c r="AR91" s="31">
        <v>17.164436511546572</v>
      </c>
      <c r="AS91" s="31">
        <v>4.4761747703630501</v>
      </c>
      <c r="AT91" s="31">
        <v>10.815137773489536</v>
      </c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>
        <v>3.6140170315275819</v>
      </c>
      <c r="DA91" s="31">
        <v>5.5573174042433822</v>
      </c>
      <c r="DB91" s="31">
        <v>7.623071652367571</v>
      </c>
      <c r="DC91" s="31">
        <v>11.52774222654987</v>
      </c>
      <c r="DD91" s="31">
        <v>9.3988622163685598</v>
      </c>
      <c r="DE91" s="31">
        <v>1.2356216290318314</v>
      </c>
      <c r="DF91" s="31">
        <v>1.7129027681006403</v>
      </c>
      <c r="DG91" s="31">
        <v>4.0674404949219047</v>
      </c>
      <c r="DH91" s="31">
        <v>5.1302907621589151</v>
      </c>
      <c r="DI91" s="31">
        <v>11.768248779393508</v>
      </c>
      <c r="DJ91" s="31">
        <v>0.40652560741422128</v>
      </c>
      <c r="DK91" s="31">
        <v>1.8907826513491077</v>
      </c>
      <c r="DL91" s="31">
        <v>5.6548684257114372</v>
      </c>
      <c r="DM91" s="31">
        <v>15.554279190969963</v>
      </c>
      <c r="DN91" s="31">
        <v>189.39026185936012</v>
      </c>
      <c r="DO91" s="31">
        <v>13.334206018568009</v>
      </c>
      <c r="DP91" s="31"/>
      <c r="DQ91" s="31"/>
      <c r="DR91" s="31"/>
      <c r="DS91" s="31"/>
      <c r="DT91" s="31">
        <v>45.941062462366673</v>
      </c>
      <c r="DU91" s="31">
        <v>584.08160120190234</v>
      </c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</row>
    <row r="92" spans="1:212" x14ac:dyDescent="0.35">
      <c r="A92" s="32" t="s">
        <v>203</v>
      </c>
      <c r="B92" s="31">
        <v>0.12451257880426259</v>
      </c>
      <c r="C92" s="31">
        <v>8.3907615592958576E-2</v>
      </c>
      <c r="D92" s="31">
        <v>3.5030500099157237E-2</v>
      </c>
      <c r="E92" s="31">
        <v>0.30083610074309541</v>
      </c>
      <c r="F92" s="31">
        <v>0.78228663437500323</v>
      </c>
      <c r="G92" s="31">
        <v>1.2259993466845001</v>
      </c>
      <c r="H92" s="31">
        <v>1.2275232672774143</v>
      </c>
      <c r="I92" s="31">
        <v>5.1679002858100405E-2</v>
      </c>
      <c r="J92" s="31">
        <v>3.2428728821560615E-2</v>
      </c>
      <c r="K92" s="31">
        <v>7.0031643249427941E-2</v>
      </c>
      <c r="L92" s="31">
        <v>0.12128301180574341</v>
      </c>
      <c r="M92" s="31">
        <v>0.35465915768317946</v>
      </c>
      <c r="N92" s="31">
        <v>0.1639486544408153</v>
      </c>
      <c r="O92" s="31">
        <v>3.4055667007858359</v>
      </c>
      <c r="P92" s="31">
        <v>3.9221108018109366E-3</v>
      </c>
      <c r="Q92" s="31">
        <v>2.8372841937208599E-3</v>
      </c>
      <c r="R92" s="31">
        <v>0.64171253885919788</v>
      </c>
      <c r="S92" s="31">
        <v>0.8284987370529856</v>
      </c>
      <c r="T92" s="31">
        <v>1.6722674636475201</v>
      </c>
      <c r="U92" s="31">
        <v>6.2254773917494912</v>
      </c>
      <c r="V92" s="31">
        <v>0.10065889095140072</v>
      </c>
      <c r="W92" s="31">
        <v>0.79662250036775673</v>
      </c>
      <c r="X92" s="31">
        <v>2.5063969342472818</v>
      </c>
      <c r="Y92" s="31">
        <v>2.2714737191833478E-3</v>
      </c>
      <c r="Z92" s="31">
        <v>1.2077490001969862E-5</v>
      </c>
      <c r="AA92" s="31">
        <v>9.3469064097500354</v>
      </c>
      <c r="AB92" s="31">
        <v>1.5517301610369667</v>
      </c>
      <c r="AC92" s="31">
        <v>2.4662492717157609</v>
      </c>
      <c r="AD92" s="31">
        <v>0.5876719691498592</v>
      </c>
      <c r="AE92" s="31">
        <v>5.3152364110984998</v>
      </c>
      <c r="AF92" s="31">
        <v>1.8976067004907673</v>
      </c>
      <c r="AG92" s="31">
        <v>1.6393416959663885</v>
      </c>
      <c r="AH92" s="31">
        <v>14.720406798876793</v>
      </c>
      <c r="AI92" s="31">
        <v>83.353150125695947</v>
      </c>
      <c r="AJ92" s="31">
        <v>60.447817339211682</v>
      </c>
      <c r="AK92" s="31">
        <v>13.57188209746124</v>
      </c>
      <c r="AL92" s="31">
        <v>8.6689711875809632</v>
      </c>
      <c r="AM92" s="31">
        <v>12.444097674076787</v>
      </c>
      <c r="AN92" s="31">
        <v>515.74361793564913</v>
      </c>
      <c r="AO92" s="31">
        <v>5.4617745187761546</v>
      </c>
      <c r="AP92" s="31">
        <v>18.956641820216397</v>
      </c>
      <c r="AQ92" s="31">
        <v>28.021460627805467</v>
      </c>
      <c r="AR92" s="31">
        <v>13.429201266036921</v>
      </c>
      <c r="AS92" s="31">
        <v>2.7186862365858562</v>
      </c>
      <c r="AT92" s="31">
        <v>3.1986745596881536</v>
      </c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>
        <v>0.60534969709149333</v>
      </c>
      <c r="DA92" s="31">
        <v>2.1048862287559986</v>
      </c>
      <c r="DB92" s="31">
        <v>5.6977951396943993</v>
      </c>
      <c r="DC92" s="31">
        <v>8.4779419369260509</v>
      </c>
      <c r="DD92" s="31">
        <v>18.339894513459885</v>
      </c>
      <c r="DE92" s="31">
        <v>0.30163706467123824</v>
      </c>
      <c r="DF92" s="31">
        <v>1.1625594204903575</v>
      </c>
      <c r="DG92" s="31">
        <v>2.8404837609845042</v>
      </c>
      <c r="DH92" s="31">
        <v>5.1954084467095232</v>
      </c>
      <c r="DI92" s="31">
        <v>16.123057273764566</v>
      </c>
      <c r="DJ92" s="31">
        <v>0.17555383132125715</v>
      </c>
      <c r="DK92" s="31">
        <v>0.86668934718867752</v>
      </c>
      <c r="DL92" s="31">
        <v>5.0341526368796456</v>
      </c>
      <c r="DM92" s="31">
        <v>17.01405842956418</v>
      </c>
      <c r="DN92" s="31">
        <v>273.23352237377162</v>
      </c>
      <c r="DO92" s="31">
        <v>8.0743251180205267</v>
      </c>
      <c r="DP92" s="31"/>
      <c r="DQ92" s="31"/>
      <c r="DR92" s="31"/>
      <c r="DS92" s="31"/>
      <c r="DT92" s="31">
        <v>60.877869562361347</v>
      </c>
      <c r="DU92" s="31">
        <v>1250.4266799348266</v>
      </c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</row>
    <row r="93" spans="1:212" x14ac:dyDescent="0.35">
      <c r="A93" s="32" t="s">
        <v>204</v>
      </c>
      <c r="B93" s="31">
        <v>3.7414900033894784E-2</v>
      </c>
      <c r="C93" s="31">
        <v>3.0191110258015855E-2</v>
      </c>
      <c r="D93" s="31">
        <v>1.494171861931887E-2</v>
      </c>
      <c r="E93" s="31">
        <v>8.2366025184236386E-2</v>
      </c>
      <c r="F93" s="31">
        <v>0.33667118059641221</v>
      </c>
      <c r="G93" s="31">
        <v>2.0471365001464591E-2</v>
      </c>
      <c r="H93" s="31">
        <v>0.16182190010402578</v>
      </c>
      <c r="I93" s="31">
        <v>1.5862096323664199E-2</v>
      </c>
      <c r="J93" s="31"/>
      <c r="K93" s="31"/>
      <c r="L93" s="31">
        <v>3.8252896240823328E-2</v>
      </c>
      <c r="M93" s="31">
        <v>0.18547535100450499</v>
      </c>
      <c r="N93" s="31">
        <v>0.48660866331845348</v>
      </c>
      <c r="O93" s="31">
        <v>0.37992583735227159</v>
      </c>
      <c r="P93" s="31">
        <v>8.3716130685648274E-2</v>
      </c>
      <c r="Q93" s="31">
        <v>2.4657367061192786E-2</v>
      </c>
      <c r="R93" s="31">
        <v>7.3684326633367381E-2</v>
      </c>
      <c r="S93" s="31">
        <v>6.5448777391995797E-2</v>
      </c>
      <c r="T93" s="31">
        <v>0.57588737752980435</v>
      </c>
      <c r="U93" s="31">
        <v>3.9174436315614503</v>
      </c>
      <c r="V93" s="31">
        <v>0.11212596871128155</v>
      </c>
      <c r="W93" s="31">
        <v>3.2991536531518975</v>
      </c>
      <c r="X93" s="31">
        <v>0.99631076091190696</v>
      </c>
      <c r="Y93" s="31"/>
      <c r="Z93" s="31"/>
      <c r="AA93" s="31">
        <v>3.0674902394851968</v>
      </c>
      <c r="AB93" s="31">
        <v>0.32309751791540253</v>
      </c>
      <c r="AC93" s="31">
        <v>1.0651230630838673</v>
      </c>
      <c r="AD93" s="31">
        <v>1.4247454886991999</v>
      </c>
      <c r="AE93" s="31">
        <v>1.0731886046180068</v>
      </c>
      <c r="AF93" s="31">
        <v>0.26993950403048356</v>
      </c>
      <c r="AG93" s="31">
        <v>0.98404340530129808</v>
      </c>
      <c r="AH93" s="31">
        <v>5.6118492750346096</v>
      </c>
      <c r="AI93" s="31">
        <v>113.48428722674531</v>
      </c>
      <c r="AJ93" s="31">
        <v>38.422239375193961</v>
      </c>
      <c r="AK93" s="31">
        <v>3.149548932031311</v>
      </c>
      <c r="AL93" s="31">
        <v>4.4749220703521768</v>
      </c>
      <c r="AM93" s="31">
        <v>16.871598860123935</v>
      </c>
      <c r="AN93" s="31">
        <v>45.275928149497481</v>
      </c>
      <c r="AO93" s="31">
        <v>9.1810500699505706</v>
      </c>
      <c r="AP93" s="31">
        <v>15.367643939995574</v>
      </c>
      <c r="AQ93" s="31">
        <v>4.3906385546646503</v>
      </c>
      <c r="AR93" s="31">
        <v>9.2192545347942794</v>
      </c>
      <c r="AS93" s="31">
        <v>1.4583165654969639</v>
      </c>
      <c r="AT93" s="31">
        <v>9.6718287475950486</v>
      </c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>
        <v>18.339456883453128</v>
      </c>
      <c r="DA93" s="31">
        <v>27.400850973533018</v>
      </c>
      <c r="DB93" s="31">
        <v>47.449260555758521</v>
      </c>
      <c r="DC93" s="31">
        <v>40.58801023752924</v>
      </c>
      <c r="DD93" s="31">
        <v>37.489319987883356</v>
      </c>
      <c r="DE93" s="31">
        <v>17.491937572013391</v>
      </c>
      <c r="DF93" s="31">
        <v>6.1512608394697468</v>
      </c>
      <c r="DG93" s="31">
        <v>9.0440864678040924</v>
      </c>
      <c r="DH93" s="31">
        <v>19.695624889910469</v>
      </c>
      <c r="DI93" s="31">
        <v>21.492280134736166</v>
      </c>
      <c r="DJ93" s="31">
        <v>4.3004222677918751</v>
      </c>
      <c r="DK93" s="31">
        <v>13.619965130706799</v>
      </c>
      <c r="DL93" s="31">
        <v>22.363643757657464</v>
      </c>
      <c r="DM93" s="31">
        <v>60.985021342216207</v>
      </c>
      <c r="DN93" s="31">
        <v>355.76980669638965</v>
      </c>
      <c r="DO93" s="31"/>
      <c r="DP93" s="31"/>
      <c r="DQ93" s="31"/>
      <c r="DR93" s="31"/>
      <c r="DS93" s="31"/>
      <c r="DT93" s="31"/>
      <c r="DU93" s="31">
        <v>997.90611289913795</v>
      </c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</row>
    <row r="94" spans="1:212" x14ac:dyDescent="0.35">
      <c r="A94" s="32" t="s">
        <v>205</v>
      </c>
      <c r="B94" s="31">
        <v>0.44868088778051335</v>
      </c>
      <c r="C94" s="31">
        <v>0.36191218927382524</v>
      </c>
      <c r="D94" s="31">
        <v>0.17931890280631863</v>
      </c>
      <c r="E94" s="31">
        <v>0.98526664028702127</v>
      </c>
      <c r="F94" s="31">
        <v>4.0297332564900419</v>
      </c>
      <c r="G94" s="31">
        <v>0.24560408661892594</v>
      </c>
      <c r="H94" s="31">
        <v>1.9334111076099474</v>
      </c>
      <c r="I94" s="31">
        <v>0.1903075886512012</v>
      </c>
      <c r="J94" s="31">
        <v>1.8539012025791108</v>
      </c>
      <c r="K94" s="31">
        <v>3.9265853283559191</v>
      </c>
      <c r="L94" s="31">
        <v>0.65659378114466527</v>
      </c>
      <c r="M94" s="31">
        <v>0.96323037619038165</v>
      </c>
      <c r="N94" s="31">
        <v>0.26412311333182492</v>
      </c>
      <c r="O94" s="31">
        <v>4.6573002505151777</v>
      </c>
      <c r="P94" s="31">
        <v>3.3021639322140986E-2</v>
      </c>
      <c r="Q94" s="31"/>
      <c r="R94" s="31">
        <v>1.5281758955214635</v>
      </c>
      <c r="S94" s="31">
        <v>0.58712402504716477</v>
      </c>
      <c r="T94" s="31">
        <v>0.50889464806899187</v>
      </c>
      <c r="U94" s="31">
        <v>6.9704645979796549</v>
      </c>
      <c r="V94" s="31">
        <v>0.35450329646360745</v>
      </c>
      <c r="W94" s="31">
        <v>1.9821853630108497</v>
      </c>
      <c r="X94" s="31">
        <v>0.69211439955432807</v>
      </c>
      <c r="Y94" s="31"/>
      <c r="Z94" s="31">
        <v>6.6652693087419519E-4</v>
      </c>
      <c r="AA94" s="31">
        <v>6.6835956974043302</v>
      </c>
      <c r="AB94" s="31">
        <v>0.58690776341511475</v>
      </c>
      <c r="AC94" s="31">
        <v>0.4251008656544491</v>
      </c>
      <c r="AD94" s="31">
        <v>0.45586997353109604</v>
      </c>
      <c r="AE94" s="31">
        <v>0.46398109263299642</v>
      </c>
      <c r="AF94" s="31">
        <v>0.78887182912717346</v>
      </c>
      <c r="AG94" s="31">
        <v>1.0214709822480801</v>
      </c>
      <c r="AH94" s="31">
        <v>15.14914480900423</v>
      </c>
      <c r="AI94" s="31">
        <v>10.207597608305747</v>
      </c>
      <c r="AJ94" s="31">
        <v>57.83903613964879</v>
      </c>
      <c r="AK94" s="31">
        <v>1.9506278162020199</v>
      </c>
      <c r="AL94" s="31">
        <v>1.2459412991223968</v>
      </c>
      <c r="AM94" s="31">
        <v>88.495639498789586</v>
      </c>
      <c r="AN94" s="31">
        <v>107.57489312478903</v>
      </c>
      <c r="AO94" s="31">
        <v>4.4613662240769099</v>
      </c>
      <c r="AP94" s="31">
        <v>13.783755569860457</v>
      </c>
      <c r="AQ94" s="31">
        <v>39.378994782199058</v>
      </c>
      <c r="AR94" s="31">
        <v>12.980665388781956</v>
      </c>
      <c r="AS94" s="31">
        <v>7.8070093874890016</v>
      </c>
      <c r="AT94" s="31">
        <v>3.2862664326073028</v>
      </c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>
        <v>0.21166678784312032</v>
      </c>
      <c r="DA94" s="31">
        <v>0.43396725757845367</v>
      </c>
      <c r="DB94" s="31">
        <v>0.61129742719607494</v>
      </c>
      <c r="DC94" s="31">
        <v>1.14298481436427</v>
      </c>
      <c r="DD94" s="31">
        <v>0.93195017947727032</v>
      </c>
      <c r="DE94" s="31">
        <v>5.5707866461660635E-2</v>
      </c>
      <c r="DF94" s="31">
        <v>9.9486992012442016E-2</v>
      </c>
      <c r="DG94" s="31">
        <v>0.24456524400303856</v>
      </c>
      <c r="DH94" s="31">
        <v>0.43621480079039898</v>
      </c>
      <c r="DI94" s="31">
        <v>0.68772123244301719</v>
      </c>
      <c r="DJ94" s="31">
        <v>5.1020154214268885E-2</v>
      </c>
      <c r="DK94" s="31">
        <v>0.16154585611215055</v>
      </c>
      <c r="DL94" s="31">
        <v>0.53207566978857068</v>
      </c>
      <c r="DM94" s="31">
        <v>1.6355904087063899</v>
      </c>
      <c r="DN94" s="31">
        <v>10.652824758525698</v>
      </c>
      <c r="DO94" s="31">
        <v>9.2336161283726401</v>
      </c>
      <c r="DP94" s="31"/>
      <c r="DQ94" s="31"/>
      <c r="DR94" s="31"/>
      <c r="DS94" s="31">
        <v>83.556229198143399</v>
      </c>
      <c r="DT94" s="31">
        <v>68.486241581412045</v>
      </c>
      <c r="DU94" s="31">
        <v>587.10456174586864</v>
      </c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</row>
    <row r="95" spans="1:212" x14ac:dyDescent="0.35">
      <c r="A95" s="32" t="s">
        <v>206</v>
      </c>
      <c r="B95" s="31">
        <v>3.0377999756715506E-2</v>
      </c>
      <c r="C95" s="31">
        <v>3.1103535372792146E-2</v>
      </c>
      <c r="D95" s="31">
        <v>1.0850889332273688E-2</v>
      </c>
      <c r="E95" s="31">
        <v>0.14963146737771227</v>
      </c>
      <c r="F95" s="31">
        <v>0.41412500605792674</v>
      </c>
      <c r="G95" s="31">
        <v>7.1704550004620518E-2</v>
      </c>
      <c r="H95" s="31">
        <v>5.0586743079713503E-2</v>
      </c>
      <c r="I95" s="31">
        <v>1.9244592348826712E-2</v>
      </c>
      <c r="J95" s="31"/>
      <c r="K95" s="31"/>
      <c r="L95" s="31">
        <v>8.040770814902393E-3</v>
      </c>
      <c r="M95" s="31">
        <v>2.1458597838456075E-2</v>
      </c>
      <c r="N95" s="31"/>
      <c r="O95" s="31">
        <v>0.81858192053064793</v>
      </c>
      <c r="P95" s="31">
        <v>4.115592681651333E-3</v>
      </c>
      <c r="Q95" s="31"/>
      <c r="R95" s="31">
        <v>0.19988321765561831</v>
      </c>
      <c r="S95" s="31">
        <v>8.2152557301770707E-2</v>
      </c>
      <c r="T95" s="31">
        <v>6.6965890318405677E-2</v>
      </c>
      <c r="U95" s="31">
        <v>0.51220578930200933</v>
      </c>
      <c r="V95" s="31">
        <v>2.1197865138693786E-4</v>
      </c>
      <c r="W95" s="31">
        <v>3.5233965285713688E-2</v>
      </c>
      <c r="X95" s="31">
        <v>6.4941628648920446E-2</v>
      </c>
      <c r="Y95" s="31"/>
      <c r="Z95" s="31"/>
      <c r="AA95" s="31">
        <v>0.74143320926353118</v>
      </c>
      <c r="AB95" s="31">
        <v>7.8967389143810809E-2</v>
      </c>
      <c r="AC95" s="31">
        <v>6.2470215522405781E-2</v>
      </c>
      <c r="AD95" s="31">
        <v>2.6540366760828941E-2</v>
      </c>
      <c r="AE95" s="31">
        <v>6.7956448962562518E-2</v>
      </c>
      <c r="AF95" s="31">
        <v>7.6456166466766659E-2</v>
      </c>
      <c r="AG95" s="31">
        <v>0.18975714294320953</v>
      </c>
      <c r="AH95" s="31">
        <v>1.9126698203961912</v>
      </c>
      <c r="AI95" s="31">
        <v>5.0204116186418775</v>
      </c>
      <c r="AJ95" s="31">
        <v>3.4587352469410866</v>
      </c>
      <c r="AK95" s="31">
        <v>0.32861435694577906</v>
      </c>
      <c r="AL95" s="31">
        <v>0.18966486466193769</v>
      </c>
      <c r="AM95" s="31">
        <v>14.227597871830671</v>
      </c>
      <c r="AN95" s="31">
        <v>3.7048811443471732</v>
      </c>
      <c r="AO95" s="31">
        <v>0.55694456807304504</v>
      </c>
      <c r="AP95" s="31">
        <v>1.5589624300564782</v>
      </c>
      <c r="AQ95" s="31">
        <v>3.2078083702199196</v>
      </c>
      <c r="AR95" s="31">
        <v>1.1277508417866402</v>
      </c>
      <c r="AS95" s="31">
        <v>0.60651339763743728</v>
      </c>
      <c r="AT95" s="31">
        <v>0.48230755482856413</v>
      </c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>
        <v>801.10797266261261</v>
      </c>
      <c r="DP95" s="31"/>
      <c r="DQ95" s="31"/>
      <c r="DR95" s="31"/>
      <c r="DS95" s="31"/>
      <c r="DT95" s="31"/>
      <c r="DU95" s="31">
        <v>841.32583238040263</v>
      </c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</row>
    <row r="96" spans="1:212" x14ac:dyDescent="0.35">
      <c r="A96" s="32" t="s">
        <v>207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>
        <v>10.621303049133854</v>
      </c>
      <c r="DA96" s="31">
        <v>15.490558642138193</v>
      </c>
      <c r="DB96" s="31">
        <v>22.75893411204553</v>
      </c>
      <c r="DC96" s="31">
        <v>28.880583883494793</v>
      </c>
      <c r="DD96" s="31">
        <v>23.864505076185022</v>
      </c>
      <c r="DE96" s="31">
        <v>2.3195994175628938</v>
      </c>
      <c r="DF96" s="31">
        <v>4.0355709829243143</v>
      </c>
      <c r="DG96" s="31">
        <v>6.6826045205592406</v>
      </c>
      <c r="DH96" s="31">
        <v>9.7610228850799139</v>
      </c>
      <c r="DI96" s="31">
        <v>14.858941538749043</v>
      </c>
      <c r="DJ96" s="31">
        <v>1.5288990994546103</v>
      </c>
      <c r="DK96" s="31">
        <v>4.8021093096556147</v>
      </c>
      <c r="DL96" s="31">
        <v>10.407867353780947</v>
      </c>
      <c r="DM96" s="31">
        <v>28.722460505453501</v>
      </c>
      <c r="DN96" s="31">
        <v>174.4054933404538</v>
      </c>
      <c r="DO96" s="31">
        <v>289.82293527082993</v>
      </c>
      <c r="DP96" s="31"/>
      <c r="DQ96" s="31"/>
      <c r="DR96" s="31"/>
      <c r="DS96" s="31"/>
      <c r="DT96" s="31"/>
      <c r="DU96" s="31">
        <v>648.96338898750116</v>
      </c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  <c r="HA96" s="31"/>
      <c r="HB96" s="31"/>
      <c r="HC96" s="31"/>
      <c r="HD96" s="31"/>
    </row>
    <row r="97" spans="1:212" x14ac:dyDescent="0.35">
      <c r="A97" s="32" t="s">
        <v>208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>
        <v>5.8980398618649224</v>
      </c>
      <c r="DA97" s="31">
        <v>11.713644279346468</v>
      </c>
      <c r="DB97" s="31">
        <v>27.270487508632787</v>
      </c>
      <c r="DC97" s="31">
        <v>14.847493067742274</v>
      </c>
      <c r="DD97" s="31">
        <v>20.825157429349723</v>
      </c>
      <c r="DE97" s="31">
        <v>2.665054632786573</v>
      </c>
      <c r="DF97" s="31">
        <v>0.82988359751852769</v>
      </c>
      <c r="DG97" s="31">
        <v>4.0739576104214725</v>
      </c>
      <c r="DH97" s="31">
        <v>6.8678105703333667</v>
      </c>
      <c r="DI97" s="31">
        <v>4.8314368047733058</v>
      </c>
      <c r="DJ97" s="31">
        <v>1.0857020782389923</v>
      </c>
      <c r="DK97" s="31">
        <v>2.9880273630502439</v>
      </c>
      <c r="DL97" s="31">
        <v>12.280570828792108</v>
      </c>
      <c r="DM97" s="31">
        <v>15.71366801767603</v>
      </c>
      <c r="DN97" s="31">
        <v>97.02605425070395</v>
      </c>
      <c r="DO97" s="31">
        <v>97.292361450599017</v>
      </c>
      <c r="DP97" s="31"/>
      <c r="DQ97" s="31"/>
      <c r="DR97" s="31"/>
      <c r="DS97" s="31"/>
      <c r="DT97" s="31"/>
      <c r="DU97" s="31">
        <v>326.20934935182976</v>
      </c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</row>
    <row r="98" spans="1:212" x14ac:dyDescent="0.35">
      <c r="A98" s="32" t="s">
        <v>209</v>
      </c>
      <c r="B98" s="31">
        <v>6.6925319286194315E-2</v>
      </c>
      <c r="C98" s="31"/>
      <c r="D98" s="31">
        <v>7.6100618529532389E-3</v>
      </c>
      <c r="E98" s="31"/>
      <c r="F98" s="31"/>
      <c r="G98" s="31"/>
      <c r="H98" s="31"/>
      <c r="I98" s="31">
        <v>0.13452077800875462</v>
      </c>
      <c r="J98" s="31"/>
      <c r="K98" s="31"/>
      <c r="L98" s="31">
        <v>0.21418685144342922</v>
      </c>
      <c r="M98" s="31"/>
      <c r="N98" s="31"/>
      <c r="O98" s="31">
        <v>0.36501073912505066</v>
      </c>
      <c r="P98" s="31">
        <v>1.0651282662433991E-3</v>
      </c>
      <c r="Q98" s="31">
        <v>7.2348887553139018E-3</v>
      </c>
      <c r="R98" s="31">
        <v>5.5601039850746298E-2</v>
      </c>
      <c r="S98" s="31">
        <v>2.8373170770331812E-2</v>
      </c>
      <c r="T98" s="31">
        <v>1.9772392020242502E-2</v>
      </c>
      <c r="U98" s="31">
        <v>0.51492713945642621</v>
      </c>
      <c r="V98" s="31">
        <v>1.5669142790782995E-2</v>
      </c>
      <c r="W98" s="31">
        <v>1.7557354381709842E-2</v>
      </c>
      <c r="X98" s="31">
        <v>3.0736508297283145E-2</v>
      </c>
      <c r="Y98" s="31"/>
      <c r="Z98" s="31"/>
      <c r="AA98" s="31">
        <v>0.26465563485693611</v>
      </c>
      <c r="AB98" s="31">
        <v>3.4513675641248374E-2</v>
      </c>
      <c r="AC98" s="31">
        <v>2.721126800999259E-2</v>
      </c>
      <c r="AD98" s="31">
        <v>2.1980815417934042E-2</v>
      </c>
      <c r="AE98" s="31">
        <v>3.1879145780372938E-2</v>
      </c>
      <c r="AF98" s="31">
        <v>4.3520108790204071E-2</v>
      </c>
      <c r="AG98" s="31">
        <v>0.10274999070643159</v>
      </c>
      <c r="AH98" s="31">
        <v>0.65652793756432792</v>
      </c>
      <c r="AI98" s="31">
        <v>2.7014169561281283</v>
      </c>
      <c r="AJ98" s="31">
        <v>6.3435073770552188</v>
      </c>
      <c r="AK98" s="31">
        <v>4.1726467575270441</v>
      </c>
      <c r="AL98" s="31">
        <v>4.9089782205152616E-2</v>
      </c>
      <c r="AM98" s="31">
        <v>4.3494413657912947</v>
      </c>
      <c r="AN98" s="31">
        <v>1.1996109219327835</v>
      </c>
      <c r="AO98" s="31">
        <v>0.17756641030783091</v>
      </c>
      <c r="AP98" s="31">
        <v>0.75603897313328416</v>
      </c>
      <c r="AQ98" s="31">
        <v>20.338435637179916</v>
      </c>
      <c r="AR98" s="31">
        <v>4.7068109755115035</v>
      </c>
      <c r="AS98" s="31">
        <v>1.0115944713886185</v>
      </c>
      <c r="AT98" s="31">
        <v>0.8258445579022724</v>
      </c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>
        <v>3.4654389628200302</v>
      </c>
      <c r="DA98" s="31">
        <v>4.7617512386632619</v>
      </c>
      <c r="DB98" s="31">
        <v>9.8341107087427044</v>
      </c>
      <c r="DC98" s="31">
        <v>12.897281917162118</v>
      </c>
      <c r="DD98" s="31">
        <v>20.171459634476633</v>
      </c>
      <c r="DE98" s="31">
        <v>1.5466605695367426</v>
      </c>
      <c r="DF98" s="31">
        <v>0.79064591596640732</v>
      </c>
      <c r="DG98" s="31">
        <v>1.4006650541147834</v>
      </c>
      <c r="DH98" s="31">
        <v>3.9158395690989516</v>
      </c>
      <c r="DI98" s="31">
        <v>14.192260586609573</v>
      </c>
      <c r="DJ98" s="31">
        <v>0.24246632104032453</v>
      </c>
      <c r="DK98" s="31">
        <v>1.0871578804937791</v>
      </c>
      <c r="DL98" s="31">
        <v>2.2966487503776341</v>
      </c>
      <c r="DM98" s="31">
        <v>8.7854847743375348</v>
      </c>
      <c r="DN98" s="31">
        <v>127.25170849908775</v>
      </c>
      <c r="DO98" s="31">
        <v>9.8220482831817026</v>
      </c>
      <c r="DP98" s="31"/>
      <c r="DQ98" s="31"/>
      <c r="DR98" s="31"/>
      <c r="DS98" s="31"/>
      <c r="DT98" s="31">
        <v>72.324590211352813</v>
      </c>
      <c r="DU98" s="31">
        <v>344.08045215419872</v>
      </c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</row>
    <row r="99" spans="1:212" x14ac:dyDescent="0.35">
      <c r="A99" s="32" t="s">
        <v>102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>
        <v>28.67050712840139</v>
      </c>
      <c r="AV99" s="31">
        <v>13.828210963527598</v>
      </c>
      <c r="AW99" s="31">
        <v>4.6910444073388078</v>
      </c>
      <c r="AX99" s="31">
        <v>26.455287947123963</v>
      </c>
      <c r="AY99" s="31">
        <v>43.433532827919677</v>
      </c>
      <c r="AZ99" s="31">
        <v>11.824100417889825</v>
      </c>
      <c r="BA99" s="31">
        <v>10.167913960387942</v>
      </c>
      <c r="BB99" s="31">
        <v>12.700286046847189</v>
      </c>
      <c r="BC99" s="31">
        <v>22.264264929014434</v>
      </c>
      <c r="BD99" s="31">
        <v>14.809830248784939</v>
      </c>
      <c r="BE99" s="31">
        <v>22.172671001236324</v>
      </c>
      <c r="BF99" s="31">
        <v>11.066414427103259</v>
      </c>
      <c r="BG99" s="31">
        <v>0.58594424883055152</v>
      </c>
      <c r="BH99" s="31">
        <v>12.933338620532693</v>
      </c>
      <c r="BI99" s="31">
        <v>104.33501940630897</v>
      </c>
      <c r="BJ99" s="31">
        <v>2.7691481002288656</v>
      </c>
      <c r="BK99" s="31">
        <v>2.7144468607626742</v>
      </c>
      <c r="BL99" s="31">
        <v>20.551629187992155</v>
      </c>
      <c r="BM99" s="31">
        <v>27.332810380315088</v>
      </c>
      <c r="BN99" s="31">
        <v>41.284799993479453</v>
      </c>
      <c r="BO99" s="31">
        <v>124.38209067844214</v>
      </c>
      <c r="BP99" s="31">
        <v>19.339262518332607</v>
      </c>
      <c r="BQ99" s="31">
        <v>51.699873891801985</v>
      </c>
      <c r="BR99" s="31">
        <v>23.920550882162544</v>
      </c>
      <c r="BS99" s="31">
        <v>93.244765631795744</v>
      </c>
      <c r="BT99" s="31">
        <v>11.509627050103742</v>
      </c>
      <c r="BU99" s="31">
        <v>82.077456061344094</v>
      </c>
      <c r="BV99" s="31">
        <v>41.172419380179171</v>
      </c>
      <c r="BW99" s="31">
        <v>26.599536205929589</v>
      </c>
      <c r="BX99" s="31">
        <v>132.67134601032336</v>
      </c>
      <c r="BY99" s="31">
        <v>35.518817106203514</v>
      </c>
      <c r="BZ99" s="31"/>
      <c r="CA99" s="31"/>
      <c r="CB99" s="31"/>
      <c r="CC99" s="31"/>
      <c r="CD99" s="31"/>
      <c r="CE99" s="31"/>
      <c r="CF99" s="31"/>
      <c r="CG99" s="31">
        <v>13.01976834363202</v>
      </c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>
        <v>1089.7467148642761</v>
      </c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</row>
    <row r="100" spans="1:212" x14ac:dyDescent="0.35">
      <c r="A100" s="32" t="s">
        <v>552</v>
      </c>
      <c r="B100" s="31">
        <v>22.742775351584918</v>
      </c>
      <c r="C100" s="31">
        <v>12.094311910932396</v>
      </c>
      <c r="D100" s="31">
        <v>4.6124553548733473</v>
      </c>
      <c r="E100" s="31">
        <v>17.178769899429149</v>
      </c>
      <c r="F100" s="31">
        <v>6.3885511606910175</v>
      </c>
      <c r="G100" s="31">
        <v>27.381434585958544</v>
      </c>
      <c r="H100" s="31">
        <v>4.7758077447810718</v>
      </c>
      <c r="I100" s="31">
        <v>14.588847472164836</v>
      </c>
      <c r="J100" s="31">
        <v>50.67708338350625</v>
      </c>
      <c r="K100" s="31">
        <v>25.684943603609764</v>
      </c>
      <c r="L100" s="31">
        <v>20.702781662661504</v>
      </c>
      <c r="M100" s="31">
        <v>3.3488722960313351</v>
      </c>
      <c r="N100" s="31"/>
      <c r="O100" s="31">
        <v>15.389633729053038</v>
      </c>
      <c r="P100" s="31">
        <v>0.58155020985700445</v>
      </c>
      <c r="Q100" s="31">
        <v>2.9897225956186664E-2</v>
      </c>
      <c r="R100" s="31">
        <v>2.4531237042336913E-2</v>
      </c>
      <c r="S100" s="31">
        <v>6.053345220637147</v>
      </c>
      <c r="T100" s="31">
        <v>0.3095483493027783</v>
      </c>
      <c r="U100" s="31">
        <v>0.42735024367082186</v>
      </c>
      <c r="V100" s="31">
        <v>9.6767874461352911E-3</v>
      </c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>
        <v>6.9291168533375735</v>
      </c>
      <c r="AJ100" s="31"/>
      <c r="AK100" s="31">
        <v>0.57429141790873839</v>
      </c>
      <c r="AL100" s="31">
        <v>0.76184538821794212</v>
      </c>
      <c r="AM100" s="31"/>
      <c r="AN100" s="31"/>
      <c r="AO100" s="31"/>
      <c r="AP100" s="31"/>
      <c r="AQ100" s="31">
        <v>2.080602984762534</v>
      </c>
      <c r="AR100" s="31"/>
      <c r="AS100" s="31"/>
      <c r="AT100" s="31">
        <v>1.9452626935295121</v>
      </c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>
        <v>245.29328676694584</v>
      </c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</row>
    <row r="101" spans="1:212" x14ac:dyDescent="0.35">
      <c r="A101" s="32" t="s">
        <v>553</v>
      </c>
      <c r="B101" s="31">
        <v>65.95916512713616</v>
      </c>
      <c r="C101" s="31">
        <v>29.549296771656337</v>
      </c>
      <c r="D101" s="31">
        <v>11.269331660279672</v>
      </c>
      <c r="E101" s="31">
        <v>65.377229762937731</v>
      </c>
      <c r="F101" s="31">
        <v>83.091042607787912</v>
      </c>
      <c r="G101" s="31">
        <v>66.083803858895678</v>
      </c>
      <c r="H101" s="31">
        <v>17.956808142208303</v>
      </c>
      <c r="I101" s="31">
        <v>70.280264139014079</v>
      </c>
      <c r="J101" s="31">
        <v>51.242106321918477</v>
      </c>
      <c r="K101" s="31">
        <v>39.817418167498978</v>
      </c>
      <c r="L101" s="31">
        <v>43.636272015304648</v>
      </c>
      <c r="M101" s="31">
        <v>27.942076338441371</v>
      </c>
      <c r="N101" s="31"/>
      <c r="O101" s="31">
        <v>2.1563076237133583</v>
      </c>
      <c r="P101" s="31">
        <v>8.1483495524615313E-2</v>
      </c>
      <c r="Q101" s="31">
        <v>0.85394887779811635</v>
      </c>
      <c r="R101" s="31">
        <v>0.700681139246911</v>
      </c>
      <c r="S101" s="31">
        <v>0.84816017574135438</v>
      </c>
      <c r="T101" s="31">
        <v>1.4185628267249986</v>
      </c>
      <c r="U101" s="31">
        <v>6.5760220948073975</v>
      </c>
      <c r="V101" s="31">
        <v>0.78584431059357795</v>
      </c>
      <c r="W101" s="31">
        <v>10.882297702138668</v>
      </c>
      <c r="X101" s="31">
        <v>1.467933610864993</v>
      </c>
      <c r="Y101" s="31">
        <v>0.12544074364320462</v>
      </c>
      <c r="Z101" s="31">
        <v>6.4155228044519036E-2</v>
      </c>
      <c r="AA101" s="31">
        <v>3.4122400784175615</v>
      </c>
      <c r="AB101" s="31">
        <v>3.6581256885577269</v>
      </c>
      <c r="AC101" s="31">
        <v>1.2378810626475607</v>
      </c>
      <c r="AD101" s="31">
        <v>0.8011675380851806</v>
      </c>
      <c r="AE101" s="31">
        <v>2.5259709309250127</v>
      </c>
      <c r="AF101" s="31">
        <v>0.87293152987313849</v>
      </c>
      <c r="AG101" s="31">
        <v>0.3256729280578452</v>
      </c>
      <c r="AH101" s="31">
        <v>175.96929126870143</v>
      </c>
      <c r="AI101" s="31">
        <v>95.248837879247574</v>
      </c>
      <c r="AJ101" s="31">
        <v>45.463633511320168</v>
      </c>
      <c r="AK101" s="31">
        <v>6.4466847554094162</v>
      </c>
      <c r="AL101" s="31">
        <v>7.8507566497553816</v>
      </c>
      <c r="AM101" s="31">
        <v>16.700923377547682</v>
      </c>
      <c r="AN101" s="31">
        <v>2.9248238497028467</v>
      </c>
      <c r="AO101" s="31">
        <v>3.4718473431459418</v>
      </c>
      <c r="AP101" s="31">
        <v>2.7758151026042528</v>
      </c>
      <c r="AQ101" s="31">
        <v>71.235561725544216</v>
      </c>
      <c r="AR101" s="31">
        <v>8.0625218584310652</v>
      </c>
      <c r="AS101" s="31">
        <v>2.7445632480649831</v>
      </c>
      <c r="AT101" s="31">
        <v>30.003617624823377</v>
      </c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>
        <v>1079.8985206927832</v>
      </c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</row>
    <row r="102" spans="1:212" x14ac:dyDescent="0.35">
      <c r="A102" s="32" t="s">
        <v>554</v>
      </c>
      <c r="B102" s="31">
        <v>40.788929823781992</v>
      </c>
      <c r="C102" s="31">
        <v>9.9165248934966321</v>
      </c>
      <c r="D102" s="31">
        <v>3.7819041449888617</v>
      </c>
      <c r="E102" s="31">
        <v>27.162657207130209</v>
      </c>
      <c r="F102" s="31">
        <v>25.163514442690307</v>
      </c>
      <c r="G102" s="31">
        <v>32.98759584437957</v>
      </c>
      <c r="H102" s="31">
        <v>21.106378368605863</v>
      </c>
      <c r="I102" s="31">
        <v>30.68927773954686</v>
      </c>
      <c r="J102" s="31">
        <v>14.847125460627279</v>
      </c>
      <c r="K102" s="31">
        <v>19.444191601298652</v>
      </c>
      <c r="L102" s="31">
        <v>20.850573196418786</v>
      </c>
      <c r="M102" s="31"/>
      <c r="N102" s="31"/>
      <c r="O102" s="31">
        <v>1.1933709125667844</v>
      </c>
      <c r="P102" s="31">
        <v>4.5095621952996434E-2</v>
      </c>
      <c r="Q102" s="31">
        <v>3.4642199172985531</v>
      </c>
      <c r="R102" s="31">
        <v>2.8424576943216455</v>
      </c>
      <c r="S102" s="31">
        <v>0.46939948261380998</v>
      </c>
      <c r="T102" s="31">
        <v>3.9562592192556325</v>
      </c>
      <c r="U102" s="31">
        <v>15.659364593631217</v>
      </c>
      <c r="V102" s="31">
        <v>1.4752842145630214</v>
      </c>
      <c r="W102" s="31">
        <v>7.1058321862172509</v>
      </c>
      <c r="X102" s="31">
        <v>4.7815622604589603</v>
      </c>
      <c r="Y102" s="31">
        <v>0.1494191694788613</v>
      </c>
      <c r="Z102" s="31">
        <v>7.6418718621477824E-2</v>
      </c>
      <c r="AA102" s="31">
        <v>4.0645014033863829</v>
      </c>
      <c r="AB102" s="31">
        <v>4.3573888862479926</v>
      </c>
      <c r="AC102" s="31">
        <v>1.8624813720482869</v>
      </c>
      <c r="AD102" s="31">
        <v>1.20541436540117</v>
      </c>
      <c r="AE102" s="31">
        <v>2.0335001735306997</v>
      </c>
      <c r="AF102" s="31">
        <v>4.8720645233843394</v>
      </c>
      <c r="AG102" s="31">
        <v>1.787175342686631</v>
      </c>
      <c r="AH102" s="31">
        <v>91.594238631213273</v>
      </c>
      <c r="AI102" s="31">
        <v>108.65223336306346</v>
      </c>
      <c r="AJ102" s="31">
        <v>116.80197382523468</v>
      </c>
      <c r="AK102" s="31">
        <v>8.5078159501348107</v>
      </c>
      <c r="AL102" s="31">
        <v>10.102894617450819</v>
      </c>
      <c r="AM102" s="31">
        <v>43.669841277947739</v>
      </c>
      <c r="AN102" s="31">
        <v>20.371262799499828</v>
      </c>
      <c r="AO102" s="31">
        <v>13.006433071184015</v>
      </c>
      <c r="AP102" s="31">
        <v>16.600686973735964</v>
      </c>
      <c r="AQ102" s="31">
        <v>182.08416307185684</v>
      </c>
      <c r="AR102" s="31">
        <v>92.846635493999969</v>
      </c>
      <c r="AS102" s="31">
        <v>32.543635565101937</v>
      </c>
      <c r="AT102" s="31">
        <v>33.712792973051485</v>
      </c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>
        <v>1078.6344903941056</v>
      </c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</row>
    <row r="103" spans="1:212" x14ac:dyDescent="0.35">
      <c r="A103" s="32" t="s">
        <v>555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>
        <v>34.503970625617875</v>
      </c>
      <c r="O103" s="31">
        <v>8.9061771632189046</v>
      </c>
      <c r="P103" s="31">
        <v>0.33655051767189237</v>
      </c>
      <c r="Q103" s="31">
        <v>0.85016553722898069</v>
      </c>
      <c r="R103" s="31">
        <v>0.6975768370467883</v>
      </c>
      <c r="S103" s="31">
        <v>3.5031480225121783</v>
      </c>
      <c r="T103" s="31">
        <v>6.5737219871383408</v>
      </c>
      <c r="U103" s="31">
        <v>38.880109394350896</v>
      </c>
      <c r="V103" s="31">
        <v>3.600238358620071</v>
      </c>
      <c r="W103" s="31">
        <v>3.620056166974619</v>
      </c>
      <c r="X103" s="31">
        <v>7.726152657494433</v>
      </c>
      <c r="Y103" s="31">
        <v>0.55118745730868168</v>
      </c>
      <c r="Z103" s="31">
        <v>0.28189849638883802</v>
      </c>
      <c r="AA103" s="31">
        <v>14.993405475172647</v>
      </c>
      <c r="AB103" s="31">
        <v>16.073828472563683</v>
      </c>
      <c r="AC103" s="31">
        <v>6.6132377333957528</v>
      </c>
      <c r="AD103" s="31">
        <v>4.2801457696628376</v>
      </c>
      <c r="AE103" s="31">
        <v>4.96676201845598</v>
      </c>
      <c r="AF103" s="31">
        <v>26.64218314558352</v>
      </c>
      <c r="AG103" s="31">
        <v>9.9379870566672537</v>
      </c>
      <c r="AH103" s="31">
        <v>103.57695067911742</v>
      </c>
      <c r="AI103" s="31">
        <v>93.525601054407346</v>
      </c>
      <c r="AJ103" s="31">
        <v>95.709174805722043</v>
      </c>
      <c r="AK103" s="31">
        <v>4.0873176820989441</v>
      </c>
      <c r="AL103" s="31">
        <v>4.9190177543885163</v>
      </c>
      <c r="AM103" s="31">
        <v>39.463886744619238</v>
      </c>
      <c r="AN103" s="31">
        <v>123.83767600066695</v>
      </c>
      <c r="AO103" s="31">
        <v>68.425099766343351</v>
      </c>
      <c r="AP103" s="31">
        <v>98.313887790647158</v>
      </c>
      <c r="AQ103" s="31">
        <v>147.57716055013995</v>
      </c>
      <c r="AR103" s="31">
        <v>282.26904721117137</v>
      </c>
      <c r="AS103" s="31">
        <v>115.47776630506833</v>
      </c>
      <c r="AT103" s="31">
        <v>56.902372772555573</v>
      </c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>
        <v>1427.6234620100204</v>
      </c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</row>
    <row r="104" spans="1:212" x14ac:dyDescent="0.35">
      <c r="A104" s="32" t="s">
        <v>216</v>
      </c>
      <c r="B104" s="31">
        <v>111.33689735185277</v>
      </c>
      <c r="C104" s="31">
        <v>36.645348712696908</v>
      </c>
      <c r="D104" s="31">
        <v>12.824960209313581</v>
      </c>
      <c r="E104" s="31">
        <v>75.02763290752975</v>
      </c>
      <c r="F104" s="31">
        <v>69.102291775959571</v>
      </c>
      <c r="G104" s="31">
        <v>48.683171700109114</v>
      </c>
      <c r="H104" s="31">
        <v>25.628924718924367</v>
      </c>
      <c r="I104" s="31">
        <v>41.989069448730923</v>
      </c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>
        <v>421.238296825117</v>
      </c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</row>
    <row r="105" spans="1:212" x14ac:dyDescent="0.35">
      <c r="A105" s="32" t="s">
        <v>557</v>
      </c>
      <c r="B105" s="31">
        <v>107.76805193208976</v>
      </c>
      <c r="C105" s="31">
        <v>36.115136174321506</v>
      </c>
      <c r="D105" s="31">
        <v>12.792738474008317</v>
      </c>
      <c r="E105" s="31">
        <v>73.938576528798876</v>
      </c>
      <c r="F105" s="31">
        <v>68.09825509506706</v>
      </c>
      <c r="G105" s="31">
        <v>48.260936773646009</v>
      </c>
      <c r="H105" s="31">
        <v>25.396490123402998</v>
      </c>
      <c r="I105" s="31">
        <v>41.692659809727978</v>
      </c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>
        <v>414.06284491106243</v>
      </c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</row>
    <row r="106" spans="1:212" x14ac:dyDescent="0.35">
      <c r="A106" s="32" t="s">
        <v>558</v>
      </c>
      <c r="B106" s="31"/>
      <c r="C106" s="31"/>
      <c r="D106" s="31"/>
      <c r="E106" s="31"/>
      <c r="F106" s="31"/>
      <c r="G106" s="31"/>
      <c r="H106" s="31"/>
      <c r="I106" s="31"/>
      <c r="J106" s="31">
        <v>97.911277658161495</v>
      </c>
      <c r="K106" s="31">
        <v>71.075414143832575</v>
      </c>
      <c r="L106" s="31"/>
      <c r="M106" s="31">
        <v>26.404478678190053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>
        <v>195.39117048018414</v>
      </c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  <c r="GI106" s="31"/>
      <c r="GJ106" s="31"/>
      <c r="GK106" s="31"/>
      <c r="GL106" s="31"/>
      <c r="GM106" s="31"/>
      <c r="GN106" s="31"/>
      <c r="GO106" s="31"/>
      <c r="GP106" s="31"/>
      <c r="GQ106" s="31"/>
      <c r="GR106" s="31"/>
      <c r="GS106" s="31"/>
      <c r="GT106" s="31"/>
      <c r="GU106" s="31"/>
      <c r="GV106" s="31"/>
      <c r="GW106" s="31"/>
      <c r="GX106" s="31"/>
      <c r="GY106" s="31"/>
      <c r="GZ106" s="31"/>
      <c r="HA106" s="31"/>
      <c r="HB106" s="31"/>
      <c r="HC106" s="31"/>
      <c r="HD106" s="31"/>
    </row>
    <row r="107" spans="1:212" x14ac:dyDescent="0.35">
      <c r="A107" s="32" t="s">
        <v>559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>
        <v>113.26398380468156</v>
      </c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>
        <v>113.26398380468156</v>
      </c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</row>
    <row r="108" spans="1:212" x14ac:dyDescent="0.35">
      <c r="A108" s="32" t="s">
        <v>560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>
        <v>71.857608474600895</v>
      </c>
      <c r="M108" s="31"/>
      <c r="N108" s="31"/>
      <c r="O108" s="31">
        <v>75.438803506827284</v>
      </c>
      <c r="P108" s="31">
        <v>2.8404874847899024</v>
      </c>
      <c r="Q108" s="31">
        <v>13.984471191478205</v>
      </c>
      <c r="R108" s="31">
        <v>11.43749170202693</v>
      </c>
      <c r="S108" s="31">
        <v>29.434571443119111</v>
      </c>
      <c r="T108" s="31">
        <v>32.693257579823019</v>
      </c>
      <c r="U108" s="31">
        <v>165.91954236549401</v>
      </c>
      <c r="V108" s="31">
        <v>6.9675043444161258</v>
      </c>
      <c r="W108" s="31">
        <v>57.57830514247523</v>
      </c>
      <c r="X108" s="31">
        <v>38.452947026507545</v>
      </c>
      <c r="Y108" s="31">
        <v>2.2272306180895471</v>
      </c>
      <c r="Z108" s="31">
        <v>1.1385868043879048</v>
      </c>
      <c r="AA108" s="31">
        <v>60.190360312474823</v>
      </c>
      <c r="AB108" s="31">
        <v>2.3926707749835145</v>
      </c>
      <c r="AC108" s="31">
        <v>26.477286435526594</v>
      </c>
      <c r="AD108" s="31">
        <v>16.934316351632809</v>
      </c>
      <c r="AE108" s="31">
        <v>26.230546109542978</v>
      </c>
      <c r="AF108" s="31">
        <v>129.92312633843204</v>
      </c>
      <c r="AG108" s="31">
        <v>47.402687669450202</v>
      </c>
      <c r="AH108" s="31">
        <v>203.95673199936738</v>
      </c>
      <c r="AI108" s="31">
        <v>536.75264602504672</v>
      </c>
      <c r="AJ108" s="31">
        <v>944.802193672253</v>
      </c>
      <c r="AK108" s="31">
        <v>34.680186051445048</v>
      </c>
      <c r="AL108" s="31">
        <v>41.524449461572672</v>
      </c>
      <c r="AM108" s="31">
        <v>152.95357065763122</v>
      </c>
      <c r="AN108" s="31">
        <v>280.20851542259516</v>
      </c>
      <c r="AO108" s="31">
        <v>824.06201589495527</v>
      </c>
      <c r="AP108" s="31">
        <v>205.39933328997381</v>
      </c>
      <c r="AQ108" s="31">
        <v>146.18026251737879</v>
      </c>
      <c r="AR108" s="31">
        <v>47.516168809326906</v>
      </c>
      <c r="AS108" s="31">
        <v>48.634511539111045</v>
      </c>
      <c r="AT108" s="31">
        <v>118.40368664541468</v>
      </c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>
        <v>19.296648442876393</v>
      </c>
      <c r="DU108" s="31">
        <v>4423.8927221050262</v>
      </c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</row>
    <row r="109" spans="1:212" x14ac:dyDescent="0.35">
      <c r="A109" s="32" t="s">
        <v>104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>
        <v>40.730294907360516</v>
      </c>
      <c r="CX109" s="31">
        <v>4351.2507021221563</v>
      </c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>
        <v>319.97967076430263</v>
      </c>
      <c r="DP109" s="31"/>
      <c r="DQ109" s="31"/>
      <c r="DR109" s="31"/>
      <c r="DS109" s="31"/>
      <c r="DT109" s="31">
        <v>252.82274021099099</v>
      </c>
      <c r="DU109" s="31">
        <v>4964.7834080048096</v>
      </c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</row>
    <row r="110" spans="1:212" x14ac:dyDescent="0.35">
      <c r="A110" s="32" t="s">
        <v>217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>
        <v>42.164916963620918</v>
      </c>
      <c r="CQ110" s="31">
        <v>62.88774223847242</v>
      </c>
      <c r="CR110" s="31">
        <v>21.207606145432301</v>
      </c>
      <c r="CS110" s="31">
        <v>1.2456065827009826</v>
      </c>
      <c r="CT110" s="31">
        <v>52.371075910682301</v>
      </c>
      <c r="CU110" s="31">
        <v>38.062174456094766</v>
      </c>
      <c r="CV110" s="31">
        <v>21.927547983430568</v>
      </c>
      <c r="CW110" s="31"/>
      <c r="CX110" s="31"/>
      <c r="CY110" s="31">
        <v>6.1134158099799203</v>
      </c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>
        <v>5.8631709003362289</v>
      </c>
      <c r="DP110" s="31"/>
      <c r="DQ110" s="31"/>
      <c r="DR110" s="31"/>
      <c r="DS110" s="31"/>
      <c r="DT110" s="31">
        <v>0.9006594431984869</v>
      </c>
      <c r="DU110" s="31">
        <v>252.7439164339489</v>
      </c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</row>
    <row r="111" spans="1:212" x14ac:dyDescent="0.35">
      <c r="A111" s="32" t="s">
        <v>218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>
        <v>38.437786466491943</v>
      </c>
      <c r="CQ111" s="31">
        <v>106.91614943230364</v>
      </c>
      <c r="CR111" s="31">
        <v>37.998815950312981</v>
      </c>
      <c r="CS111" s="31">
        <v>5.5747173075622811</v>
      </c>
      <c r="CT111" s="31">
        <v>73.412632196893355</v>
      </c>
      <c r="CU111" s="31">
        <v>62.045746012029255</v>
      </c>
      <c r="CV111" s="31">
        <v>31.987757137616345</v>
      </c>
      <c r="CW111" s="31"/>
      <c r="CX111" s="31"/>
      <c r="CY111" s="31">
        <v>12.90705255466842</v>
      </c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>
        <v>5.4647479137481447</v>
      </c>
      <c r="DP111" s="31"/>
      <c r="DQ111" s="31"/>
      <c r="DR111" s="31"/>
      <c r="DS111" s="31"/>
      <c r="DT111" s="31">
        <v>1.2670920755102524</v>
      </c>
      <c r="DU111" s="31">
        <v>376.01249704713672</v>
      </c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</row>
    <row r="112" spans="1:212" x14ac:dyDescent="0.35">
      <c r="A112" s="32" t="s">
        <v>219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>
        <v>40.96934028288571</v>
      </c>
      <c r="CQ112" s="31">
        <v>130.34603790252308</v>
      </c>
      <c r="CR112" s="31">
        <v>55.429644940943639</v>
      </c>
      <c r="CS112" s="31">
        <v>10.013913043718295</v>
      </c>
      <c r="CT112" s="31">
        <v>93.328241820421994</v>
      </c>
      <c r="CU112" s="31">
        <v>97.932828168759528</v>
      </c>
      <c r="CV112" s="31">
        <v>45.457461854591827</v>
      </c>
      <c r="CW112" s="31"/>
      <c r="CX112" s="31"/>
      <c r="CY112" s="31">
        <v>31.454952927748273</v>
      </c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>
        <v>4.8315626918272203</v>
      </c>
      <c r="DP112" s="31"/>
      <c r="DQ112" s="31"/>
      <c r="DR112" s="31"/>
      <c r="DS112" s="31"/>
      <c r="DT112" s="31">
        <v>3.9064997715302114</v>
      </c>
      <c r="DU112" s="31">
        <v>513.67048340494978</v>
      </c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</row>
    <row r="113" spans="1:212" x14ac:dyDescent="0.35">
      <c r="A113" s="32" t="s">
        <v>220</v>
      </c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>
        <v>41.390170419566594</v>
      </c>
      <c r="CQ113" s="31">
        <v>109.25648207701589</v>
      </c>
      <c r="CR113" s="31">
        <v>84.101189206722466</v>
      </c>
      <c r="CS113" s="31">
        <v>30.837990677706198</v>
      </c>
      <c r="CT113" s="31">
        <v>93.723054803472593</v>
      </c>
      <c r="CU113" s="31">
        <v>95.426909131605782</v>
      </c>
      <c r="CV113" s="31">
        <v>43.030228404834929</v>
      </c>
      <c r="CW113" s="31"/>
      <c r="CX113" s="31"/>
      <c r="CY113" s="31">
        <v>36.750734761450595</v>
      </c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>
        <v>5.3959999268569447</v>
      </c>
      <c r="DP113" s="31"/>
      <c r="DQ113" s="31"/>
      <c r="DR113" s="31"/>
      <c r="DS113" s="31"/>
      <c r="DT113" s="31">
        <v>11.665293888815446</v>
      </c>
      <c r="DU113" s="31">
        <v>551.57805329804739</v>
      </c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</row>
    <row r="114" spans="1:212" x14ac:dyDescent="0.35">
      <c r="A114" s="32" t="s">
        <v>221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>
        <v>23.06297463425588</v>
      </c>
      <c r="CQ114" s="31">
        <v>69.894739051495748</v>
      </c>
      <c r="CR114" s="31">
        <v>89.013219336232069</v>
      </c>
      <c r="CS114" s="31">
        <v>49.324628261675549</v>
      </c>
      <c r="CT114" s="31">
        <v>80.934542100943219</v>
      </c>
      <c r="CU114" s="31">
        <v>88.294813066742222</v>
      </c>
      <c r="CV114" s="31">
        <v>42.489235147109255</v>
      </c>
      <c r="CW114" s="31"/>
      <c r="CX114" s="31"/>
      <c r="CY114" s="31">
        <v>70.268314943031982</v>
      </c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>
        <v>3.1943016797125576</v>
      </c>
      <c r="DP114" s="31"/>
      <c r="DQ114" s="31"/>
      <c r="DR114" s="31"/>
      <c r="DS114" s="31"/>
      <c r="DT114" s="31">
        <v>22.420536230825636</v>
      </c>
      <c r="DU114" s="31">
        <v>538.89730445202406</v>
      </c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</row>
    <row r="115" spans="1:212" x14ac:dyDescent="0.35">
      <c r="A115" s="32" t="s">
        <v>595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>
        <v>11.729798672014166</v>
      </c>
      <c r="CQ115" s="31">
        <v>41.514868582331417</v>
      </c>
      <c r="CR115" s="31">
        <v>8.985063852841245</v>
      </c>
      <c r="CS115" s="31">
        <v>0.8322392650104089</v>
      </c>
      <c r="CT115" s="31"/>
      <c r="CU115" s="31"/>
      <c r="CV115" s="31"/>
      <c r="CW115" s="31"/>
      <c r="CX115" s="31"/>
      <c r="CY115" s="31">
        <v>21.854172242076686</v>
      </c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>
        <v>0.96832986784196851</v>
      </c>
      <c r="DP115" s="31"/>
      <c r="DQ115" s="31"/>
      <c r="DR115" s="31"/>
      <c r="DS115" s="31"/>
      <c r="DT115" s="31">
        <v>5.5241946132059839E-3</v>
      </c>
      <c r="DU115" s="31">
        <v>85.889996676729098</v>
      </c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/>
      <c r="GF115" s="31"/>
      <c r="GG115" s="31"/>
      <c r="GH115" s="31"/>
      <c r="GI115" s="31"/>
      <c r="GJ115" s="31"/>
      <c r="GK115" s="31"/>
      <c r="GL115" s="31"/>
      <c r="GM115" s="31"/>
      <c r="GN115" s="31"/>
      <c r="GO115" s="31"/>
      <c r="GP115" s="31"/>
      <c r="GQ115" s="31"/>
      <c r="GR115" s="31"/>
      <c r="GS115" s="31"/>
      <c r="GT115" s="31"/>
      <c r="GU115" s="31"/>
      <c r="GV115" s="31"/>
      <c r="GW115" s="31"/>
      <c r="GX115" s="31"/>
      <c r="GY115" s="31"/>
      <c r="GZ115" s="31"/>
      <c r="HA115" s="31"/>
      <c r="HB115" s="31"/>
      <c r="HC115" s="31"/>
      <c r="HD115" s="31"/>
    </row>
    <row r="116" spans="1:212" x14ac:dyDescent="0.35">
      <c r="A116" s="32" t="s">
        <v>596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>
        <v>8.3609096053753529</v>
      </c>
      <c r="CQ116" s="31">
        <v>43.607608509225194</v>
      </c>
      <c r="CR116" s="31">
        <v>18.637354628865413</v>
      </c>
      <c r="CS116" s="31">
        <v>3.9633199935166421</v>
      </c>
      <c r="CT116" s="31"/>
      <c r="CU116" s="31"/>
      <c r="CV116" s="31"/>
      <c r="CW116" s="31"/>
      <c r="CX116" s="31"/>
      <c r="CY116" s="31">
        <v>35.49546644618561</v>
      </c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>
        <v>1.8241303814385961</v>
      </c>
      <c r="DP116" s="31"/>
      <c r="DQ116" s="31"/>
      <c r="DR116" s="31"/>
      <c r="DS116" s="31"/>
      <c r="DT116" s="31">
        <v>7.9760769620364977E-2</v>
      </c>
      <c r="DU116" s="31">
        <v>111.96855033422719</v>
      </c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/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</row>
    <row r="117" spans="1:212" x14ac:dyDescent="0.35">
      <c r="A117" s="32" t="s">
        <v>597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>
        <v>4.7383550435470871</v>
      </c>
      <c r="CQ117" s="31">
        <v>41.119718545920236</v>
      </c>
      <c r="CR117" s="31">
        <v>23.508755568561668</v>
      </c>
      <c r="CS117" s="31">
        <v>6.7669343953388879</v>
      </c>
      <c r="CT117" s="31"/>
      <c r="CU117" s="31"/>
      <c r="CV117" s="31"/>
      <c r="CW117" s="31"/>
      <c r="CX117" s="31"/>
      <c r="CY117" s="31">
        <v>67.630651412297865</v>
      </c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>
        <v>2.2311573757364815</v>
      </c>
      <c r="DP117" s="31"/>
      <c r="DQ117" s="31"/>
      <c r="DR117" s="31"/>
      <c r="DS117" s="31"/>
      <c r="DT117" s="31">
        <v>0.49906292312681366</v>
      </c>
      <c r="DU117" s="31">
        <v>146.49463526452905</v>
      </c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/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</row>
    <row r="118" spans="1:212" x14ac:dyDescent="0.35">
      <c r="A118" s="32" t="s">
        <v>598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>
        <v>5.7960022391124477</v>
      </c>
      <c r="CQ118" s="31">
        <v>29.327214260740369</v>
      </c>
      <c r="CR118" s="31">
        <v>36.628478993528283</v>
      </c>
      <c r="CS118" s="31">
        <v>28.679464271677595</v>
      </c>
      <c r="CT118" s="31"/>
      <c r="CU118" s="31"/>
      <c r="CV118" s="31"/>
      <c r="CW118" s="31"/>
      <c r="CX118" s="31"/>
      <c r="CY118" s="31">
        <v>305.43629312979027</v>
      </c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>
        <v>3.0310991400894594</v>
      </c>
      <c r="DP118" s="31"/>
      <c r="DQ118" s="31"/>
      <c r="DR118" s="31"/>
      <c r="DS118" s="31"/>
      <c r="DT118" s="31">
        <v>15.173317178389333</v>
      </c>
      <c r="DU118" s="31">
        <v>424.07186921332772</v>
      </c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</row>
    <row r="119" spans="1:212" x14ac:dyDescent="0.35">
      <c r="A119" s="32" t="s">
        <v>599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>
        <v>4.7887391939317432</v>
      </c>
      <c r="CQ119" s="31">
        <v>35.923005013698983</v>
      </c>
      <c r="CR119" s="31">
        <v>18.521329012948545</v>
      </c>
      <c r="CS119" s="31">
        <v>60.969930219256341</v>
      </c>
      <c r="CT119" s="31"/>
      <c r="CU119" s="31"/>
      <c r="CV119" s="31"/>
      <c r="CW119" s="31"/>
      <c r="CX119" s="31"/>
      <c r="CY119" s="31">
        <v>257.22633980114438</v>
      </c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>
        <v>3.4540037966936059</v>
      </c>
      <c r="DP119" s="31"/>
      <c r="DQ119" s="31"/>
      <c r="DR119" s="31"/>
      <c r="DS119" s="31"/>
      <c r="DT119" s="31">
        <v>30.255848424103373</v>
      </c>
      <c r="DU119" s="31">
        <v>411.13919546177692</v>
      </c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/>
      <c r="GF119" s="31"/>
      <c r="GG119" s="31"/>
      <c r="GH119" s="31"/>
      <c r="GI119" s="31"/>
      <c r="GJ119" s="31"/>
      <c r="GK119" s="31"/>
      <c r="GL119" s="31"/>
      <c r="GM119" s="31"/>
      <c r="GN119" s="31"/>
      <c r="GO119" s="31"/>
      <c r="GP119" s="31"/>
      <c r="GQ119" s="31"/>
      <c r="GR119" s="31"/>
      <c r="GS119" s="31"/>
      <c r="GT119" s="31"/>
      <c r="GU119" s="31"/>
      <c r="GV119" s="31"/>
      <c r="GW119" s="31"/>
      <c r="GX119" s="31"/>
      <c r="GY119" s="31"/>
      <c r="GZ119" s="31"/>
      <c r="HA119" s="31"/>
      <c r="HB119" s="31"/>
      <c r="HC119" s="31"/>
      <c r="HD119" s="31"/>
    </row>
    <row r="120" spans="1:212" x14ac:dyDescent="0.35">
      <c r="A120" s="32" t="s">
        <v>222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>
        <v>2.9069491644391867</v>
      </c>
      <c r="CQ120" s="31">
        <v>19.975422302208127</v>
      </c>
      <c r="CR120" s="31">
        <v>10.71532725763795</v>
      </c>
      <c r="CS120" s="31">
        <v>1.4340978499660935</v>
      </c>
      <c r="CT120" s="31">
        <v>0.48561316220988632</v>
      </c>
      <c r="CU120" s="31">
        <v>0.18444959865860697</v>
      </c>
      <c r="CV120" s="31">
        <v>0.24709255632659347</v>
      </c>
      <c r="CW120" s="31"/>
      <c r="CX120" s="31"/>
      <c r="CY120" s="31">
        <v>5.6416976768271283</v>
      </c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>
        <v>2.4501227775826235</v>
      </c>
      <c r="DP120" s="31"/>
      <c r="DQ120" s="31"/>
      <c r="DR120" s="31"/>
      <c r="DS120" s="31"/>
      <c r="DT120" s="31">
        <v>0.50399872027894665</v>
      </c>
      <c r="DU120" s="31">
        <v>44.544771066135141</v>
      </c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</row>
    <row r="121" spans="1:212" x14ac:dyDescent="0.35">
      <c r="A121" s="32" t="s">
        <v>223</v>
      </c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>
        <v>4.2954077310168737</v>
      </c>
      <c r="CQ121" s="31">
        <v>41.725711218715851</v>
      </c>
      <c r="CR121" s="31">
        <v>29.872620875653936</v>
      </c>
      <c r="CS121" s="31">
        <v>3.7277249062248732</v>
      </c>
      <c r="CT121" s="31">
        <v>2.1302125394762883</v>
      </c>
      <c r="CU121" s="31">
        <v>0.75799525886739971</v>
      </c>
      <c r="CV121" s="31">
        <v>1.0947564865567838</v>
      </c>
      <c r="CW121" s="31"/>
      <c r="CX121" s="31"/>
      <c r="CY121" s="31">
        <v>27.565323607225196</v>
      </c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>
        <v>4.0476545918488682</v>
      </c>
      <c r="DP121" s="31"/>
      <c r="DQ121" s="31"/>
      <c r="DR121" s="31"/>
      <c r="DS121" s="31"/>
      <c r="DT121" s="31">
        <v>0.39629824422851256</v>
      </c>
      <c r="DU121" s="31">
        <v>115.6137054598146</v>
      </c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/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</row>
    <row r="122" spans="1:212" x14ac:dyDescent="0.35">
      <c r="A122" s="32" t="s">
        <v>224</v>
      </c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>
        <v>7.0469398519884345</v>
      </c>
      <c r="CQ122" s="31">
        <v>81.591553519395433</v>
      </c>
      <c r="CR122" s="31">
        <v>64.000829467347288</v>
      </c>
      <c r="CS122" s="31">
        <v>22.603594648523849</v>
      </c>
      <c r="CT122" s="31">
        <v>2.8292407657459533</v>
      </c>
      <c r="CU122" s="31">
        <v>2.2498858922941141</v>
      </c>
      <c r="CV122" s="31">
        <v>1.2521471476847397</v>
      </c>
      <c r="CW122" s="31"/>
      <c r="CX122" s="31"/>
      <c r="CY122" s="31">
        <v>61.362581411815981</v>
      </c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>
        <v>2.7436505167826484</v>
      </c>
      <c r="DP122" s="31"/>
      <c r="DQ122" s="31"/>
      <c r="DR122" s="31"/>
      <c r="DS122" s="31"/>
      <c r="DT122" s="31">
        <v>2.012370921928162</v>
      </c>
      <c r="DU122" s="31">
        <v>247.69279414350663</v>
      </c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</row>
    <row r="123" spans="1:212" x14ac:dyDescent="0.35">
      <c r="A123" s="32" t="s">
        <v>225</v>
      </c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>
        <v>5.64234214806108</v>
      </c>
      <c r="CQ123" s="31">
        <v>120.43028677177666</v>
      </c>
      <c r="CR123" s="31">
        <v>180.06714123510713</v>
      </c>
      <c r="CS123" s="31">
        <v>104.87733359153447</v>
      </c>
      <c r="CT123" s="31">
        <v>5.6954072295452471</v>
      </c>
      <c r="CU123" s="31">
        <v>2.7621129175333126</v>
      </c>
      <c r="CV123" s="31">
        <v>2.8365234828057395</v>
      </c>
      <c r="CW123" s="31"/>
      <c r="CX123" s="31"/>
      <c r="CY123" s="31">
        <v>227.22968879137974</v>
      </c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>
        <v>6.5210382554337425</v>
      </c>
      <c r="DP123" s="31"/>
      <c r="DQ123" s="31"/>
      <c r="DR123" s="31"/>
      <c r="DS123" s="31"/>
      <c r="DT123" s="31">
        <v>3.3579909631261864</v>
      </c>
      <c r="DU123" s="31">
        <v>659.41986538630329</v>
      </c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</row>
    <row r="124" spans="1:212" x14ac:dyDescent="0.35">
      <c r="A124" s="32" t="s">
        <v>226</v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>
        <v>3.9626543506384353</v>
      </c>
      <c r="CQ124" s="31">
        <v>145.38198126696031</v>
      </c>
      <c r="CR124" s="31">
        <v>399.9471139219707</v>
      </c>
      <c r="CS124" s="31">
        <v>1096.7719669956077</v>
      </c>
      <c r="CT124" s="31">
        <v>16.328276295726152</v>
      </c>
      <c r="CU124" s="31">
        <v>26.345930408477507</v>
      </c>
      <c r="CV124" s="31">
        <v>5.0684202792274204</v>
      </c>
      <c r="CW124" s="31"/>
      <c r="CX124" s="31"/>
      <c r="CY124" s="31">
        <v>3047.8314046713945</v>
      </c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>
        <v>22.983281046327907</v>
      </c>
      <c r="DP124" s="31"/>
      <c r="DQ124" s="31"/>
      <c r="DR124" s="31"/>
      <c r="DS124" s="31"/>
      <c r="DT124" s="31">
        <v>205.39928560872224</v>
      </c>
      <c r="DU124" s="31">
        <v>4970.0203148450528</v>
      </c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</row>
    <row r="125" spans="1:212" x14ac:dyDescent="0.35">
      <c r="A125" s="32" t="s">
        <v>106</v>
      </c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>
        <v>26.433255120956286</v>
      </c>
      <c r="CZ125" s="31">
        <v>0.12398684201066786</v>
      </c>
      <c r="DA125" s="31">
        <v>0.50394789418721286</v>
      </c>
      <c r="DB125" s="31">
        <v>0.94557190343484276</v>
      </c>
      <c r="DC125" s="31">
        <v>2.6210323824303843</v>
      </c>
      <c r="DD125" s="31">
        <v>3.9049359067862195</v>
      </c>
      <c r="DE125" s="31">
        <v>5.9422261797545901E-2</v>
      </c>
      <c r="DF125" s="31">
        <v>0.42290073084929286</v>
      </c>
      <c r="DG125" s="31">
        <v>1.2241943272012885</v>
      </c>
      <c r="DH125" s="31">
        <v>4.3981006645467842</v>
      </c>
      <c r="DI125" s="31">
        <v>5.8826548754505348</v>
      </c>
      <c r="DJ125" s="31">
        <v>0.24693185574677659</v>
      </c>
      <c r="DK125" s="31">
        <v>0.17082179905018227</v>
      </c>
      <c r="DL125" s="31">
        <v>1.0447183927700852</v>
      </c>
      <c r="DM125" s="31">
        <v>4.9261351757079046</v>
      </c>
      <c r="DN125" s="31">
        <v>100.40784188816642</v>
      </c>
      <c r="DO125" s="31"/>
      <c r="DP125" s="31">
        <v>686.24807569448353</v>
      </c>
      <c r="DQ125" s="31">
        <v>154.33754979786499</v>
      </c>
      <c r="DR125" s="31">
        <v>712.21170095241223</v>
      </c>
      <c r="DS125" s="31"/>
      <c r="DT125" s="31">
        <v>10.363192965010752</v>
      </c>
      <c r="DU125" s="31">
        <v>1716.4769714308638</v>
      </c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/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</row>
    <row r="126" spans="1:212" x14ac:dyDescent="0.35">
      <c r="A126" s="32" t="s">
        <v>110</v>
      </c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>
        <v>292.15463579961175</v>
      </c>
      <c r="CZ126" s="31">
        <v>0.32769914673787265</v>
      </c>
      <c r="DA126" s="31">
        <v>1.3750139541657742</v>
      </c>
      <c r="DB126" s="31">
        <v>2.6031713532448015</v>
      </c>
      <c r="DC126" s="31">
        <v>7.1893219509156197</v>
      </c>
      <c r="DD126" s="31">
        <v>11.243039581741154</v>
      </c>
      <c r="DE126" s="31">
        <v>0.17005958671786342</v>
      </c>
      <c r="DF126" s="31">
        <v>1.1293504250462645</v>
      </c>
      <c r="DG126" s="31">
        <v>3.289137193117087</v>
      </c>
      <c r="DH126" s="31">
        <v>12.842172045009388</v>
      </c>
      <c r="DI126" s="31">
        <v>16.89134039463011</v>
      </c>
      <c r="DJ126" s="31">
        <v>0.32286727190549652</v>
      </c>
      <c r="DK126" s="31">
        <v>0.93976403949649656</v>
      </c>
      <c r="DL126" s="31">
        <v>2.9147241137345472</v>
      </c>
      <c r="DM126" s="31">
        <v>14.97173827728076</v>
      </c>
      <c r="DN126" s="31">
        <v>317.88404056112847</v>
      </c>
      <c r="DO126" s="31"/>
      <c r="DP126" s="31"/>
      <c r="DQ126" s="31"/>
      <c r="DR126" s="31"/>
      <c r="DS126" s="31"/>
      <c r="DT126" s="31"/>
      <c r="DU126" s="31">
        <v>686.2480756944833</v>
      </c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</row>
    <row r="127" spans="1:212" x14ac:dyDescent="0.35">
      <c r="A127" s="32" t="s">
        <v>116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>
        <v>4.5714199161567972</v>
      </c>
      <c r="AV127" s="31">
        <v>0.17295495534721256</v>
      </c>
      <c r="AW127" s="31">
        <v>7.3465033830516252E-2</v>
      </c>
      <c r="AX127" s="31">
        <v>4.8270217555069659E-4</v>
      </c>
      <c r="AY127" s="31">
        <v>9.3701526197593712E-2</v>
      </c>
      <c r="AZ127" s="31">
        <v>2.3267022313634431E-3</v>
      </c>
      <c r="BA127" s="31">
        <v>5.8839971017757085E-2</v>
      </c>
      <c r="BB127" s="31">
        <v>0.78592200514075417</v>
      </c>
      <c r="BC127" s="31">
        <v>2.0690359153869704E-2</v>
      </c>
      <c r="BD127" s="31"/>
      <c r="BE127" s="31">
        <v>6.5986627063911666E-6</v>
      </c>
      <c r="BF127" s="31">
        <v>6.8354173717277575E-2</v>
      </c>
      <c r="BG127" s="31">
        <v>0.27007753173065946</v>
      </c>
      <c r="BH127" s="31">
        <v>0.22760351441157489</v>
      </c>
      <c r="BI127" s="31">
        <v>6.0485422471422641E-2</v>
      </c>
      <c r="BJ127" s="31">
        <v>0.41499751674153074</v>
      </c>
      <c r="BK127" s="31">
        <v>0.62307632170474492</v>
      </c>
      <c r="BL127" s="31">
        <v>1.1906846248510816</v>
      </c>
      <c r="BM127" s="31">
        <v>0.5944392650308189</v>
      </c>
      <c r="BN127" s="31">
        <v>19.971193420460114</v>
      </c>
      <c r="BO127" s="31">
        <v>5.277277669117705</v>
      </c>
      <c r="BP127" s="31">
        <v>1.3943845006288544</v>
      </c>
      <c r="BQ127" s="31">
        <v>22.737617411057798</v>
      </c>
      <c r="BR127" s="31">
        <v>6.8919866652168658</v>
      </c>
      <c r="BS127" s="31">
        <v>1.6289920319022129</v>
      </c>
      <c r="BT127" s="31"/>
      <c r="BU127" s="31">
        <v>12.33809803349158</v>
      </c>
      <c r="BV127" s="31">
        <v>17.040454231276829</v>
      </c>
      <c r="BW127" s="31">
        <v>10.45494463346342</v>
      </c>
      <c r="BX127" s="31">
        <v>43.542274069758321</v>
      </c>
      <c r="BY127" s="31">
        <v>3.3389930672154589</v>
      </c>
      <c r="BZ127" s="31"/>
      <c r="CA127" s="31"/>
      <c r="CB127" s="31"/>
      <c r="CC127" s="31"/>
      <c r="CD127" s="31"/>
      <c r="CE127" s="31"/>
      <c r="CF127" s="31"/>
      <c r="CG127" s="31">
        <v>0.47044574123851135</v>
      </c>
      <c r="CH127" s="31"/>
      <c r="CI127" s="31"/>
      <c r="CJ127" s="31"/>
      <c r="CK127" s="31"/>
      <c r="CL127" s="31"/>
      <c r="CM127" s="31"/>
      <c r="CN127" s="31">
        <v>2.1360182464012917E-2</v>
      </c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>
        <v>154.33754979786488</v>
      </c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</row>
    <row r="128" spans="1:212" x14ac:dyDescent="0.35">
      <c r="A128" s="32" t="s">
        <v>118</v>
      </c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>
        <v>10.863658965242671</v>
      </c>
      <c r="AZ128" s="31">
        <v>0.1359477295911462</v>
      </c>
      <c r="BA128" s="31">
        <v>2.6141124336099969E-2</v>
      </c>
      <c r="BB128" s="31">
        <v>2.7044524326280719</v>
      </c>
      <c r="BC128" s="31">
        <v>0.62998711032237098</v>
      </c>
      <c r="BD128" s="31"/>
      <c r="BE128" s="31"/>
      <c r="BF128" s="31">
        <v>4.1646506892304718</v>
      </c>
      <c r="BG128" s="31"/>
      <c r="BH128" s="31"/>
      <c r="BI128" s="31">
        <v>34.685857121309553</v>
      </c>
      <c r="BJ128" s="31">
        <v>1.5034522876155221</v>
      </c>
      <c r="BK128" s="31">
        <v>3.1470102633635073</v>
      </c>
      <c r="BL128" s="31">
        <v>9.128957400456466</v>
      </c>
      <c r="BM128" s="31">
        <v>11.670062273552951</v>
      </c>
      <c r="BN128" s="31">
        <v>25.143134077318223</v>
      </c>
      <c r="BO128" s="31">
        <v>129.00822394633366</v>
      </c>
      <c r="BP128" s="31">
        <v>22.690290547118249</v>
      </c>
      <c r="BQ128" s="31">
        <v>24.702521780077994</v>
      </c>
      <c r="BR128" s="31">
        <v>8.7261555595636988</v>
      </c>
      <c r="BS128" s="31">
        <v>193.86414194863062</v>
      </c>
      <c r="BT128" s="31">
        <v>-11.013981399662232</v>
      </c>
      <c r="BU128" s="31">
        <v>20.268384071345587</v>
      </c>
      <c r="BV128" s="31">
        <v>1.092053933177354</v>
      </c>
      <c r="BW128" s="31">
        <v>1.8575174548107287</v>
      </c>
      <c r="BX128" s="31">
        <v>33.202266717249842</v>
      </c>
      <c r="BY128" s="31">
        <v>8.9058219957546836</v>
      </c>
      <c r="BZ128" s="31">
        <v>19.550721955866255</v>
      </c>
      <c r="CA128" s="31"/>
      <c r="CB128" s="31"/>
      <c r="CC128" s="31">
        <v>35.032432463223962</v>
      </c>
      <c r="CD128" s="31">
        <v>10.215453266008746</v>
      </c>
      <c r="CE128" s="31">
        <v>9.5347067441622251</v>
      </c>
      <c r="CF128" s="31">
        <v>13.843503588440891</v>
      </c>
      <c r="CG128" s="31">
        <v>49.42543105181899</v>
      </c>
      <c r="CH128" s="31">
        <v>20.932036719261816</v>
      </c>
      <c r="CI128" s="31"/>
      <c r="CJ128" s="31">
        <v>7.1858981334559884</v>
      </c>
      <c r="CK128" s="31"/>
      <c r="CL128" s="31"/>
      <c r="CM128" s="31"/>
      <c r="CN128" s="31">
        <v>9.3848090008061433</v>
      </c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>
        <v>712.21170095241223</v>
      </c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  <c r="GI128" s="31"/>
      <c r="GJ128" s="31"/>
      <c r="GK128" s="31"/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</row>
    <row r="129" spans="1:212" x14ac:dyDescent="0.35">
      <c r="A129" s="32" t="s">
        <v>120</v>
      </c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>
        <v>431.42742689722502</v>
      </c>
      <c r="CZ129" s="31">
        <v>4.4477864926806552</v>
      </c>
      <c r="DA129" s="31">
        <v>8.3601905636890983</v>
      </c>
      <c r="DB129" s="31">
        <v>19.891768653585103</v>
      </c>
      <c r="DC129" s="31">
        <v>31.749833200302799</v>
      </c>
      <c r="DD129" s="31">
        <v>62.341178797856081</v>
      </c>
      <c r="DE129" s="31">
        <v>0.1402858006620436</v>
      </c>
      <c r="DF129" s="31">
        <v>2.2281855796073451</v>
      </c>
      <c r="DG129" s="31">
        <v>4.7301750453881342</v>
      </c>
      <c r="DH129" s="31">
        <v>42.702477331001937</v>
      </c>
      <c r="DI129" s="31">
        <v>50.791503798114476</v>
      </c>
      <c r="DJ129" s="31">
        <v>0.46343231461907286</v>
      </c>
      <c r="DK129" s="31">
        <v>3.9353097370140087</v>
      </c>
      <c r="DL129" s="31">
        <v>8.4274250561162578</v>
      </c>
      <c r="DM129" s="31">
        <v>60.718009849397802</v>
      </c>
      <c r="DN129" s="31">
        <v>639.07985307525712</v>
      </c>
      <c r="DO129" s="31">
        <v>37.753343977448857</v>
      </c>
      <c r="DP129" s="31"/>
      <c r="DQ129" s="31"/>
      <c r="DR129" s="31"/>
      <c r="DS129" s="31"/>
      <c r="DT129" s="31">
        <v>491.87766053533181</v>
      </c>
      <c r="DU129" s="31">
        <v>1901.0658467052976</v>
      </c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</row>
    <row r="130" spans="1:212" x14ac:dyDescent="0.35">
      <c r="A130" s="32" t="s">
        <v>124</v>
      </c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>
        <v>29.882894401768979</v>
      </c>
      <c r="AV130" s="31">
        <v>5.2864145317356899</v>
      </c>
      <c r="AW130" s="31">
        <v>2.2782764784715681</v>
      </c>
      <c r="AX130" s="31">
        <v>3.1349118833105039E-2</v>
      </c>
      <c r="AY130" s="31">
        <v>2.058580254646122</v>
      </c>
      <c r="AZ130" s="31">
        <v>0.485714642422934</v>
      </c>
      <c r="BA130" s="31">
        <v>6.0485374427471372</v>
      </c>
      <c r="BB130" s="31">
        <v>3.4927466705613952</v>
      </c>
      <c r="BC130" s="31">
        <v>1.7586668618334331</v>
      </c>
      <c r="BD130" s="31"/>
      <c r="BE130" s="31">
        <v>0.14625143030490717</v>
      </c>
      <c r="BF130" s="31">
        <v>1.6717907194634389</v>
      </c>
      <c r="BG130" s="31">
        <v>6.5740472167336952</v>
      </c>
      <c r="BH130" s="31">
        <v>3.6936142179529146</v>
      </c>
      <c r="BI130" s="31">
        <v>0.74720481739959732</v>
      </c>
      <c r="BJ130" s="31">
        <v>2.1510523898421843</v>
      </c>
      <c r="BK130" s="31">
        <v>4.172285015873241</v>
      </c>
      <c r="BL130" s="31">
        <v>42.044515294278227</v>
      </c>
      <c r="BM130" s="31">
        <v>6.7280997289083428</v>
      </c>
      <c r="BN130" s="31">
        <v>24.075917184936049</v>
      </c>
      <c r="BO130" s="31">
        <v>52.465282492239062</v>
      </c>
      <c r="BP130" s="31">
        <v>14.973791120564435</v>
      </c>
      <c r="BQ130" s="31">
        <v>85.982944130087759</v>
      </c>
      <c r="BR130" s="31">
        <v>68.19179630920857</v>
      </c>
      <c r="BS130" s="31">
        <v>215.450718629177</v>
      </c>
      <c r="BT130" s="31">
        <v>66.156452028338009</v>
      </c>
      <c r="BU130" s="31">
        <v>301.03366202426918</v>
      </c>
      <c r="BV130" s="31">
        <v>103.79251866317685</v>
      </c>
      <c r="BW130" s="31">
        <v>204.96878737842178</v>
      </c>
      <c r="BX130" s="31">
        <v>443.53273647657545</v>
      </c>
      <c r="BY130" s="31">
        <v>30.858061603401428</v>
      </c>
      <c r="BZ130" s="31">
        <v>1.7343024393584241</v>
      </c>
      <c r="CA130" s="31"/>
      <c r="CB130" s="31">
        <v>42.279779632426639</v>
      </c>
      <c r="CC130" s="31"/>
      <c r="CD130" s="31">
        <v>123.96031066083148</v>
      </c>
      <c r="CE130" s="31"/>
      <c r="CF130" s="31"/>
      <c r="CG130" s="31">
        <v>10.409338003519995</v>
      </c>
      <c r="CH130" s="31">
        <v>34.215589450187245</v>
      </c>
      <c r="CI130" s="31"/>
      <c r="CJ130" s="31">
        <v>127.99883113841599</v>
      </c>
      <c r="CK130" s="31"/>
      <c r="CL130" s="31"/>
      <c r="CM130" s="31"/>
      <c r="CN130" s="31">
        <v>34.506338896966511</v>
      </c>
      <c r="CO130" s="31"/>
      <c r="CP130" s="31"/>
      <c r="CQ130" s="31"/>
      <c r="CR130" s="31"/>
      <c r="CS130" s="31"/>
      <c r="CT130" s="31"/>
      <c r="CU130" s="31"/>
      <c r="CV130" s="31"/>
      <c r="CW130" s="31">
        <v>72.533688897321042</v>
      </c>
      <c r="CX130" s="31">
        <v>72.642019982870494</v>
      </c>
      <c r="CY130" s="31"/>
      <c r="CZ130" s="31">
        <v>1.5708695039018381E-3</v>
      </c>
      <c r="DA130" s="31">
        <v>1.201222050963771E-3</v>
      </c>
      <c r="DB130" s="31">
        <v>3.7285620617895946E-3</v>
      </c>
      <c r="DC130" s="31">
        <v>1.016394126330634E-2</v>
      </c>
      <c r="DD130" s="31">
        <v>1.739700331175334E-2</v>
      </c>
      <c r="DE130" s="31">
        <v>5.2170338064012296E-6</v>
      </c>
      <c r="DF130" s="31">
        <v>8.3088499088423992E-5</v>
      </c>
      <c r="DG130" s="31">
        <v>5.6658137388822076E-4</v>
      </c>
      <c r="DH130" s="31">
        <v>2.053874199512503E-2</v>
      </c>
      <c r="DI130" s="31">
        <v>3.0834142250692791E-2</v>
      </c>
      <c r="DJ130" s="31">
        <v>3.5190170817631989E-4</v>
      </c>
      <c r="DK130" s="31">
        <v>2.9703428303804786E-4</v>
      </c>
      <c r="DL130" s="31">
        <v>1.4836148588035138E-3</v>
      </c>
      <c r="DM130" s="31">
        <v>2.4842970252881959E-3</v>
      </c>
      <c r="DN130" s="31">
        <v>0.17114229900817216</v>
      </c>
      <c r="DO130" s="31">
        <v>5.2945446871805135</v>
      </c>
      <c r="DP130" s="31"/>
      <c r="DQ130" s="31"/>
      <c r="DR130" s="31"/>
      <c r="DS130" s="31"/>
      <c r="DT130" s="31"/>
      <c r="DU130" s="31">
        <v>2256.5713015794786</v>
      </c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</row>
    <row r="131" spans="1:212" x14ac:dyDescent="0.35">
      <c r="A131" s="32" t="s">
        <v>126</v>
      </c>
      <c r="B131" s="31">
        <v>397.42447761536584</v>
      </c>
      <c r="C131" s="31">
        <v>158.55707988267039</v>
      </c>
      <c r="D131" s="31">
        <v>52.506275222746694</v>
      </c>
      <c r="E131" s="31">
        <v>337.1464568985956</v>
      </c>
      <c r="F131" s="31">
        <v>527.68373222233765</v>
      </c>
      <c r="G131" s="31">
        <v>288.45286594529853</v>
      </c>
      <c r="H131" s="31">
        <v>171.4578432003137</v>
      </c>
      <c r="I131" s="31">
        <v>209.98091668496463</v>
      </c>
      <c r="J131" s="31">
        <v>266.97614998275031</v>
      </c>
      <c r="K131" s="31">
        <v>230.09861326609342</v>
      </c>
      <c r="L131" s="31">
        <v>181.49863367366328</v>
      </c>
      <c r="M131" s="31">
        <v>68.256830024708876</v>
      </c>
      <c r="N131" s="31">
        <v>158.68994589453683</v>
      </c>
      <c r="O131" s="31">
        <v>333.50306480445522</v>
      </c>
      <c r="P131" s="31">
        <v>10.362416168801984</v>
      </c>
      <c r="Q131" s="31">
        <v>42.459618035179822</v>
      </c>
      <c r="R131" s="31">
        <v>72.447494432191789</v>
      </c>
      <c r="S131" s="31">
        <v>81.918510068787754</v>
      </c>
      <c r="T131" s="31">
        <v>205.20555211112787</v>
      </c>
      <c r="U131" s="31">
        <v>626.44251012756115</v>
      </c>
      <c r="V131" s="31">
        <v>49.025979046544016</v>
      </c>
      <c r="W131" s="31">
        <v>149.24009681285762</v>
      </c>
      <c r="X131" s="31">
        <v>104.02925273965258</v>
      </c>
      <c r="Y131" s="31">
        <v>9.7665866747995977</v>
      </c>
      <c r="Z131" s="31">
        <v>5.6846552552381437</v>
      </c>
      <c r="AA131" s="31">
        <v>242.28784645386236</v>
      </c>
      <c r="AB131" s="31">
        <v>110.12831810791167</v>
      </c>
      <c r="AC131" s="31">
        <v>157.60934973420308</v>
      </c>
      <c r="AD131" s="31">
        <v>83.523515022617374</v>
      </c>
      <c r="AE131" s="31">
        <v>78.783849393827623</v>
      </c>
      <c r="AF131" s="31">
        <v>187.87624786397745</v>
      </c>
      <c r="AG131" s="31">
        <v>87.581513774866409</v>
      </c>
      <c r="AH131" s="31">
        <v>1458.6430710259629</v>
      </c>
      <c r="AI131" s="31">
        <v>1571.0841367455114</v>
      </c>
      <c r="AJ131" s="31">
        <v>2182.5281154567137</v>
      </c>
      <c r="AK131" s="31">
        <v>162.64753837420892</v>
      </c>
      <c r="AL131" s="31">
        <v>164.78807946847056</v>
      </c>
      <c r="AM131" s="31">
        <v>510.75661806169239</v>
      </c>
      <c r="AN131" s="31">
        <v>1195.2790537653759</v>
      </c>
      <c r="AO131" s="31">
        <v>997.90611289913886</v>
      </c>
      <c r="AP131" s="31">
        <v>451.91983247399656</v>
      </c>
      <c r="AQ131" s="31">
        <v>841.32583238040286</v>
      </c>
      <c r="AR131" s="31">
        <v>648.96338898750196</v>
      </c>
      <c r="AS131" s="31">
        <v>326.20934935182964</v>
      </c>
      <c r="AT131" s="31">
        <v>300.16794407396151</v>
      </c>
      <c r="AU131" s="31">
        <v>371.55674302526921</v>
      </c>
      <c r="AV131" s="31">
        <v>143.21650856262258</v>
      </c>
      <c r="AW131" s="31">
        <v>56.956510411836845</v>
      </c>
      <c r="AX131" s="31">
        <v>303.89223677154257</v>
      </c>
      <c r="AY131" s="31">
        <v>495.56799939036966</v>
      </c>
      <c r="AZ131" s="31">
        <v>299.57165064946599</v>
      </c>
      <c r="BA131" s="31">
        <v>187.75927569880275</v>
      </c>
      <c r="BB131" s="31">
        <v>182.84279931706834</v>
      </c>
      <c r="BC131" s="31">
        <v>262.4646903120144</v>
      </c>
      <c r="BD131" s="31">
        <v>211.90838602884335</v>
      </c>
      <c r="BE131" s="31">
        <v>203.81756270386737</v>
      </c>
      <c r="BF131" s="31">
        <v>84.138823670186426</v>
      </c>
      <c r="BG131" s="31">
        <v>7.4300689972949066</v>
      </c>
      <c r="BH131" s="31">
        <v>175.544502247434</v>
      </c>
      <c r="BI131" s="31">
        <v>473.33163157194457</v>
      </c>
      <c r="BJ131" s="31">
        <v>17.201066463230081</v>
      </c>
      <c r="BK131" s="31">
        <v>53.116436496883985</v>
      </c>
      <c r="BL131" s="31">
        <v>145.36328093976974</v>
      </c>
      <c r="BM131" s="31">
        <v>128.24392171659491</v>
      </c>
      <c r="BN131" s="31">
        <v>315.6805967873218</v>
      </c>
      <c r="BO131" s="31">
        <v>937.57538491369337</v>
      </c>
      <c r="BP131" s="31">
        <v>107.42370773318819</v>
      </c>
      <c r="BQ131" s="31">
        <v>334.36305402588317</v>
      </c>
      <c r="BR131" s="31">
        <v>211.75974215580419</v>
      </c>
      <c r="BS131" s="31">
        <v>513.95520491630521</v>
      </c>
      <c r="BT131" s="31">
        <v>72.336752934017653</v>
      </c>
      <c r="BU131" s="31">
        <v>658.00544664431266</v>
      </c>
      <c r="BV131" s="31">
        <v>273.22576431572196</v>
      </c>
      <c r="BW131" s="31">
        <v>401.49013540682859</v>
      </c>
      <c r="BX131" s="31">
        <v>736.47213829652435</v>
      </c>
      <c r="BY131" s="31">
        <v>157.40554316640274</v>
      </c>
      <c r="BZ131" s="31">
        <v>209.16127225920167</v>
      </c>
      <c r="CA131" s="31">
        <v>87.581513774866352</v>
      </c>
      <c r="CB131" s="31">
        <v>1500.9228506583913</v>
      </c>
      <c r="CC131" s="31">
        <v>1606.116569208735</v>
      </c>
      <c r="CD131" s="31">
        <v>2316.7038793835477</v>
      </c>
      <c r="CE131" s="31">
        <v>172.18224511837136</v>
      </c>
      <c r="CF131" s="31">
        <v>178.63158305691138</v>
      </c>
      <c r="CG131" s="31">
        <v>584.08160120190234</v>
      </c>
      <c r="CH131" s="31">
        <v>1250.4266799348266</v>
      </c>
      <c r="CI131" s="31">
        <v>997.90611289913795</v>
      </c>
      <c r="CJ131" s="31">
        <v>587.10456174586864</v>
      </c>
      <c r="CK131" s="31">
        <v>841.3258323804024</v>
      </c>
      <c r="CL131" s="31">
        <v>648.96338898750139</v>
      </c>
      <c r="CM131" s="31">
        <v>326.20934935182976</v>
      </c>
      <c r="CN131" s="31">
        <v>344.08045215419867</v>
      </c>
      <c r="CO131" s="31">
        <v>1089.746714864277</v>
      </c>
      <c r="CP131" s="31">
        <v>245.29328676694587</v>
      </c>
      <c r="CQ131" s="31">
        <v>1079.8985206927834</v>
      </c>
      <c r="CR131" s="31">
        <v>1078.6344903941056</v>
      </c>
      <c r="CS131" s="31">
        <v>1427.6234620100201</v>
      </c>
      <c r="CT131" s="31">
        <v>421.23829682511695</v>
      </c>
      <c r="CU131" s="31">
        <v>414.06284491106254</v>
      </c>
      <c r="CV131" s="31">
        <v>195.3911704801842</v>
      </c>
      <c r="CW131" s="31">
        <v>113.26398380468156</v>
      </c>
      <c r="CX131" s="31">
        <v>4423.8927221050271</v>
      </c>
      <c r="CY131" s="31">
        <v>4964.7834080048096</v>
      </c>
      <c r="CZ131" s="31">
        <v>252.74391643394881</v>
      </c>
      <c r="DA131" s="31">
        <v>376.01249704713661</v>
      </c>
      <c r="DB131" s="31">
        <v>513.67048340494989</v>
      </c>
      <c r="DC131" s="31">
        <v>551.57805329804762</v>
      </c>
      <c r="DD131" s="31">
        <v>538.89730445202406</v>
      </c>
      <c r="DE131" s="31">
        <v>85.88999667672914</v>
      </c>
      <c r="DF131" s="31">
        <v>111.96855033422722</v>
      </c>
      <c r="DG131" s="31">
        <v>146.49463526452897</v>
      </c>
      <c r="DH131" s="31">
        <v>424.07186921332772</v>
      </c>
      <c r="DI131" s="31">
        <v>411.13919546177698</v>
      </c>
      <c r="DJ131" s="31">
        <v>44.544771066135148</v>
      </c>
      <c r="DK131" s="31">
        <v>115.6137054598146</v>
      </c>
      <c r="DL131" s="31">
        <v>247.69279414350663</v>
      </c>
      <c r="DM131" s="31">
        <v>659.4198653863034</v>
      </c>
      <c r="DN131" s="31">
        <v>4970.0203148450455</v>
      </c>
      <c r="DO131" s="31">
        <v>1716.4769714308638</v>
      </c>
      <c r="DP131" s="31">
        <v>686.24807569448353</v>
      </c>
      <c r="DQ131" s="31">
        <v>154.33754979786499</v>
      </c>
      <c r="DR131" s="31">
        <v>712.21170095241223</v>
      </c>
      <c r="DS131" s="31">
        <v>1901.0658467052979</v>
      </c>
      <c r="DT131" s="31">
        <v>2256.5713015794786</v>
      </c>
      <c r="DU131" s="31">
        <v>69004.339028100963</v>
      </c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1"/>
      <c r="FV131" s="31"/>
      <c r="FW131" s="31"/>
      <c r="FX131" s="31"/>
      <c r="FY131" s="31"/>
      <c r="FZ131" s="31"/>
      <c r="GA131" s="31"/>
      <c r="GB131" s="31"/>
      <c r="GC131" s="31"/>
      <c r="GD131" s="31"/>
      <c r="GE131" s="31"/>
      <c r="GF131" s="31"/>
      <c r="GG131" s="31"/>
      <c r="GH131" s="31"/>
      <c r="GI131" s="31"/>
      <c r="GJ131" s="31"/>
      <c r="GK131" s="31"/>
      <c r="GL131" s="31"/>
      <c r="GM131" s="31"/>
      <c r="GN131" s="31"/>
      <c r="GO131" s="31"/>
      <c r="GP131" s="31"/>
      <c r="GQ131" s="31"/>
      <c r="GR131" s="31"/>
      <c r="GS131" s="31"/>
      <c r="GT131" s="31"/>
      <c r="GU131" s="31"/>
      <c r="GV131" s="31"/>
      <c r="GW131" s="31"/>
      <c r="GX131" s="31"/>
      <c r="GY131" s="31"/>
      <c r="GZ131" s="31"/>
      <c r="HA131" s="31"/>
      <c r="HB131" s="31"/>
      <c r="HC131" s="31"/>
      <c r="HD131" s="31"/>
    </row>
    <row r="132" spans="1:212" x14ac:dyDescent="0.35">
      <c r="A132" s="32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</row>
    <row r="133" spans="1:212" x14ac:dyDescent="0.35">
      <c r="A133" s="32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</row>
    <row r="134" spans="1:212" x14ac:dyDescent="0.35">
      <c r="A134" s="32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</row>
    <row r="135" spans="1:212" x14ac:dyDescent="0.35">
      <c r="A135" s="32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</row>
    <row r="136" spans="1:212" x14ac:dyDescent="0.35">
      <c r="A136" s="32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</row>
    <row r="137" spans="1:212" x14ac:dyDescent="0.35">
      <c r="A137" s="32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</row>
    <row r="138" spans="1:212" x14ac:dyDescent="0.35">
      <c r="A138" s="32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  <c r="GI138" s="31"/>
      <c r="GJ138" s="31"/>
      <c r="GK138" s="31"/>
      <c r="GL138" s="31"/>
      <c r="GM138" s="31"/>
      <c r="GN138" s="31"/>
      <c r="GO138" s="31"/>
      <c r="GP138" s="31"/>
      <c r="GQ138" s="31"/>
      <c r="GR138" s="31"/>
      <c r="GS138" s="31"/>
      <c r="GT138" s="31"/>
      <c r="GU138" s="31"/>
      <c r="GV138" s="31"/>
      <c r="GW138" s="31"/>
      <c r="GX138" s="31"/>
      <c r="GY138" s="31"/>
      <c r="GZ138" s="31"/>
      <c r="HA138" s="31"/>
      <c r="HB138" s="31"/>
      <c r="HC138" s="31"/>
      <c r="HD138" s="31"/>
    </row>
    <row r="139" spans="1:212" x14ac:dyDescent="0.35">
      <c r="A139" s="32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</row>
    <row r="140" spans="1:212" x14ac:dyDescent="0.35">
      <c r="A140" s="32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</row>
    <row r="141" spans="1:212" x14ac:dyDescent="0.35">
      <c r="A141" s="32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</row>
    <row r="142" spans="1:212" x14ac:dyDescent="0.35">
      <c r="A142" s="32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</row>
    <row r="143" spans="1:212" x14ac:dyDescent="0.35">
      <c r="A143" s="32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  <c r="GI143" s="31"/>
      <c r="GJ143" s="31"/>
      <c r="GK143" s="31"/>
      <c r="GL143" s="31"/>
      <c r="GM143" s="31"/>
      <c r="GN143" s="31"/>
      <c r="GO143" s="31"/>
      <c r="GP143" s="31"/>
      <c r="GQ143" s="31"/>
      <c r="GR143" s="31"/>
      <c r="GS143" s="31"/>
      <c r="GT143" s="31"/>
      <c r="GU143" s="31"/>
      <c r="GV143" s="31"/>
      <c r="GW143" s="31"/>
      <c r="GX143" s="31"/>
      <c r="GY143" s="31"/>
      <c r="GZ143" s="31"/>
      <c r="HA143" s="31"/>
      <c r="HB143" s="31"/>
      <c r="HC143" s="31"/>
      <c r="HD143" s="31"/>
    </row>
    <row r="144" spans="1:212" x14ac:dyDescent="0.35">
      <c r="A144" s="32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</row>
    <row r="145" spans="1:212" x14ac:dyDescent="0.35">
      <c r="A145" s="32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</row>
    <row r="146" spans="1:212" x14ac:dyDescent="0.35">
      <c r="A146" s="32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</row>
    <row r="147" spans="1:212" x14ac:dyDescent="0.35">
      <c r="A147" s="32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</row>
    <row r="148" spans="1:212" x14ac:dyDescent="0.35">
      <c r="A148" s="32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/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</row>
    <row r="149" spans="1:212" x14ac:dyDescent="0.35">
      <c r="A149" s="32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</row>
    <row r="150" spans="1:212" x14ac:dyDescent="0.35">
      <c r="A150" s="32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</row>
    <row r="151" spans="1:212" x14ac:dyDescent="0.35">
      <c r="A151" s="32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</row>
    <row r="152" spans="1:212" x14ac:dyDescent="0.35">
      <c r="A152" s="32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</row>
    <row r="153" spans="1:212" x14ac:dyDescent="0.35">
      <c r="A153" s="32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</row>
    <row r="154" spans="1:212" x14ac:dyDescent="0.35">
      <c r="A154" s="32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</row>
    <row r="155" spans="1:212" x14ac:dyDescent="0.35">
      <c r="A155" s="32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/>
      <c r="HC155" s="31"/>
      <c r="HD155" s="31"/>
    </row>
    <row r="156" spans="1:212" x14ac:dyDescent="0.35">
      <c r="A156" s="32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/>
      <c r="FX156" s="31"/>
      <c r="FY156" s="31"/>
      <c r="FZ156" s="31"/>
      <c r="GA156" s="31"/>
      <c r="GB156" s="31"/>
      <c r="GC156" s="31"/>
      <c r="GD156" s="31"/>
      <c r="GE156" s="31"/>
      <c r="GF156" s="31"/>
      <c r="GG156" s="31"/>
      <c r="GH156" s="31"/>
      <c r="GI156" s="31"/>
      <c r="GJ156" s="31"/>
      <c r="GK156" s="31"/>
      <c r="GL156" s="31"/>
      <c r="GM156" s="31"/>
      <c r="GN156" s="31"/>
      <c r="GO156" s="31"/>
      <c r="GP156" s="31"/>
      <c r="GQ156" s="31"/>
      <c r="GR156" s="31"/>
      <c r="GS156" s="31"/>
      <c r="GT156" s="31"/>
      <c r="GU156" s="31"/>
      <c r="GV156" s="31"/>
      <c r="GW156" s="31"/>
      <c r="GX156" s="31"/>
      <c r="GY156" s="31"/>
      <c r="GZ156" s="31"/>
      <c r="HA156" s="31"/>
      <c r="HB156" s="31"/>
      <c r="HC156" s="31"/>
      <c r="HD156" s="31"/>
    </row>
    <row r="157" spans="1:212" x14ac:dyDescent="0.35">
      <c r="A157" s="32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</row>
    <row r="158" spans="1:212" x14ac:dyDescent="0.35">
      <c r="A158" s="32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</row>
    <row r="159" spans="1:212" x14ac:dyDescent="0.35">
      <c r="A159" s="32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</row>
    <row r="160" spans="1:212" x14ac:dyDescent="0.35">
      <c r="A160" s="32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</row>
    <row r="161" spans="1:212" x14ac:dyDescent="0.35">
      <c r="A161" s="32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</row>
    <row r="162" spans="1:212" x14ac:dyDescent="0.35">
      <c r="A162" s="32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</row>
    <row r="163" spans="1:212" x14ac:dyDescent="0.35">
      <c r="A163" s="32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/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</row>
    <row r="164" spans="1:212" x14ac:dyDescent="0.35">
      <c r="A164" s="32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</row>
    <row r="165" spans="1:212" x14ac:dyDescent="0.35">
      <c r="A165" s="32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</row>
    <row r="166" spans="1:212" x14ac:dyDescent="0.35">
      <c r="A166" s="32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</row>
    <row r="167" spans="1:212" x14ac:dyDescent="0.35">
      <c r="A167" s="32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/>
      <c r="GG167" s="31"/>
      <c r="GH167" s="31"/>
      <c r="GI167" s="31"/>
      <c r="GJ167" s="31"/>
      <c r="GK167" s="31"/>
      <c r="GL167" s="31"/>
      <c r="GM167" s="31"/>
      <c r="GN167" s="31"/>
      <c r="GO167" s="31"/>
      <c r="GP167" s="31"/>
      <c r="GQ167" s="31"/>
      <c r="GR167" s="31"/>
      <c r="GS167" s="31"/>
      <c r="GT167" s="31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</row>
    <row r="168" spans="1:212" x14ac:dyDescent="0.35">
      <c r="A168" s="32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</row>
    <row r="169" spans="1:212" x14ac:dyDescent="0.35">
      <c r="A169" s="32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/>
      <c r="GF169" s="31"/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</row>
    <row r="170" spans="1:212" x14ac:dyDescent="0.35">
      <c r="A170" s="32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  <c r="GI170" s="31"/>
      <c r="GJ170" s="31"/>
      <c r="GK170" s="31"/>
      <c r="GL170" s="31"/>
      <c r="GM170" s="31"/>
      <c r="GN170" s="31"/>
      <c r="GO170" s="31"/>
      <c r="GP170" s="31"/>
      <c r="GQ170" s="31"/>
      <c r="GR170" s="31"/>
      <c r="GS170" s="31"/>
      <c r="GT170" s="31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</row>
    <row r="171" spans="1:212" x14ac:dyDescent="0.35">
      <c r="A171" s="3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/>
      <c r="GG171" s="31"/>
      <c r="GH171" s="31"/>
      <c r="GI171" s="31"/>
      <c r="GJ171" s="31"/>
      <c r="GK171" s="31"/>
      <c r="GL171" s="31"/>
      <c r="GM171" s="31"/>
      <c r="GN171" s="31"/>
      <c r="GO171" s="31"/>
      <c r="GP171" s="31"/>
      <c r="GQ171" s="31"/>
      <c r="GR171" s="31"/>
      <c r="GS171" s="31"/>
      <c r="GT171" s="31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</row>
    <row r="172" spans="1:212" x14ac:dyDescent="0.35">
      <c r="A172" s="32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</row>
    <row r="173" spans="1:212" x14ac:dyDescent="0.35">
      <c r="A173" s="32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</row>
    <row r="174" spans="1:212" x14ac:dyDescent="0.35">
      <c r="A174" s="32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</row>
    <row r="175" spans="1:212" x14ac:dyDescent="0.35">
      <c r="A175" s="32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/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</row>
    <row r="176" spans="1:212" x14ac:dyDescent="0.35">
      <c r="A176" s="32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/>
      <c r="GG176" s="31"/>
      <c r="GH176" s="31"/>
      <c r="GI176" s="31"/>
      <c r="GJ176" s="31"/>
      <c r="GK176" s="31"/>
      <c r="GL176" s="31"/>
      <c r="GM176" s="31"/>
      <c r="GN176" s="31"/>
      <c r="GO176" s="31"/>
      <c r="GP176" s="31"/>
      <c r="GQ176" s="31"/>
      <c r="GR176" s="31"/>
      <c r="GS176" s="31"/>
      <c r="GT176" s="31"/>
      <c r="GU176" s="31"/>
      <c r="GV176" s="31"/>
      <c r="GW176" s="31"/>
      <c r="GX176" s="31"/>
      <c r="GY176" s="31"/>
      <c r="GZ176" s="31"/>
      <c r="HA176" s="31"/>
      <c r="HB176" s="31"/>
      <c r="HC176" s="31"/>
      <c r="HD176" s="31"/>
    </row>
    <row r="177" spans="1:212" x14ac:dyDescent="0.35">
      <c r="A177" s="32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</row>
    <row r="178" spans="1:212" x14ac:dyDescent="0.35">
      <c r="A178" s="32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</row>
    <row r="179" spans="1:212" x14ac:dyDescent="0.35">
      <c r="A179" s="32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1"/>
      <c r="FV179" s="31"/>
      <c r="FW179" s="31"/>
      <c r="FX179" s="31"/>
      <c r="FY179" s="31"/>
      <c r="FZ179" s="31"/>
      <c r="GA179" s="31"/>
      <c r="GB179" s="31"/>
      <c r="GC179" s="31"/>
      <c r="GD179" s="31"/>
      <c r="GE179" s="31"/>
      <c r="GF179" s="31"/>
      <c r="GG179" s="31"/>
      <c r="GH179" s="31"/>
      <c r="GI179" s="31"/>
      <c r="GJ179" s="31"/>
      <c r="GK179" s="31"/>
      <c r="GL179" s="31"/>
      <c r="GM179" s="31"/>
      <c r="GN179" s="31"/>
      <c r="GO179" s="31"/>
      <c r="GP179" s="31"/>
      <c r="GQ179" s="31"/>
      <c r="GR179" s="31"/>
      <c r="GS179" s="31"/>
      <c r="GT179" s="31"/>
      <c r="GU179" s="31"/>
      <c r="GV179" s="31"/>
      <c r="GW179" s="31"/>
      <c r="GX179" s="31"/>
      <c r="GY179" s="31"/>
      <c r="GZ179" s="31"/>
      <c r="HA179" s="31"/>
      <c r="HB179" s="31"/>
      <c r="HC179" s="31"/>
      <c r="HD179" s="31"/>
    </row>
    <row r="180" spans="1:212" x14ac:dyDescent="0.35">
      <c r="A180" s="32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  <c r="GI180" s="31"/>
      <c r="GJ180" s="31"/>
      <c r="GK180" s="31"/>
      <c r="GL180" s="31"/>
      <c r="GM180" s="31"/>
      <c r="GN180" s="31"/>
      <c r="GO180" s="31"/>
      <c r="GP180" s="31"/>
      <c r="GQ180" s="31"/>
      <c r="GR180" s="31"/>
      <c r="GS180" s="31"/>
      <c r="GT180" s="31"/>
      <c r="GU180" s="31"/>
      <c r="GV180" s="31"/>
      <c r="GW180" s="31"/>
      <c r="GX180" s="31"/>
      <c r="GY180" s="31"/>
      <c r="GZ180" s="31"/>
      <c r="HA180" s="31"/>
      <c r="HB180" s="31"/>
      <c r="HC180" s="31"/>
      <c r="HD180" s="31"/>
    </row>
    <row r="181" spans="1:212" x14ac:dyDescent="0.35">
      <c r="A181" s="32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/>
      <c r="FS181" s="31"/>
      <c r="FT181" s="31"/>
      <c r="FU181" s="31"/>
      <c r="FV181" s="31"/>
      <c r="FW181" s="31"/>
      <c r="FX181" s="31"/>
      <c r="FY181" s="31"/>
      <c r="FZ181" s="31"/>
      <c r="GA181" s="31"/>
      <c r="GB181" s="31"/>
      <c r="GC181" s="31"/>
      <c r="GD181" s="31"/>
      <c r="GE181" s="31"/>
      <c r="GF181" s="31"/>
      <c r="GG181" s="31"/>
      <c r="GH181" s="31"/>
      <c r="GI181" s="31"/>
      <c r="GJ181" s="31"/>
      <c r="GK181" s="31"/>
      <c r="GL181" s="31"/>
      <c r="GM181" s="31"/>
      <c r="GN181" s="31"/>
      <c r="GO181" s="31"/>
      <c r="GP181" s="31"/>
      <c r="GQ181" s="31"/>
      <c r="GR181" s="31"/>
      <c r="GS181" s="31"/>
      <c r="GT181" s="31"/>
      <c r="GU181" s="31"/>
      <c r="GV181" s="31"/>
      <c r="GW181" s="31"/>
      <c r="GX181" s="31"/>
      <c r="GY181" s="31"/>
      <c r="GZ181" s="31"/>
      <c r="HA181" s="31"/>
      <c r="HB181" s="31"/>
      <c r="HC181" s="31"/>
      <c r="HD181" s="31"/>
    </row>
    <row r="182" spans="1:212" x14ac:dyDescent="0.35">
      <c r="A182" s="32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/>
      <c r="FS182" s="31"/>
      <c r="FT182" s="31"/>
      <c r="FU182" s="31"/>
      <c r="FV182" s="31"/>
      <c r="FW182" s="31"/>
      <c r="FX182" s="31"/>
      <c r="FY182" s="31"/>
      <c r="FZ182" s="31"/>
      <c r="GA182" s="31"/>
      <c r="GB182" s="31"/>
      <c r="GC182" s="31"/>
      <c r="GD182" s="31"/>
      <c r="GE182" s="31"/>
      <c r="GF182" s="31"/>
      <c r="GG182" s="31"/>
      <c r="GH182" s="31"/>
      <c r="GI182" s="31"/>
      <c r="GJ182" s="31"/>
      <c r="GK182" s="31"/>
      <c r="GL182" s="31"/>
      <c r="GM182" s="31"/>
      <c r="GN182" s="31"/>
      <c r="GO182" s="31"/>
      <c r="GP182" s="31"/>
      <c r="GQ182" s="31"/>
      <c r="GR182" s="31"/>
      <c r="GS182" s="31"/>
      <c r="GT182" s="31"/>
      <c r="GU182" s="31"/>
      <c r="GV182" s="31"/>
      <c r="GW182" s="31"/>
      <c r="GX182" s="31"/>
      <c r="GY182" s="31"/>
      <c r="GZ182" s="31"/>
      <c r="HA182" s="31"/>
      <c r="HB182" s="31"/>
      <c r="HC182" s="31"/>
      <c r="HD182" s="31"/>
    </row>
    <row r="183" spans="1:212" x14ac:dyDescent="0.35">
      <c r="A183" s="32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  <c r="FN183" s="31"/>
      <c r="FO183" s="31"/>
      <c r="FP183" s="31"/>
      <c r="FQ183" s="31"/>
      <c r="FR183" s="31"/>
      <c r="FS183" s="31"/>
      <c r="FT183" s="31"/>
      <c r="FU183" s="31"/>
      <c r="FV183" s="31"/>
      <c r="FW183" s="31"/>
      <c r="FX183" s="31"/>
      <c r="FY183" s="31"/>
      <c r="FZ183" s="31"/>
      <c r="GA183" s="31"/>
      <c r="GB183" s="31"/>
      <c r="GC183" s="31"/>
      <c r="GD183" s="31"/>
      <c r="GE183" s="31"/>
      <c r="GF183" s="31"/>
      <c r="GG183" s="31"/>
      <c r="GH183" s="31"/>
      <c r="GI183" s="31"/>
      <c r="GJ183" s="31"/>
      <c r="GK183" s="31"/>
      <c r="GL183" s="31"/>
      <c r="GM183" s="31"/>
      <c r="GN183" s="31"/>
      <c r="GO183" s="31"/>
      <c r="GP183" s="31"/>
      <c r="GQ183" s="31"/>
      <c r="GR183" s="31"/>
      <c r="GS183" s="31"/>
      <c r="GT183" s="31"/>
      <c r="GU183" s="31"/>
      <c r="GV183" s="31"/>
      <c r="GW183" s="31"/>
      <c r="GX183" s="31"/>
      <c r="GY183" s="31"/>
      <c r="GZ183" s="31"/>
      <c r="HA183" s="31"/>
      <c r="HB183" s="31"/>
      <c r="HC183" s="31"/>
      <c r="HD183" s="31"/>
    </row>
    <row r="184" spans="1:212" x14ac:dyDescent="0.35">
      <c r="A184" s="32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/>
      <c r="FU184" s="31"/>
      <c r="FV184" s="31"/>
      <c r="FW184" s="31"/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  <c r="GI184" s="31"/>
      <c r="GJ184" s="31"/>
      <c r="GK184" s="31"/>
      <c r="GL184" s="31"/>
      <c r="GM184" s="31"/>
      <c r="GN184" s="31"/>
      <c r="GO184" s="31"/>
      <c r="GP184" s="31"/>
      <c r="GQ184" s="31"/>
      <c r="GR184" s="31"/>
      <c r="GS184" s="31"/>
      <c r="GT184" s="31"/>
      <c r="GU184" s="31"/>
      <c r="GV184" s="31"/>
      <c r="GW184" s="31"/>
      <c r="GX184" s="31"/>
      <c r="GY184" s="31"/>
      <c r="GZ184" s="31"/>
      <c r="HA184" s="31"/>
      <c r="HB184" s="31"/>
      <c r="HC184" s="31"/>
      <c r="HD184" s="31"/>
    </row>
    <row r="185" spans="1:212" x14ac:dyDescent="0.35">
      <c r="A185" s="32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  <c r="FN185" s="31"/>
      <c r="FO185" s="31"/>
      <c r="FP185" s="31"/>
      <c r="FQ185" s="31"/>
      <c r="FR185" s="31"/>
      <c r="FS185" s="31"/>
      <c r="FT185" s="31"/>
      <c r="FU185" s="31"/>
      <c r="FV185" s="31"/>
      <c r="FW185" s="31"/>
      <c r="FX185" s="31"/>
      <c r="FY185" s="31"/>
      <c r="FZ185" s="31"/>
      <c r="GA185" s="31"/>
      <c r="GB185" s="31"/>
      <c r="GC185" s="31"/>
      <c r="GD185" s="31"/>
      <c r="GE185" s="31"/>
      <c r="GF185" s="31"/>
      <c r="GG185" s="31"/>
      <c r="GH185" s="31"/>
      <c r="GI185" s="31"/>
      <c r="GJ185" s="31"/>
      <c r="GK185" s="31"/>
      <c r="GL185" s="31"/>
      <c r="GM185" s="31"/>
      <c r="GN185" s="31"/>
      <c r="GO185" s="31"/>
      <c r="GP185" s="31"/>
      <c r="GQ185" s="31"/>
      <c r="GR185" s="31"/>
      <c r="GS185" s="31"/>
      <c r="GT185" s="31"/>
      <c r="GU185" s="31"/>
      <c r="GV185" s="31"/>
      <c r="GW185" s="31"/>
      <c r="GX185" s="31"/>
      <c r="GY185" s="31"/>
      <c r="GZ185" s="31"/>
      <c r="HA185" s="31"/>
      <c r="HB185" s="31"/>
      <c r="HC185" s="31"/>
      <c r="HD185" s="31"/>
    </row>
    <row r="186" spans="1:212" x14ac:dyDescent="0.35">
      <c r="A186" s="32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</row>
    <row r="187" spans="1:212" x14ac:dyDescent="0.35">
      <c r="A187" s="32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/>
      <c r="GK187" s="31"/>
      <c r="GL187" s="31"/>
      <c r="GM187" s="31"/>
      <c r="GN187" s="31"/>
      <c r="GO187" s="31"/>
      <c r="GP187" s="31"/>
      <c r="GQ187" s="31"/>
      <c r="GR187" s="31"/>
      <c r="GS187" s="31"/>
      <c r="GT187" s="31"/>
      <c r="GU187" s="31"/>
      <c r="GV187" s="31"/>
      <c r="GW187" s="31"/>
      <c r="GX187" s="31"/>
      <c r="GY187" s="31"/>
      <c r="GZ187" s="31"/>
      <c r="HA187" s="31"/>
      <c r="HB187" s="31"/>
      <c r="HC187" s="31"/>
      <c r="HD187" s="31"/>
    </row>
    <row r="188" spans="1:212" x14ac:dyDescent="0.35">
      <c r="A188" s="32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/>
      <c r="FV188" s="31"/>
      <c r="FW188" s="31"/>
      <c r="FX188" s="31"/>
      <c r="FY188" s="31"/>
      <c r="FZ188" s="31"/>
      <c r="GA188" s="31"/>
      <c r="GB188" s="31"/>
      <c r="GC188" s="31"/>
      <c r="GD188" s="31"/>
      <c r="GE188" s="31"/>
      <c r="GF188" s="31"/>
      <c r="GG188" s="31"/>
      <c r="GH188" s="31"/>
      <c r="GI188" s="31"/>
      <c r="GJ188" s="31"/>
      <c r="GK188" s="31"/>
      <c r="GL188" s="31"/>
      <c r="GM188" s="31"/>
      <c r="GN188" s="31"/>
      <c r="GO188" s="31"/>
      <c r="GP188" s="31"/>
      <c r="GQ188" s="31"/>
      <c r="GR188" s="31"/>
      <c r="GS188" s="31"/>
      <c r="GT188" s="31"/>
      <c r="GU188" s="31"/>
      <c r="GV188" s="31"/>
      <c r="GW188" s="31"/>
      <c r="GX188" s="31"/>
      <c r="GY188" s="31"/>
      <c r="GZ188" s="31"/>
      <c r="HA188" s="31"/>
      <c r="HB188" s="31"/>
      <c r="HC188" s="31"/>
      <c r="HD188" s="31"/>
    </row>
    <row r="189" spans="1:212" x14ac:dyDescent="0.35">
      <c r="A189" s="32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</row>
    <row r="190" spans="1:212" x14ac:dyDescent="0.35">
      <c r="A190" s="32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1"/>
      <c r="EH190" s="31"/>
      <c r="EI190" s="31"/>
      <c r="EJ190" s="31"/>
      <c r="EK190" s="31"/>
      <c r="EL190" s="31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1"/>
      <c r="EZ190" s="31"/>
      <c r="FA190" s="31"/>
      <c r="FB190" s="31"/>
      <c r="FC190" s="31"/>
      <c r="FD190" s="31"/>
      <c r="FE190" s="31"/>
      <c r="FF190" s="31"/>
      <c r="FG190" s="31"/>
      <c r="FH190" s="31"/>
      <c r="FI190" s="31"/>
      <c r="FJ190" s="31"/>
      <c r="FK190" s="31"/>
      <c r="FL190" s="31"/>
      <c r="FM190" s="31"/>
      <c r="FN190" s="31"/>
      <c r="FO190" s="31"/>
      <c r="FP190" s="31"/>
      <c r="FQ190" s="31"/>
      <c r="FR190" s="31"/>
      <c r="FS190" s="31"/>
      <c r="FT190" s="31"/>
      <c r="FU190" s="31"/>
      <c r="FV190" s="31"/>
      <c r="FW190" s="31"/>
      <c r="FX190" s="31"/>
      <c r="FY190" s="31"/>
      <c r="FZ190" s="31"/>
      <c r="GA190" s="31"/>
      <c r="GB190" s="31"/>
      <c r="GC190" s="31"/>
      <c r="GD190" s="31"/>
      <c r="GE190" s="31"/>
      <c r="GF190" s="31"/>
      <c r="GG190" s="31"/>
      <c r="GH190" s="31"/>
      <c r="GI190" s="31"/>
      <c r="GJ190" s="31"/>
      <c r="GK190" s="31"/>
      <c r="GL190" s="31"/>
      <c r="GM190" s="31"/>
      <c r="GN190" s="31"/>
      <c r="GO190" s="31"/>
      <c r="GP190" s="31"/>
      <c r="GQ190" s="31"/>
      <c r="GR190" s="31"/>
      <c r="GS190" s="31"/>
      <c r="GT190" s="31"/>
      <c r="GU190" s="31"/>
      <c r="GV190" s="31"/>
      <c r="GW190" s="31"/>
      <c r="GX190" s="31"/>
      <c r="GY190" s="31"/>
      <c r="GZ190" s="31"/>
      <c r="HA190" s="31"/>
      <c r="HB190" s="31"/>
      <c r="HC190" s="31"/>
      <c r="HD190" s="31"/>
    </row>
    <row r="191" spans="1:212" x14ac:dyDescent="0.35">
      <c r="A191" s="32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/>
      <c r="FV191" s="31"/>
      <c r="FW191" s="31"/>
      <c r="FX191" s="31"/>
      <c r="FY191" s="31"/>
      <c r="FZ191" s="31"/>
      <c r="GA191" s="31"/>
      <c r="GB191" s="31"/>
      <c r="GC191" s="31"/>
      <c r="GD191" s="31"/>
      <c r="GE191" s="31"/>
      <c r="GF191" s="31"/>
      <c r="GG191" s="31"/>
      <c r="GH191" s="31"/>
      <c r="GI191" s="31"/>
      <c r="GJ191" s="31"/>
      <c r="GK191" s="31"/>
      <c r="GL191" s="31"/>
      <c r="GM191" s="31"/>
      <c r="GN191" s="31"/>
      <c r="GO191" s="31"/>
      <c r="GP191" s="31"/>
      <c r="GQ191" s="31"/>
      <c r="GR191" s="31"/>
      <c r="GS191" s="31"/>
      <c r="GT191" s="31"/>
      <c r="GU191" s="31"/>
      <c r="GV191" s="31"/>
      <c r="GW191" s="31"/>
      <c r="GX191" s="31"/>
      <c r="GY191" s="31"/>
      <c r="GZ191" s="31"/>
      <c r="HA191" s="31"/>
      <c r="HB191" s="31"/>
      <c r="HC191" s="31"/>
      <c r="HD191" s="31"/>
    </row>
    <row r="192" spans="1:212" x14ac:dyDescent="0.35">
      <c r="A192" s="32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  <c r="GI192" s="31"/>
      <c r="GJ192" s="31"/>
      <c r="GK192" s="31"/>
      <c r="GL192" s="31"/>
      <c r="GM192" s="31"/>
      <c r="GN192" s="31"/>
      <c r="GO192" s="31"/>
      <c r="GP192" s="31"/>
      <c r="GQ192" s="31"/>
      <c r="GR192" s="31"/>
      <c r="GS192" s="31"/>
      <c r="GT192" s="31"/>
      <c r="GU192" s="31"/>
      <c r="GV192" s="31"/>
      <c r="GW192" s="31"/>
      <c r="GX192" s="31"/>
      <c r="GY192" s="31"/>
      <c r="GZ192" s="31"/>
      <c r="HA192" s="31"/>
      <c r="HB192" s="31"/>
      <c r="HC192" s="31"/>
      <c r="HD192" s="31"/>
    </row>
    <row r="193" spans="1:212" x14ac:dyDescent="0.35">
      <c r="A193" s="32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  <c r="GI193" s="31"/>
      <c r="GJ193" s="31"/>
      <c r="GK193" s="31"/>
      <c r="GL193" s="31"/>
      <c r="GM193" s="31"/>
      <c r="GN193" s="31"/>
      <c r="GO193" s="31"/>
      <c r="GP193" s="31"/>
      <c r="GQ193" s="31"/>
      <c r="GR193" s="31"/>
      <c r="GS193" s="31"/>
      <c r="GT193" s="31"/>
      <c r="GU193" s="31"/>
      <c r="GV193" s="31"/>
      <c r="GW193" s="31"/>
      <c r="GX193" s="31"/>
      <c r="GY193" s="31"/>
      <c r="GZ193" s="31"/>
      <c r="HA193" s="31"/>
      <c r="HB193" s="31"/>
      <c r="HC193" s="31"/>
      <c r="HD193" s="31"/>
    </row>
    <row r="194" spans="1:212" x14ac:dyDescent="0.35">
      <c r="A194" s="32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  <c r="FH194" s="31"/>
      <c r="FI194" s="31"/>
      <c r="FJ194" s="31"/>
      <c r="FK194" s="31"/>
      <c r="FL194" s="31"/>
      <c r="FM194" s="31"/>
      <c r="FN194" s="31"/>
      <c r="FO194" s="31"/>
      <c r="FP194" s="31"/>
      <c r="FQ194" s="31"/>
      <c r="FR194" s="31"/>
      <c r="FS194" s="31"/>
      <c r="FT194" s="31"/>
      <c r="FU194" s="31"/>
      <c r="FV194" s="31"/>
      <c r="FW194" s="31"/>
      <c r="FX194" s="31"/>
      <c r="FY194" s="31"/>
      <c r="FZ194" s="31"/>
      <c r="GA194" s="31"/>
      <c r="GB194" s="31"/>
      <c r="GC194" s="31"/>
      <c r="GD194" s="31"/>
      <c r="GE194" s="31"/>
      <c r="GF194" s="31"/>
      <c r="GG194" s="31"/>
      <c r="GH194" s="31"/>
      <c r="GI194" s="31"/>
      <c r="GJ194" s="31"/>
      <c r="GK194" s="31"/>
      <c r="GL194" s="31"/>
      <c r="GM194" s="31"/>
      <c r="GN194" s="31"/>
      <c r="GO194" s="31"/>
      <c r="GP194" s="31"/>
      <c r="GQ194" s="31"/>
      <c r="GR194" s="31"/>
      <c r="GS194" s="31"/>
      <c r="GT194" s="31"/>
      <c r="GU194" s="31"/>
      <c r="GV194" s="31"/>
      <c r="GW194" s="31"/>
      <c r="GX194" s="31"/>
      <c r="GY194" s="31"/>
      <c r="GZ194" s="31"/>
      <c r="HA194" s="31"/>
      <c r="HB194" s="31"/>
      <c r="HC194" s="31"/>
      <c r="HD194" s="31"/>
    </row>
    <row r="195" spans="1:212" x14ac:dyDescent="0.35">
      <c r="A195" s="32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  <c r="FN195" s="31"/>
      <c r="FO195" s="31"/>
      <c r="FP195" s="31"/>
      <c r="FQ195" s="31"/>
      <c r="FR195" s="31"/>
      <c r="FS195" s="31"/>
      <c r="FT195" s="31"/>
      <c r="FU195" s="31"/>
      <c r="FV195" s="31"/>
      <c r="FW195" s="31"/>
      <c r="FX195" s="31"/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  <c r="GI195" s="31"/>
      <c r="GJ195" s="31"/>
      <c r="GK195" s="31"/>
      <c r="GL195" s="31"/>
      <c r="GM195" s="31"/>
      <c r="GN195" s="31"/>
      <c r="GO195" s="31"/>
      <c r="GP195" s="31"/>
      <c r="GQ195" s="31"/>
      <c r="GR195" s="31"/>
      <c r="GS195" s="31"/>
      <c r="GT195" s="31"/>
      <c r="GU195" s="31"/>
      <c r="GV195" s="31"/>
      <c r="GW195" s="31"/>
      <c r="GX195" s="31"/>
      <c r="GY195" s="31"/>
      <c r="GZ195" s="31"/>
      <c r="HA195" s="31"/>
      <c r="HB195" s="31"/>
      <c r="HC195" s="31"/>
      <c r="HD195" s="31"/>
    </row>
    <row r="196" spans="1:212" x14ac:dyDescent="0.35">
      <c r="A196" s="32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  <c r="FN196" s="31"/>
      <c r="FO196" s="31"/>
      <c r="FP196" s="31"/>
      <c r="FQ196" s="31"/>
      <c r="FR196" s="31"/>
      <c r="FS196" s="31"/>
      <c r="FT196" s="31"/>
      <c r="FU196" s="31"/>
      <c r="FV196" s="31"/>
      <c r="FW196" s="31"/>
      <c r="FX196" s="31"/>
      <c r="FY196" s="31"/>
      <c r="FZ196" s="31"/>
      <c r="GA196" s="31"/>
      <c r="GB196" s="31"/>
      <c r="GC196" s="31"/>
      <c r="GD196" s="31"/>
      <c r="GE196" s="31"/>
      <c r="GF196" s="31"/>
      <c r="GG196" s="31"/>
      <c r="GH196" s="31"/>
      <c r="GI196" s="31"/>
      <c r="GJ196" s="31"/>
      <c r="GK196" s="31"/>
      <c r="GL196" s="31"/>
      <c r="GM196" s="31"/>
      <c r="GN196" s="31"/>
      <c r="GO196" s="31"/>
      <c r="GP196" s="31"/>
      <c r="GQ196" s="31"/>
      <c r="GR196" s="31"/>
      <c r="GS196" s="31"/>
      <c r="GT196" s="31"/>
      <c r="GU196" s="31"/>
      <c r="GV196" s="31"/>
      <c r="GW196" s="31"/>
      <c r="GX196" s="31"/>
      <c r="GY196" s="31"/>
      <c r="GZ196" s="31"/>
      <c r="HA196" s="31"/>
      <c r="HB196" s="31"/>
      <c r="HC196" s="31"/>
      <c r="HD196" s="31"/>
    </row>
    <row r="197" spans="1:212" x14ac:dyDescent="0.35">
      <c r="A197" s="32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/>
      <c r="FR197" s="31"/>
      <c r="FS197" s="31"/>
      <c r="FT197" s="31"/>
      <c r="FU197" s="31"/>
      <c r="FV197" s="31"/>
      <c r="FW197" s="31"/>
      <c r="FX197" s="31"/>
      <c r="FY197" s="31"/>
      <c r="FZ197" s="31"/>
      <c r="GA197" s="31"/>
      <c r="GB197" s="31"/>
      <c r="GC197" s="31"/>
      <c r="GD197" s="31"/>
      <c r="GE197" s="31"/>
      <c r="GF197" s="31"/>
      <c r="GG197" s="31"/>
      <c r="GH197" s="31"/>
      <c r="GI197" s="31"/>
      <c r="GJ197" s="31"/>
      <c r="GK197" s="31"/>
      <c r="GL197" s="31"/>
      <c r="GM197" s="31"/>
      <c r="GN197" s="31"/>
      <c r="GO197" s="31"/>
      <c r="GP197" s="31"/>
      <c r="GQ197" s="31"/>
      <c r="GR197" s="31"/>
      <c r="GS197" s="31"/>
      <c r="GT197" s="31"/>
      <c r="GU197" s="31"/>
      <c r="GV197" s="31"/>
      <c r="GW197" s="31"/>
      <c r="GX197" s="31"/>
      <c r="GY197" s="31"/>
      <c r="GZ197" s="31"/>
      <c r="HA197" s="31"/>
      <c r="HB197" s="31"/>
      <c r="HC197" s="31"/>
      <c r="HD197" s="31"/>
    </row>
    <row r="198" spans="1:212" x14ac:dyDescent="0.35">
      <c r="A198" s="32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/>
      <c r="FT198" s="31"/>
      <c r="FU198" s="31"/>
      <c r="FV198" s="31"/>
      <c r="FW198" s="31"/>
      <c r="FX198" s="31"/>
      <c r="FY198" s="31"/>
      <c r="FZ198" s="31"/>
      <c r="GA198" s="31"/>
      <c r="GB198" s="31"/>
      <c r="GC198" s="31"/>
      <c r="GD198" s="31"/>
      <c r="GE198" s="31"/>
      <c r="GF198" s="31"/>
      <c r="GG198" s="31"/>
      <c r="GH198" s="31"/>
      <c r="GI198" s="31"/>
      <c r="GJ198" s="31"/>
      <c r="GK198" s="31"/>
      <c r="GL198" s="31"/>
      <c r="GM198" s="31"/>
      <c r="GN198" s="31"/>
      <c r="GO198" s="31"/>
      <c r="GP198" s="31"/>
      <c r="GQ198" s="31"/>
      <c r="GR198" s="31"/>
      <c r="GS198" s="31"/>
      <c r="GT198" s="31"/>
      <c r="GU198" s="31"/>
      <c r="GV198" s="31"/>
      <c r="GW198" s="31"/>
      <c r="GX198" s="31"/>
      <c r="GY198" s="31"/>
      <c r="GZ198" s="31"/>
      <c r="HA198" s="31"/>
      <c r="HB198" s="31"/>
      <c r="HC198" s="31"/>
      <c r="HD198" s="31"/>
    </row>
    <row r="199" spans="1:212" x14ac:dyDescent="0.35">
      <c r="A199" s="32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</row>
    <row r="200" spans="1:212" x14ac:dyDescent="0.35">
      <c r="A200" s="32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  <c r="FN200" s="31"/>
      <c r="FO200" s="31"/>
      <c r="FP200" s="31"/>
      <c r="FQ200" s="31"/>
      <c r="FR200" s="31"/>
      <c r="FS200" s="31"/>
      <c r="FT200" s="31"/>
      <c r="FU200" s="31"/>
      <c r="FV200" s="31"/>
      <c r="FW200" s="31"/>
      <c r="FX200" s="31"/>
      <c r="FY200" s="31"/>
      <c r="FZ200" s="31"/>
      <c r="GA200" s="31"/>
      <c r="GB200" s="31"/>
      <c r="GC200" s="31"/>
      <c r="GD200" s="31"/>
      <c r="GE200" s="31"/>
      <c r="GF200" s="31"/>
      <c r="GG200" s="31"/>
      <c r="GH200" s="31"/>
      <c r="GI200" s="31"/>
      <c r="GJ200" s="31"/>
      <c r="GK200" s="31"/>
      <c r="GL200" s="31"/>
      <c r="GM200" s="31"/>
      <c r="GN200" s="31"/>
      <c r="GO200" s="31"/>
      <c r="GP200" s="31"/>
      <c r="GQ200" s="31"/>
      <c r="GR200" s="31"/>
      <c r="GS200" s="31"/>
      <c r="GT200" s="31"/>
      <c r="GU200" s="31"/>
      <c r="GV200" s="31"/>
      <c r="GW200" s="31"/>
      <c r="GX200" s="31"/>
      <c r="GY200" s="31"/>
      <c r="GZ200" s="31"/>
      <c r="HA200" s="31"/>
      <c r="HB200" s="31"/>
      <c r="HC200" s="31"/>
      <c r="HD200" s="31"/>
    </row>
    <row r="201" spans="1:212" x14ac:dyDescent="0.35">
      <c r="A201" s="32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</row>
    <row r="202" spans="1:212" x14ac:dyDescent="0.35">
      <c r="A202" s="32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1"/>
      <c r="EH202" s="31"/>
      <c r="EI202" s="31"/>
      <c r="EJ202" s="31"/>
      <c r="EK202" s="31"/>
      <c r="EL202" s="31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1"/>
      <c r="EZ202" s="31"/>
      <c r="FA202" s="31"/>
      <c r="FB202" s="31"/>
      <c r="FC202" s="31"/>
      <c r="FD202" s="31"/>
      <c r="FE202" s="31"/>
      <c r="FF202" s="31"/>
      <c r="FG202" s="31"/>
      <c r="FH202" s="31"/>
      <c r="FI202" s="31"/>
      <c r="FJ202" s="31"/>
      <c r="FK202" s="31"/>
      <c r="FL202" s="31"/>
      <c r="FM202" s="31"/>
      <c r="FN202" s="31"/>
      <c r="FO202" s="31"/>
      <c r="FP202" s="31"/>
      <c r="FQ202" s="31"/>
      <c r="FR202" s="31"/>
      <c r="FS202" s="31"/>
      <c r="FT202" s="31"/>
      <c r="FU202" s="31"/>
      <c r="FV202" s="31"/>
      <c r="FW202" s="31"/>
      <c r="FX202" s="31"/>
      <c r="FY202" s="31"/>
      <c r="FZ202" s="31"/>
      <c r="GA202" s="31"/>
      <c r="GB202" s="31"/>
      <c r="GC202" s="31"/>
      <c r="GD202" s="31"/>
      <c r="GE202" s="31"/>
      <c r="GF202" s="31"/>
      <c r="GG202" s="31"/>
      <c r="GH202" s="31"/>
      <c r="GI202" s="31"/>
      <c r="GJ202" s="31"/>
      <c r="GK202" s="31"/>
      <c r="GL202" s="31"/>
      <c r="GM202" s="31"/>
      <c r="GN202" s="31"/>
      <c r="GO202" s="31"/>
      <c r="GP202" s="31"/>
      <c r="GQ202" s="31"/>
      <c r="GR202" s="31"/>
      <c r="GS202" s="31"/>
      <c r="GT202" s="31"/>
      <c r="GU202" s="31"/>
      <c r="GV202" s="31"/>
      <c r="GW202" s="31"/>
      <c r="GX202" s="31"/>
      <c r="GY202" s="31"/>
      <c r="GZ202" s="31"/>
      <c r="HA202" s="31"/>
      <c r="HB202" s="31"/>
      <c r="HC202" s="31"/>
      <c r="HD202" s="31"/>
    </row>
    <row r="203" spans="1:212" x14ac:dyDescent="0.35">
      <c r="A203" s="32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  <c r="FN203" s="31"/>
      <c r="FO203" s="31"/>
      <c r="FP203" s="31"/>
      <c r="FQ203" s="31"/>
      <c r="FR203" s="31"/>
      <c r="FS203" s="31"/>
      <c r="FT203" s="31"/>
      <c r="FU203" s="31"/>
      <c r="FV203" s="31"/>
      <c r="FW203" s="31"/>
      <c r="FX203" s="31"/>
      <c r="FY203" s="31"/>
      <c r="FZ203" s="31"/>
      <c r="GA203" s="31"/>
      <c r="GB203" s="31"/>
      <c r="GC203" s="31"/>
      <c r="GD203" s="31"/>
      <c r="GE203" s="31"/>
      <c r="GF203" s="31"/>
      <c r="GG203" s="31"/>
      <c r="GH203" s="31"/>
      <c r="GI203" s="31"/>
      <c r="GJ203" s="31"/>
      <c r="GK203" s="31"/>
      <c r="GL203" s="31"/>
      <c r="GM203" s="31"/>
      <c r="GN203" s="31"/>
      <c r="GO203" s="31"/>
      <c r="GP203" s="31"/>
      <c r="GQ203" s="31"/>
      <c r="GR203" s="31"/>
      <c r="GS203" s="31"/>
      <c r="GT203" s="31"/>
      <c r="GU203" s="31"/>
      <c r="GV203" s="31"/>
      <c r="GW203" s="31"/>
      <c r="GX203" s="31"/>
      <c r="GY203" s="31"/>
      <c r="GZ203" s="31"/>
      <c r="HA203" s="31"/>
      <c r="HB203" s="31"/>
      <c r="HC203" s="31"/>
      <c r="HD203" s="31"/>
    </row>
    <row r="204" spans="1:212" x14ac:dyDescent="0.35">
      <c r="A204" s="32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  <c r="FH204" s="31"/>
      <c r="FI204" s="31"/>
      <c r="FJ204" s="31"/>
      <c r="FK204" s="31"/>
      <c r="FL204" s="31"/>
      <c r="FM204" s="31"/>
      <c r="FN204" s="31"/>
      <c r="FO204" s="31"/>
      <c r="FP204" s="31"/>
      <c r="FQ204" s="31"/>
      <c r="FR204" s="31"/>
      <c r="FS204" s="31"/>
      <c r="FT204" s="31"/>
      <c r="FU204" s="31"/>
      <c r="FV204" s="31"/>
      <c r="FW204" s="31"/>
      <c r="FX204" s="31"/>
      <c r="FY204" s="31"/>
      <c r="FZ204" s="31"/>
      <c r="GA204" s="31"/>
      <c r="GB204" s="31"/>
      <c r="GC204" s="31"/>
      <c r="GD204" s="31"/>
      <c r="GE204" s="31"/>
      <c r="GF204" s="31"/>
      <c r="GG204" s="31"/>
      <c r="GH204" s="31"/>
      <c r="GI204" s="31"/>
      <c r="GJ204" s="31"/>
      <c r="GK204" s="31"/>
      <c r="GL204" s="31"/>
      <c r="GM204" s="31"/>
      <c r="GN204" s="31"/>
      <c r="GO204" s="31"/>
      <c r="GP204" s="31"/>
      <c r="GQ204" s="31"/>
      <c r="GR204" s="31"/>
      <c r="GS204" s="31"/>
      <c r="GT204" s="31"/>
      <c r="GU204" s="31"/>
      <c r="GV204" s="31"/>
      <c r="GW204" s="31"/>
      <c r="GX204" s="31"/>
      <c r="GY204" s="31"/>
      <c r="GZ204" s="31"/>
      <c r="HA204" s="31"/>
      <c r="HB204" s="31"/>
      <c r="HC204" s="31"/>
      <c r="HD204" s="31"/>
    </row>
    <row r="205" spans="1:212" x14ac:dyDescent="0.35">
      <c r="A205" s="32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  <c r="FN205" s="31"/>
      <c r="FO205" s="31"/>
      <c r="FP205" s="31"/>
      <c r="FQ205" s="31"/>
      <c r="FR205" s="31"/>
      <c r="FS205" s="31"/>
      <c r="FT205" s="31"/>
      <c r="FU205" s="31"/>
      <c r="FV205" s="31"/>
      <c r="FW205" s="31"/>
      <c r="FX205" s="31"/>
      <c r="FY205" s="31"/>
      <c r="FZ205" s="31"/>
      <c r="GA205" s="31"/>
      <c r="GB205" s="31"/>
      <c r="GC205" s="31"/>
      <c r="GD205" s="31"/>
      <c r="GE205" s="31"/>
      <c r="GF205" s="31"/>
      <c r="GG205" s="31"/>
      <c r="GH205" s="31"/>
      <c r="GI205" s="31"/>
      <c r="GJ205" s="31"/>
      <c r="GK205" s="31"/>
      <c r="GL205" s="31"/>
      <c r="GM205" s="31"/>
      <c r="GN205" s="31"/>
      <c r="GO205" s="31"/>
      <c r="GP205" s="31"/>
      <c r="GQ205" s="31"/>
      <c r="GR205" s="31"/>
      <c r="GS205" s="31"/>
      <c r="GT205" s="31"/>
      <c r="GU205" s="31"/>
      <c r="GV205" s="31"/>
      <c r="GW205" s="31"/>
      <c r="GX205" s="31"/>
      <c r="GY205" s="31"/>
      <c r="GZ205" s="31"/>
      <c r="HA205" s="31"/>
      <c r="HB205" s="31"/>
      <c r="HC205" s="31"/>
      <c r="HD205" s="31"/>
    </row>
    <row r="206" spans="1:212" x14ac:dyDescent="0.35">
      <c r="A206" s="32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  <c r="EO206" s="31"/>
      <c r="EP206" s="31"/>
      <c r="EQ206" s="31"/>
      <c r="ER206" s="31"/>
      <c r="ES206" s="31"/>
      <c r="ET206" s="31"/>
      <c r="EU206" s="31"/>
      <c r="EV206" s="31"/>
      <c r="EW206" s="31"/>
      <c r="EX206" s="31"/>
      <c r="EY206" s="31"/>
      <c r="EZ206" s="31"/>
      <c r="FA206" s="31"/>
      <c r="FB206" s="31"/>
      <c r="FC206" s="31"/>
      <c r="FD206" s="31"/>
      <c r="FE206" s="31"/>
      <c r="FF206" s="31"/>
      <c r="FG206" s="31"/>
      <c r="FH206" s="31"/>
      <c r="FI206" s="31"/>
      <c r="FJ206" s="31"/>
      <c r="FK206" s="31"/>
      <c r="FL206" s="31"/>
      <c r="FM206" s="31"/>
      <c r="FN206" s="31"/>
      <c r="FO206" s="31"/>
      <c r="FP206" s="31"/>
      <c r="FQ206" s="31"/>
      <c r="FR206" s="31"/>
      <c r="FS206" s="31"/>
      <c r="FT206" s="31"/>
      <c r="FU206" s="31"/>
      <c r="FV206" s="31"/>
      <c r="FW206" s="31"/>
      <c r="FX206" s="31"/>
      <c r="FY206" s="31"/>
      <c r="FZ206" s="31"/>
      <c r="GA206" s="31"/>
      <c r="GB206" s="31"/>
      <c r="GC206" s="31"/>
      <c r="GD206" s="31"/>
      <c r="GE206" s="31"/>
      <c r="GF206" s="31"/>
      <c r="GG206" s="31"/>
      <c r="GH206" s="31"/>
      <c r="GI206" s="31"/>
      <c r="GJ206" s="31"/>
      <c r="GK206" s="31"/>
      <c r="GL206" s="31"/>
      <c r="GM206" s="31"/>
      <c r="GN206" s="31"/>
      <c r="GO206" s="31"/>
      <c r="GP206" s="31"/>
      <c r="GQ206" s="31"/>
      <c r="GR206" s="31"/>
      <c r="GS206" s="31"/>
      <c r="GT206" s="31"/>
      <c r="GU206" s="31"/>
      <c r="GV206" s="31"/>
      <c r="GW206" s="31"/>
      <c r="GX206" s="31"/>
      <c r="GY206" s="31"/>
      <c r="GZ206" s="31"/>
      <c r="HA206" s="31"/>
      <c r="HB206" s="31"/>
      <c r="HC206" s="31"/>
      <c r="HD206" s="31"/>
    </row>
    <row r="207" spans="1:212" x14ac:dyDescent="0.35">
      <c r="A207" s="32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  <c r="FN207" s="31"/>
      <c r="FO207" s="31"/>
      <c r="FP207" s="31"/>
      <c r="FQ207" s="31"/>
      <c r="FR207" s="31"/>
      <c r="FS207" s="31"/>
      <c r="FT207" s="31"/>
      <c r="FU207" s="31"/>
      <c r="FV207" s="31"/>
      <c r="FW207" s="31"/>
      <c r="FX207" s="31"/>
      <c r="FY207" s="31"/>
      <c r="FZ207" s="31"/>
      <c r="GA207" s="31"/>
      <c r="GB207" s="31"/>
      <c r="GC207" s="31"/>
      <c r="GD207" s="31"/>
      <c r="GE207" s="31"/>
      <c r="GF207" s="31"/>
      <c r="GG207" s="31"/>
      <c r="GH207" s="31"/>
      <c r="GI207" s="31"/>
      <c r="GJ207" s="31"/>
      <c r="GK207" s="31"/>
      <c r="GL207" s="31"/>
      <c r="GM207" s="31"/>
      <c r="GN207" s="31"/>
      <c r="GO207" s="31"/>
      <c r="GP207" s="31"/>
      <c r="GQ207" s="31"/>
      <c r="GR207" s="31"/>
      <c r="GS207" s="31"/>
      <c r="GT207" s="31"/>
      <c r="GU207" s="31"/>
      <c r="GV207" s="31"/>
      <c r="GW207" s="31"/>
      <c r="GX207" s="31"/>
      <c r="GY207" s="31"/>
      <c r="GZ207" s="31"/>
      <c r="HA207" s="31"/>
      <c r="HB207" s="31"/>
      <c r="HC207" s="31"/>
      <c r="HD207" s="31"/>
    </row>
    <row r="208" spans="1:212" x14ac:dyDescent="0.35">
      <c r="A208" s="32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  <c r="FH208" s="31"/>
      <c r="FI208" s="31"/>
      <c r="FJ208" s="31"/>
      <c r="FK208" s="31"/>
      <c r="FL208" s="31"/>
      <c r="FM208" s="31"/>
      <c r="FN208" s="31"/>
      <c r="FO208" s="31"/>
      <c r="FP208" s="31"/>
      <c r="FQ208" s="31"/>
      <c r="FR208" s="31"/>
      <c r="FS208" s="31"/>
      <c r="FT208" s="31"/>
      <c r="FU208" s="31"/>
      <c r="FV208" s="31"/>
      <c r="FW208" s="31"/>
      <c r="FX208" s="31"/>
      <c r="FY208" s="31"/>
      <c r="FZ208" s="31"/>
      <c r="GA208" s="31"/>
      <c r="GB208" s="31"/>
      <c r="GC208" s="31"/>
      <c r="GD208" s="31"/>
      <c r="GE208" s="31"/>
      <c r="GF208" s="31"/>
      <c r="GG208" s="31"/>
      <c r="GH208" s="31"/>
      <c r="GI208" s="31"/>
      <c r="GJ208" s="31"/>
      <c r="GK208" s="31"/>
      <c r="GL208" s="31"/>
      <c r="GM208" s="31"/>
      <c r="GN208" s="31"/>
      <c r="GO208" s="31"/>
      <c r="GP208" s="31"/>
      <c r="GQ208" s="31"/>
      <c r="GR208" s="31"/>
      <c r="GS208" s="31"/>
      <c r="GT208" s="31"/>
      <c r="GU208" s="31"/>
      <c r="GV208" s="31"/>
      <c r="GW208" s="31"/>
      <c r="GX208" s="31"/>
      <c r="GY208" s="31"/>
      <c r="GZ208" s="31"/>
      <c r="HA208" s="31"/>
      <c r="HB208" s="31"/>
      <c r="HC208" s="31"/>
      <c r="HD208" s="31"/>
    </row>
    <row r="209" spans="1:212" x14ac:dyDescent="0.35">
      <c r="A209" s="32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  <c r="FN209" s="31"/>
      <c r="FO209" s="31"/>
      <c r="FP209" s="31"/>
      <c r="FQ209" s="31"/>
      <c r="FR209" s="31"/>
      <c r="FS209" s="31"/>
      <c r="FT209" s="31"/>
      <c r="FU209" s="31"/>
      <c r="FV209" s="31"/>
      <c r="FW209" s="31"/>
      <c r="FX209" s="31"/>
      <c r="FY209" s="31"/>
      <c r="FZ209" s="31"/>
      <c r="GA209" s="31"/>
      <c r="GB209" s="31"/>
      <c r="GC209" s="31"/>
      <c r="GD209" s="31"/>
      <c r="GE209" s="31"/>
      <c r="GF209" s="31"/>
      <c r="GG209" s="31"/>
      <c r="GH209" s="31"/>
      <c r="GI209" s="31"/>
      <c r="GJ209" s="31"/>
      <c r="GK209" s="31"/>
      <c r="GL209" s="31"/>
      <c r="GM209" s="31"/>
      <c r="GN209" s="31"/>
      <c r="GO209" s="31"/>
      <c r="GP209" s="31"/>
      <c r="GQ209" s="31"/>
      <c r="GR209" s="31"/>
      <c r="GS209" s="31"/>
      <c r="GT209" s="31"/>
      <c r="GU209" s="31"/>
      <c r="GV209" s="31"/>
      <c r="GW209" s="31"/>
      <c r="GX209" s="31"/>
      <c r="GY209" s="31"/>
      <c r="GZ209" s="31"/>
      <c r="HA209" s="31"/>
      <c r="HB209" s="31"/>
      <c r="HC209" s="31"/>
      <c r="HD209" s="31"/>
    </row>
    <row r="210" spans="1:212" x14ac:dyDescent="0.35">
      <c r="A210" s="32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1"/>
      <c r="EH210" s="31"/>
      <c r="EI210" s="31"/>
      <c r="EJ210" s="31"/>
      <c r="EK210" s="31"/>
      <c r="EL210" s="31"/>
      <c r="EM210" s="31"/>
      <c r="EN210" s="31"/>
      <c r="EO210" s="31"/>
      <c r="EP210" s="31"/>
      <c r="EQ210" s="31"/>
      <c r="ER210" s="31"/>
      <c r="ES210" s="31"/>
      <c r="ET210" s="31"/>
      <c r="EU210" s="31"/>
      <c r="EV210" s="31"/>
      <c r="EW210" s="31"/>
      <c r="EX210" s="31"/>
      <c r="EY210" s="31"/>
      <c r="EZ210" s="31"/>
      <c r="FA210" s="31"/>
      <c r="FB210" s="31"/>
      <c r="FC210" s="31"/>
      <c r="FD210" s="31"/>
      <c r="FE210" s="31"/>
      <c r="FF210" s="31"/>
      <c r="FG210" s="31"/>
      <c r="FH210" s="31"/>
      <c r="FI210" s="31"/>
      <c r="FJ210" s="31"/>
      <c r="FK210" s="31"/>
      <c r="FL210" s="31"/>
      <c r="FM210" s="31"/>
      <c r="FN210" s="31"/>
      <c r="FO210" s="31"/>
      <c r="FP210" s="31"/>
      <c r="FQ210" s="31"/>
      <c r="FR210" s="31"/>
      <c r="FS210" s="31"/>
      <c r="FT210" s="31"/>
      <c r="FU210" s="31"/>
      <c r="FV210" s="31"/>
      <c r="FW210" s="31"/>
      <c r="FX210" s="31"/>
      <c r="FY210" s="31"/>
      <c r="FZ210" s="31"/>
      <c r="GA210" s="31"/>
      <c r="GB210" s="31"/>
      <c r="GC210" s="31"/>
      <c r="GD210" s="31"/>
      <c r="GE210" s="31"/>
      <c r="GF210" s="31"/>
      <c r="GG210" s="31"/>
      <c r="GH210" s="31"/>
      <c r="GI210" s="31"/>
      <c r="GJ210" s="31"/>
      <c r="GK210" s="31"/>
      <c r="GL210" s="31"/>
      <c r="GM210" s="31"/>
      <c r="GN210" s="31"/>
      <c r="GO210" s="31"/>
      <c r="GP210" s="31"/>
      <c r="GQ210" s="31"/>
      <c r="GR210" s="31"/>
      <c r="GS210" s="31"/>
      <c r="GT210" s="31"/>
      <c r="GU210" s="31"/>
      <c r="GV210" s="31"/>
      <c r="GW210" s="31"/>
      <c r="GX210" s="31"/>
      <c r="GY210" s="31"/>
      <c r="GZ210" s="31"/>
      <c r="HA210" s="31"/>
      <c r="HB210" s="31"/>
      <c r="HC210" s="31"/>
      <c r="HD210" s="31"/>
    </row>
    <row r="211" spans="1:212" x14ac:dyDescent="0.35">
      <c r="A211" s="32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</row>
    <row r="212" spans="1:212" x14ac:dyDescent="0.35">
      <c r="A212" s="32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1"/>
      <c r="EH212" s="31"/>
      <c r="EI212" s="31"/>
      <c r="EJ212" s="31"/>
      <c r="EK212" s="31"/>
      <c r="EL212" s="31"/>
      <c r="EM212" s="31"/>
      <c r="EN212" s="31"/>
      <c r="EO212" s="31"/>
      <c r="EP212" s="31"/>
      <c r="EQ212" s="31"/>
      <c r="ER212" s="31"/>
      <c r="ES212" s="31"/>
      <c r="ET212" s="31"/>
      <c r="EU212" s="31"/>
      <c r="EV212" s="31"/>
      <c r="EW212" s="31"/>
      <c r="EX212" s="31"/>
      <c r="EY212" s="31"/>
      <c r="EZ212" s="31"/>
      <c r="FA212" s="31"/>
      <c r="FB212" s="31"/>
      <c r="FC212" s="31"/>
      <c r="FD212" s="31"/>
      <c r="FE212" s="31"/>
      <c r="FF212" s="31"/>
      <c r="FG212" s="31"/>
      <c r="FH212" s="31"/>
      <c r="FI212" s="31"/>
      <c r="FJ212" s="31"/>
      <c r="FK212" s="31"/>
      <c r="FL212" s="31"/>
      <c r="FM212" s="31"/>
      <c r="FN212" s="31"/>
      <c r="FO212" s="31"/>
      <c r="FP212" s="31"/>
      <c r="FQ212" s="31"/>
      <c r="FR212" s="31"/>
      <c r="FS212" s="31"/>
      <c r="FT212" s="31"/>
      <c r="FU212" s="31"/>
      <c r="FV212" s="31"/>
      <c r="FW212" s="31"/>
      <c r="FX212" s="31"/>
      <c r="FY212" s="31"/>
      <c r="FZ212" s="31"/>
      <c r="GA212" s="31"/>
      <c r="GB212" s="31"/>
      <c r="GC212" s="31"/>
      <c r="GD212" s="31"/>
      <c r="GE212" s="31"/>
      <c r="GF212" s="31"/>
      <c r="GG212" s="31"/>
      <c r="GH212" s="31"/>
      <c r="GI212" s="31"/>
      <c r="GJ212" s="31"/>
      <c r="GK212" s="31"/>
      <c r="GL212" s="31"/>
      <c r="GM212" s="31"/>
      <c r="GN212" s="31"/>
      <c r="GO212" s="31"/>
      <c r="GP212" s="31"/>
      <c r="GQ212" s="31"/>
      <c r="GR212" s="31"/>
      <c r="GS212" s="31"/>
      <c r="GT212" s="31"/>
      <c r="GU212" s="31"/>
      <c r="GV212" s="31"/>
      <c r="GW212" s="31"/>
      <c r="GX212" s="31"/>
      <c r="GY212" s="31"/>
      <c r="GZ212" s="31"/>
      <c r="HA212" s="31"/>
      <c r="HB212" s="31"/>
      <c r="HC212" s="31"/>
      <c r="HD212" s="31"/>
    </row>
    <row r="213" spans="1:212" x14ac:dyDescent="0.35">
      <c r="A213" s="32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</row>
    <row r="214" spans="1:212" x14ac:dyDescent="0.35">
      <c r="A214" s="32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  <c r="GI214" s="31"/>
      <c r="GJ214" s="31"/>
      <c r="GK214" s="31"/>
      <c r="GL214" s="31"/>
      <c r="GM214" s="31"/>
      <c r="GN214" s="31"/>
      <c r="GO214" s="31"/>
      <c r="GP214" s="31"/>
      <c r="GQ214" s="31"/>
      <c r="GR214" s="31"/>
      <c r="GS214" s="31"/>
      <c r="GT214" s="31"/>
      <c r="GU214" s="31"/>
      <c r="GV214" s="31"/>
      <c r="GW214" s="31"/>
      <c r="GX214" s="31"/>
      <c r="GY214" s="31"/>
      <c r="GZ214" s="31"/>
      <c r="HA214" s="31"/>
      <c r="HB214" s="31"/>
      <c r="HC214" s="31"/>
      <c r="HD214" s="31"/>
    </row>
    <row r="215" spans="1:212" x14ac:dyDescent="0.35">
      <c r="A215" s="32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  <c r="FN215" s="31"/>
      <c r="FO215" s="31"/>
      <c r="FP215" s="31"/>
      <c r="FQ215" s="31"/>
      <c r="FR215" s="31"/>
      <c r="FS215" s="31"/>
      <c r="FT215" s="31"/>
      <c r="FU215" s="31"/>
      <c r="FV215" s="31"/>
      <c r="FW215" s="31"/>
      <c r="FX215" s="31"/>
      <c r="FY215" s="31"/>
      <c r="FZ215" s="31"/>
      <c r="GA215" s="31"/>
      <c r="GB215" s="31"/>
      <c r="GC215" s="31"/>
      <c r="GD215" s="31"/>
      <c r="GE215" s="31"/>
      <c r="GF215" s="31"/>
      <c r="GG215" s="31"/>
      <c r="GH215" s="31"/>
      <c r="GI215" s="31"/>
      <c r="GJ215" s="31"/>
      <c r="GK215" s="31"/>
      <c r="GL215" s="31"/>
      <c r="GM215" s="31"/>
      <c r="GN215" s="31"/>
      <c r="GO215" s="31"/>
      <c r="GP215" s="31"/>
      <c r="GQ215" s="31"/>
      <c r="GR215" s="31"/>
      <c r="GS215" s="31"/>
      <c r="GT215" s="31"/>
      <c r="GU215" s="31"/>
      <c r="GV215" s="31"/>
      <c r="GW215" s="31"/>
      <c r="GX215" s="31"/>
      <c r="GY215" s="31"/>
      <c r="GZ215" s="31"/>
      <c r="HA215" s="31"/>
      <c r="HB215" s="31"/>
      <c r="HC215" s="31"/>
      <c r="HD215" s="31"/>
    </row>
    <row r="216" spans="1:212" x14ac:dyDescent="0.35">
      <c r="A216" s="32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  <c r="FN216" s="31"/>
      <c r="FO216" s="31"/>
      <c r="FP216" s="31"/>
      <c r="FQ216" s="31"/>
      <c r="FR216" s="31"/>
      <c r="FS216" s="31"/>
      <c r="FT216" s="31"/>
      <c r="FU216" s="31"/>
      <c r="FV216" s="31"/>
      <c r="FW216" s="31"/>
      <c r="FX216" s="31"/>
      <c r="FY216" s="31"/>
      <c r="FZ216" s="31"/>
      <c r="GA216" s="31"/>
      <c r="GB216" s="31"/>
      <c r="GC216" s="31"/>
      <c r="GD216" s="31"/>
      <c r="GE216" s="31"/>
      <c r="GF216" s="31"/>
      <c r="GG216" s="31"/>
      <c r="GH216" s="31"/>
      <c r="GI216" s="31"/>
      <c r="GJ216" s="31"/>
      <c r="GK216" s="31"/>
      <c r="GL216" s="31"/>
      <c r="GM216" s="31"/>
      <c r="GN216" s="31"/>
      <c r="GO216" s="31"/>
      <c r="GP216" s="31"/>
      <c r="GQ216" s="31"/>
      <c r="GR216" s="31"/>
      <c r="GS216" s="31"/>
      <c r="GT216" s="31"/>
      <c r="GU216" s="31"/>
      <c r="GV216" s="31"/>
      <c r="GW216" s="31"/>
      <c r="GX216" s="31"/>
      <c r="GY216" s="31"/>
      <c r="GZ216" s="31"/>
      <c r="HA216" s="31"/>
      <c r="HB216" s="31"/>
      <c r="HC216" s="31"/>
      <c r="HD216" s="31"/>
    </row>
    <row r="217" spans="1:212" x14ac:dyDescent="0.3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/>
      <c r="FM217" s="31"/>
      <c r="FN217" s="31"/>
      <c r="FO217" s="31"/>
      <c r="FP217" s="31"/>
      <c r="FQ217" s="31"/>
      <c r="FR217" s="31"/>
      <c r="FS217" s="31"/>
      <c r="FT217" s="31"/>
      <c r="FU217" s="31"/>
      <c r="FV217" s="31"/>
      <c r="FW217" s="31"/>
      <c r="FX217" s="31"/>
      <c r="FY217" s="31"/>
      <c r="FZ217" s="31"/>
      <c r="GA217" s="31"/>
      <c r="GB217" s="31"/>
      <c r="GC217" s="31"/>
      <c r="GD217" s="31"/>
      <c r="GE217" s="31"/>
      <c r="GF217" s="31"/>
      <c r="GG217" s="31"/>
      <c r="GH217" s="31"/>
      <c r="GI217" s="31"/>
      <c r="GJ217" s="31"/>
      <c r="GK217" s="31"/>
      <c r="GL217" s="31"/>
      <c r="GM217" s="31"/>
      <c r="GN217" s="31"/>
      <c r="GO217" s="31"/>
      <c r="GP217" s="31"/>
      <c r="GQ217" s="31"/>
      <c r="GR217" s="31"/>
      <c r="GS217" s="31"/>
      <c r="GT217" s="31"/>
      <c r="GU217" s="31"/>
      <c r="GV217" s="31"/>
      <c r="GW217" s="31"/>
      <c r="GX217" s="31"/>
      <c r="GY217" s="31"/>
      <c r="GZ217" s="31"/>
      <c r="HA217" s="31"/>
      <c r="HB217" s="31"/>
      <c r="HC217" s="31"/>
      <c r="HD217" s="31"/>
    </row>
    <row r="218" spans="1:212" x14ac:dyDescent="0.3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  <c r="FN218" s="31"/>
      <c r="FO218" s="31"/>
      <c r="FP218" s="31"/>
      <c r="FQ218" s="31"/>
      <c r="FR218" s="31"/>
      <c r="FS218" s="31"/>
      <c r="FT218" s="31"/>
      <c r="FU218" s="31"/>
      <c r="FV218" s="31"/>
      <c r="FW218" s="31"/>
      <c r="FX218" s="31"/>
      <c r="FY218" s="31"/>
      <c r="FZ218" s="31"/>
      <c r="GA218" s="31"/>
      <c r="GB218" s="31"/>
      <c r="GC218" s="31"/>
      <c r="GD218" s="31"/>
      <c r="GE218" s="31"/>
      <c r="GF218" s="31"/>
      <c r="GG218" s="31"/>
      <c r="GH218" s="31"/>
      <c r="GI218" s="31"/>
      <c r="GJ218" s="31"/>
      <c r="GK218" s="31"/>
      <c r="GL218" s="31"/>
      <c r="GM218" s="31"/>
      <c r="GN218" s="31"/>
      <c r="GO218" s="31"/>
      <c r="GP218" s="31"/>
      <c r="GQ218" s="31"/>
      <c r="GR218" s="31"/>
      <c r="GS218" s="31"/>
      <c r="GT218" s="31"/>
      <c r="GU218" s="31"/>
      <c r="GV218" s="31"/>
      <c r="GW218" s="31"/>
      <c r="GX218" s="31"/>
      <c r="GY218" s="31"/>
      <c r="GZ218" s="31"/>
      <c r="HA218" s="31"/>
      <c r="HB218" s="31"/>
      <c r="HC218" s="31"/>
      <c r="HD218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6309-C94F-4879-96E7-02538FBBA318}">
  <sheetPr>
    <tabColor rgb="FFFFFF00"/>
  </sheetPr>
  <dimension ref="A1:BX242"/>
  <sheetViews>
    <sheetView showZeros="0" topLeftCell="A36" zoomScale="70" zoomScaleNormal="70" workbookViewId="0">
      <selection activeCell="BX49" sqref="BX49:BX94"/>
    </sheetView>
  </sheetViews>
  <sheetFormatPr defaultColWidth="8.7265625" defaultRowHeight="14.5" x14ac:dyDescent="0.35"/>
  <cols>
    <col min="1" max="1" width="34.81640625" customWidth="1"/>
    <col min="2" max="2" width="15.7265625" customWidth="1"/>
    <col min="3" max="3" width="16" customWidth="1"/>
    <col min="4" max="17" width="9.1796875"/>
    <col min="18" max="18" width="22" customWidth="1"/>
    <col min="19" max="19" width="16.26953125" customWidth="1"/>
    <col min="20" max="20" width="14.26953125" customWidth="1"/>
    <col min="21" max="70" width="9.1796875" customWidth="1"/>
  </cols>
  <sheetData>
    <row r="1" spans="1:70" ht="18.5" x14ac:dyDescent="0.45">
      <c r="A1" s="5" t="s">
        <v>664</v>
      </c>
      <c r="R1" s="32" t="s">
        <v>726</v>
      </c>
      <c r="S1" s="32" t="s">
        <v>727</v>
      </c>
      <c r="T1" s="5"/>
      <c r="AL1" s="5"/>
    </row>
    <row r="2" spans="1:70" x14ac:dyDescent="0.35">
      <c r="A2" s="3" t="s">
        <v>669</v>
      </c>
      <c r="C2" s="4"/>
      <c r="R2" s="32" t="s">
        <v>148</v>
      </c>
      <c r="S2" s="32" t="s">
        <v>182</v>
      </c>
      <c r="T2" s="3"/>
      <c r="U2" s="4"/>
      <c r="AL2" s="3"/>
      <c r="AM2" s="4"/>
    </row>
    <row r="3" spans="1:70" s="34" customFormat="1" x14ac:dyDescent="0.35"/>
    <row r="4" spans="1:70" x14ac:dyDescent="0.35">
      <c r="A4" t="s">
        <v>665</v>
      </c>
      <c r="C4" s="4"/>
      <c r="T4" s="3"/>
      <c r="U4" s="4"/>
      <c r="AL4" s="3"/>
      <c r="AM4" s="4"/>
    </row>
    <row r="5" spans="1:70" x14ac:dyDescent="0.35">
      <c r="A5" s="3"/>
      <c r="C5" s="4"/>
      <c r="T5" s="3"/>
      <c r="U5" s="4"/>
      <c r="AL5" s="3"/>
      <c r="AM5" s="4"/>
    </row>
    <row r="6" spans="1:70" x14ac:dyDescent="0.35">
      <c r="A6" s="75" t="s">
        <v>666</v>
      </c>
      <c r="B6" t="s">
        <v>694</v>
      </c>
      <c r="C6" t="s">
        <v>35</v>
      </c>
      <c r="D6" t="s">
        <v>26</v>
      </c>
      <c r="E6" t="s">
        <v>24</v>
      </c>
      <c r="F6" t="s">
        <v>27</v>
      </c>
      <c r="G6" t="s">
        <v>28</v>
      </c>
      <c r="H6" t="s">
        <v>33</v>
      </c>
      <c r="I6" t="s">
        <v>700</v>
      </c>
      <c r="J6" t="s">
        <v>31</v>
      </c>
      <c r="K6" t="s">
        <v>32</v>
      </c>
      <c r="L6" t="s">
        <v>498</v>
      </c>
      <c r="M6" t="s">
        <v>496</v>
      </c>
      <c r="N6" t="s">
        <v>500</v>
      </c>
      <c r="O6" t="s">
        <v>25</v>
      </c>
      <c r="P6" t="s">
        <v>34</v>
      </c>
      <c r="Q6" t="s">
        <v>707</v>
      </c>
      <c r="R6" t="s">
        <v>36</v>
      </c>
      <c r="S6" t="s">
        <v>44</v>
      </c>
      <c r="T6" t="s">
        <v>45</v>
      </c>
      <c r="U6" t="s">
        <v>52</v>
      </c>
      <c r="V6" t="s">
        <v>55</v>
      </c>
      <c r="W6" t="s">
        <v>56</v>
      </c>
      <c r="X6" t="s">
        <v>54</v>
      </c>
      <c r="Y6" t="s">
        <v>728</v>
      </c>
      <c r="Z6" t="s">
        <v>29</v>
      </c>
      <c r="AA6" t="s">
        <v>30</v>
      </c>
      <c r="AB6" t="s">
        <v>709</v>
      </c>
      <c r="AC6" t="s">
        <v>702</v>
      </c>
      <c r="AD6" t="s">
        <v>704</v>
      </c>
      <c r="AE6" t="s">
        <v>37</v>
      </c>
      <c r="AF6" t="s">
        <v>38</v>
      </c>
      <c r="AG6" t="s">
        <v>502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46</v>
      </c>
      <c r="AN6" t="s">
        <v>49</v>
      </c>
      <c r="AO6" t="s">
        <v>550</v>
      </c>
      <c r="AP6" t="s">
        <v>47</v>
      </c>
      <c r="AQ6" t="s">
        <v>48</v>
      </c>
      <c r="AR6" t="s">
        <v>50</v>
      </c>
      <c r="AS6" t="s">
        <v>51</v>
      </c>
      <c r="AT6" t="s">
        <v>53</v>
      </c>
      <c r="AU6" t="s">
        <v>57</v>
      </c>
    </row>
    <row r="7" spans="1:70" x14ac:dyDescent="0.35">
      <c r="A7" s="75" t="s">
        <v>667</v>
      </c>
      <c r="B7" t="str">
        <f>"c"&amp;B6</f>
        <v>ccere</v>
      </c>
      <c r="C7" t="str">
        <f t="shared" ref="C7:X7" si="0">"c"&amp;C6</f>
        <v>cgmll</v>
      </c>
      <c r="D7" t="str">
        <f t="shared" si="0"/>
        <v>croot</v>
      </c>
      <c r="E7" t="str">
        <f t="shared" si="0"/>
        <v>cpuls</v>
      </c>
      <c r="F7" t="str">
        <f t="shared" si="0"/>
        <v>cvege</v>
      </c>
      <c r="G7" t="str">
        <f t="shared" si="0"/>
        <v>cfrui</v>
      </c>
      <c r="H7" t="str">
        <f t="shared" si="0"/>
        <v>cfveg</v>
      </c>
      <c r="I7" t="str">
        <f t="shared" si="0"/>
        <v>clive</v>
      </c>
      <c r="J7" t="str">
        <f t="shared" si="0"/>
        <v>cfish</v>
      </c>
      <c r="K7" t="str">
        <f t="shared" si="0"/>
        <v>cmeat</v>
      </c>
      <c r="L7" t="str">
        <f t="shared" si="0"/>
        <v>cfsea</v>
      </c>
      <c r="M7" t="str">
        <f t="shared" si="0"/>
        <v>cmilk</v>
      </c>
      <c r="N7" t="str">
        <f t="shared" si="0"/>
        <v>cdair</v>
      </c>
      <c r="O7" t="str">
        <f t="shared" si="0"/>
        <v>coils</v>
      </c>
      <c r="P7" t="str">
        <f t="shared" si="0"/>
        <v>cfoil</v>
      </c>
      <c r="Q7" t="str">
        <f t="shared" si="0"/>
        <v>cfobe</v>
      </c>
      <c r="R7" t="str">
        <f t="shared" si="0"/>
        <v>ctext</v>
      </c>
      <c r="S7" t="str">
        <f t="shared" si="0"/>
        <v>celec</v>
      </c>
      <c r="T7" t="str">
        <f t="shared" si="0"/>
        <v>cwatr</v>
      </c>
      <c r="U7" t="str">
        <f t="shared" si="0"/>
        <v>creal</v>
      </c>
      <c r="V7" t="str">
        <f t="shared" si="0"/>
        <v>ceduc</v>
      </c>
      <c r="W7" t="str">
        <f t="shared" si="0"/>
        <v>cheal</v>
      </c>
      <c r="X7" t="str">
        <f t="shared" si="0"/>
        <v>cpadm</v>
      </c>
      <c r="Y7" t="s">
        <v>727</v>
      </c>
      <c r="Z7" t="str">
        <f t="shared" ref="Z7:AU7" si="1">"c"&amp;Z6</f>
        <v>cocrp</v>
      </c>
      <c r="AA7" t="str">
        <f t="shared" si="1"/>
        <v>cfore</v>
      </c>
      <c r="AB7" t="str">
        <f t="shared" si="1"/>
        <v>coapr</v>
      </c>
      <c r="AC7" t="str">
        <f t="shared" si="1"/>
        <v>cmine</v>
      </c>
      <c r="AD7" t="str">
        <f t="shared" si="1"/>
        <v>cmino</v>
      </c>
      <c r="AE7" t="str">
        <f t="shared" si="1"/>
        <v>cwood</v>
      </c>
      <c r="AF7" t="str">
        <f t="shared" si="1"/>
        <v>cpetr</v>
      </c>
      <c r="AG7" t="str">
        <f t="shared" si="1"/>
        <v>cfert</v>
      </c>
      <c r="AH7" t="str">
        <f t="shared" si="1"/>
        <v>cchem</v>
      </c>
      <c r="AI7" t="str">
        <f t="shared" si="1"/>
        <v>cnmet</v>
      </c>
      <c r="AJ7" t="str">
        <f t="shared" si="1"/>
        <v>cmetl</v>
      </c>
      <c r="AK7" t="str">
        <f t="shared" si="1"/>
        <v>cmach</v>
      </c>
      <c r="AL7" t="str">
        <f t="shared" si="1"/>
        <v>coman</v>
      </c>
      <c r="AM7" t="str">
        <f t="shared" si="1"/>
        <v>ccons</v>
      </c>
      <c r="AN7" t="str">
        <f t="shared" si="1"/>
        <v>chotl</v>
      </c>
      <c r="AO7" t="str">
        <f t="shared" si="1"/>
        <v>crest</v>
      </c>
      <c r="AP7" t="str">
        <f t="shared" si="1"/>
        <v>ctrad</v>
      </c>
      <c r="AQ7" t="str">
        <f t="shared" si="1"/>
        <v>ctran</v>
      </c>
      <c r="AR7" t="str">
        <f t="shared" si="1"/>
        <v>ccomm</v>
      </c>
      <c r="AS7" t="str">
        <f t="shared" si="1"/>
        <v>cfsrv</v>
      </c>
      <c r="AT7" t="str">
        <f t="shared" si="1"/>
        <v>cbsrv</v>
      </c>
      <c r="AU7" t="str">
        <f t="shared" si="1"/>
        <v>cosrv</v>
      </c>
    </row>
    <row r="8" spans="1:70" x14ac:dyDescent="0.35">
      <c r="A8" s="76" t="s">
        <v>668</v>
      </c>
      <c r="B8" s="26" t="str">
        <f>"a"&amp;B6</f>
        <v>acere</v>
      </c>
      <c r="C8" s="26" t="str">
        <f t="shared" ref="C8:X8" si="2">"a"&amp;C6</f>
        <v>agmll</v>
      </c>
      <c r="D8" s="26" t="str">
        <f t="shared" si="2"/>
        <v>aroot</v>
      </c>
      <c r="E8" s="26" t="str">
        <f t="shared" si="2"/>
        <v>apuls</v>
      </c>
      <c r="F8" s="26" t="str">
        <f t="shared" si="2"/>
        <v>avege</v>
      </c>
      <c r="G8" s="26" t="str">
        <f t="shared" si="2"/>
        <v>afrui</v>
      </c>
      <c r="H8" s="26" t="str">
        <f t="shared" si="2"/>
        <v>afveg</v>
      </c>
      <c r="I8" s="26" t="str">
        <f t="shared" si="2"/>
        <v>alive</v>
      </c>
      <c r="J8" s="26" t="str">
        <f t="shared" si="2"/>
        <v>afish</v>
      </c>
      <c r="K8" s="26" t="str">
        <f t="shared" si="2"/>
        <v>ameat</v>
      </c>
      <c r="L8" s="26" t="str">
        <f t="shared" si="2"/>
        <v>afsea</v>
      </c>
      <c r="M8" s="26" t="str">
        <f t="shared" si="2"/>
        <v>amilk</v>
      </c>
      <c r="N8" s="26" t="str">
        <f t="shared" si="2"/>
        <v>adair</v>
      </c>
      <c r="O8" s="26" t="str">
        <f t="shared" si="2"/>
        <v>aoils</v>
      </c>
      <c r="P8" s="26" t="str">
        <f t="shared" si="2"/>
        <v>afoil</v>
      </c>
      <c r="Q8" s="26" t="str">
        <f t="shared" si="2"/>
        <v>afobe</v>
      </c>
      <c r="R8" s="26" t="str">
        <f t="shared" si="2"/>
        <v>atext</v>
      </c>
      <c r="S8" s="26" t="str">
        <f t="shared" si="2"/>
        <v>aelec</v>
      </c>
      <c r="T8" s="26" t="str">
        <f t="shared" si="2"/>
        <v>awatr</v>
      </c>
      <c r="U8" s="26" t="str">
        <f t="shared" si="2"/>
        <v>areal</v>
      </c>
      <c r="V8" s="26" t="str">
        <f t="shared" si="2"/>
        <v>aeduc</v>
      </c>
      <c r="W8" s="26" t="str">
        <f t="shared" si="2"/>
        <v>aheal</v>
      </c>
      <c r="X8" s="26" t="str">
        <f t="shared" si="2"/>
        <v>apadm</v>
      </c>
      <c r="Y8" t="s">
        <v>726</v>
      </c>
      <c r="Z8" s="26" t="str">
        <f t="shared" ref="Z8:AU8" si="3">"a"&amp;Z6</f>
        <v>aocrp</v>
      </c>
      <c r="AA8" s="26" t="str">
        <f t="shared" si="3"/>
        <v>afore</v>
      </c>
      <c r="AB8" s="26" t="str">
        <f t="shared" si="3"/>
        <v>aoapr</v>
      </c>
      <c r="AC8" s="26" t="str">
        <f t="shared" si="3"/>
        <v>amine</v>
      </c>
      <c r="AD8" s="26" t="str">
        <f t="shared" si="3"/>
        <v>amino</v>
      </c>
      <c r="AE8" s="26" t="str">
        <f t="shared" si="3"/>
        <v>awood</v>
      </c>
      <c r="AF8" s="26" t="str">
        <f t="shared" si="3"/>
        <v>apetr</v>
      </c>
      <c r="AG8" s="26" t="str">
        <f t="shared" si="3"/>
        <v>afert</v>
      </c>
      <c r="AH8" s="26" t="str">
        <f t="shared" si="3"/>
        <v>achem</v>
      </c>
      <c r="AI8" s="26" t="str">
        <f t="shared" si="3"/>
        <v>anmet</v>
      </c>
      <c r="AJ8" s="26" t="str">
        <f t="shared" si="3"/>
        <v>ametl</v>
      </c>
      <c r="AK8" s="26" t="str">
        <f t="shared" si="3"/>
        <v>amach</v>
      </c>
      <c r="AL8" s="26" t="str">
        <f t="shared" si="3"/>
        <v>aoman</v>
      </c>
      <c r="AM8" s="26" t="str">
        <f t="shared" si="3"/>
        <v>acons</v>
      </c>
      <c r="AN8" s="26" t="str">
        <f t="shared" si="3"/>
        <v>ahotl</v>
      </c>
      <c r="AO8" s="26" t="str">
        <f t="shared" si="3"/>
        <v>arest</v>
      </c>
      <c r="AP8" s="26" t="str">
        <f t="shared" si="3"/>
        <v>atrad</v>
      </c>
      <c r="AQ8" s="26" t="str">
        <f t="shared" si="3"/>
        <v>atran</v>
      </c>
      <c r="AR8" s="26" t="str">
        <f t="shared" si="3"/>
        <v>acomm</v>
      </c>
      <c r="AS8" s="26" t="str">
        <f t="shared" si="3"/>
        <v>afsrv</v>
      </c>
      <c r="AT8" s="26" t="str">
        <f t="shared" si="3"/>
        <v>absrv</v>
      </c>
      <c r="AU8" s="26" t="str">
        <f t="shared" si="3"/>
        <v>aosrv</v>
      </c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</row>
    <row r="9" spans="1:70" x14ac:dyDescent="0.35">
      <c r="A9" s="77" t="s">
        <v>656</v>
      </c>
      <c r="B9" s="47" t="s">
        <v>616</v>
      </c>
      <c r="C9" s="47" t="s">
        <v>616</v>
      </c>
      <c r="D9" s="50" t="s">
        <v>618</v>
      </c>
      <c r="E9" s="50" t="s">
        <v>617</v>
      </c>
      <c r="F9" s="50" t="s">
        <v>725</v>
      </c>
      <c r="G9" s="50" t="s">
        <v>620</v>
      </c>
      <c r="H9" s="50" t="s">
        <v>620</v>
      </c>
      <c r="I9" s="47" t="s">
        <v>621</v>
      </c>
      <c r="J9" s="47" t="s">
        <v>621</v>
      </c>
      <c r="K9" s="47" t="s">
        <v>621</v>
      </c>
      <c r="L9" s="47" t="s">
        <v>621</v>
      </c>
      <c r="M9" s="50" t="s">
        <v>622</v>
      </c>
      <c r="N9" s="50" t="s">
        <v>622</v>
      </c>
      <c r="O9" s="50" t="s">
        <v>623</v>
      </c>
      <c r="P9" s="50" t="s">
        <v>623</v>
      </c>
      <c r="Q9" s="53" t="s">
        <v>624</v>
      </c>
      <c r="R9" s="73" t="s">
        <v>626</v>
      </c>
      <c r="S9" s="53" t="s">
        <v>629</v>
      </c>
      <c r="T9" s="53" t="s">
        <v>629</v>
      </c>
      <c r="U9" s="50" t="s">
        <v>633</v>
      </c>
      <c r="V9" s="50" t="s">
        <v>634</v>
      </c>
      <c r="W9" s="50" t="s">
        <v>634</v>
      </c>
      <c r="X9" s="50" t="s">
        <v>634</v>
      </c>
      <c r="Y9" s="56" t="s">
        <v>625</v>
      </c>
      <c r="Z9" s="56" t="s">
        <v>625</v>
      </c>
      <c r="AA9" s="56" t="s">
        <v>625</v>
      </c>
      <c r="AB9" s="56" t="s">
        <v>625</v>
      </c>
      <c r="AC9" s="50" t="s">
        <v>627</v>
      </c>
      <c r="AD9" s="50" t="s">
        <v>627</v>
      </c>
      <c r="AE9" s="50" t="s">
        <v>628</v>
      </c>
      <c r="AF9" s="50" t="s">
        <v>628</v>
      </c>
      <c r="AG9" s="50" t="s">
        <v>628</v>
      </c>
      <c r="AH9" s="50" t="s">
        <v>628</v>
      </c>
      <c r="AI9" s="50" t="s">
        <v>628</v>
      </c>
      <c r="AJ9" s="50" t="s">
        <v>628</v>
      </c>
      <c r="AK9" s="50" t="s">
        <v>628</v>
      </c>
      <c r="AL9" s="50" t="s">
        <v>628</v>
      </c>
      <c r="AM9" s="47" t="s">
        <v>630</v>
      </c>
      <c r="AN9" s="47" t="s">
        <v>631</v>
      </c>
      <c r="AO9" s="47" t="s">
        <v>631</v>
      </c>
      <c r="AP9" s="47" t="s">
        <v>632</v>
      </c>
      <c r="AQ9" s="47" t="s">
        <v>632</v>
      </c>
      <c r="AR9" s="47" t="s">
        <v>635</v>
      </c>
      <c r="AS9" s="47" t="s">
        <v>635</v>
      </c>
      <c r="AT9" s="47" t="s">
        <v>635</v>
      </c>
      <c r="AU9" s="47" t="s">
        <v>635</v>
      </c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</row>
    <row r="10" spans="1:70" x14ac:dyDescent="0.35">
      <c r="A10" s="75" t="s">
        <v>659</v>
      </c>
      <c r="B10" t="str">
        <f t="shared" ref="B10:X10" si="4">VLOOKUP(B9,$R$102:$S$122,2,FALSE)</f>
        <v>given</v>
      </c>
      <c r="C10" t="str">
        <f t="shared" si="4"/>
        <v>given</v>
      </c>
      <c r="D10" t="str">
        <f t="shared" si="4"/>
        <v>given</v>
      </c>
      <c r="E10" t="str">
        <f t="shared" si="4"/>
        <v>given</v>
      </c>
      <c r="F10" t="str">
        <f t="shared" si="4"/>
        <v>given</v>
      </c>
      <c r="G10" t="str">
        <f t="shared" si="4"/>
        <v>given</v>
      </c>
      <c r="H10" t="str">
        <f t="shared" si="4"/>
        <v>given</v>
      </c>
      <c r="I10" t="str">
        <f t="shared" si="4"/>
        <v>given</v>
      </c>
      <c r="J10" t="str">
        <f t="shared" si="4"/>
        <v>given</v>
      </c>
      <c r="K10" t="str">
        <f t="shared" si="4"/>
        <v>given</v>
      </c>
      <c r="L10" t="str">
        <f t="shared" si="4"/>
        <v>given</v>
      </c>
      <c r="M10" t="str">
        <f t="shared" si="4"/>
        <v>given</v>
      </c>
      <c r="N10" t="str">
        <f t="shared" si="4"/>
        <v>given</v>
      </c>
      <c r="O10" t="str">
        <f t="shared" si="4"/>
        <v>given</v>
      </c>
      <c r="P10" t="str">
        <f t="shared" si="4"/>
        <v>given</v>
      </c>
      <c r="Q10" t="str">
        <f t="shared" si="4"/>
        <v>given</v>
      </c>
      <c r="R10" t="str">
        <f t="shared" si="4"/>
        <v>given</v>
      </c>
      <c r="S10" t="str">
        <f t="shared" si="4"/>
        <v>given</v>
      </c>
      <c r="T10" t="str">
        <f t="shared" si="4"/>
        <v>given</v>
      </c>
      <c r="U10" t="str">
        <f t="shared" si="4"/>
        <v>given</v>
      </c>
      <c r="V10" t="str">
        <f t="shared" si="4"/>
        <v>given</v>
      </c>
      <c r="W10" t="str">
        <f t="shared" si="4"/>
        <v>given</v>
      </c>
      <c r="X10" t="str">
        <f t="shared" si="4"/>
        <v>given</v>
      </c>
      <c r="Y10" t="str">
        <f t="shared" ref="Y10:AU10" si="5">VLOOKUP(Y9,$R$102:$S$122,2,FALSE)</f>
        <v>residual</v>
      </c>
      <c r="Z10" t="str">
        <f t="shared" si="5"/>
        <v>residual</v>
      </c>
      <c r="AA10" t="str">
        <f t="shared" si="5"/>
        <v>residual</v>
      </c>
      <c r="AB10" t="str">
        <f t="shared" si="5"/>
        <v>residual</v>
      </c>
      <c r="AC10" t="str">
        <f t="shared" si="5"/>
        <v>residual</v>
      </c>
      <c r="AD10" t="str">
        <f t="shared" si="5"/>
        <v>residual</v>
      </c>
      <c r="AE10" t="str">
        <f t="shared" si="5"/>
        <v>residual</v>
      </c>
      <c r="AF10" t="str">
        <f t="shared" si="5"/>
        <v>residual</v>
      </c>
      <c r="AG10" t="str">
        <f t="shared" si="5"/>
        <v>residual</v>
      </c>
      <c r="AH10" t="str">
        <f t="shared" si="5"/>
        <v>residual</v>
      </c>
      <c r="AI10" t="str">
        <f t="shared" si="5"/>
        <v>residual</v>
      </c>
      <c r="AJ10" t="str">
        <f t="shared" si="5"/>
        <v>residual</v>
      </c>
      <c r="AK10" t="str">
        <f t="shared" si="5"/>
        <v>residual</v>
      </c>
      <c r="AL10" t="str">
        <f t="shared" si="5"/>
        <v>residual</v>
      </c>
      <c r="AM10" t="str">
        <f t="shared" si="5"/>
        <v>residual</v>
      </c>
      <c r="AN10" t="str">
        <f t="shared" si="5"/>
        <v>residual</v>
      </c>
      <c r="AO10" t="str">
        <f t="shared" si="5"/>
        <v>residual</v>
      </c>
      <c r="AP10" t="str">
        <f t="shared" si="5"/>
        <v>residual</v>
      </c>
      <c r="AQ10" t="str">
        <f t="shared" si="5"/>
        <v>residual</v>
      </c>
      <c r="AR10" t="str">
        <f t="shared" si="5"/>
        <v>residual</v>
      </c>
      <c r="AS10" t="str">
        <f t="shared" si="5"/>
        <v>residual</v>
      </c>
      <c r="AT10" t="str">
        <f t="shared" si="5"/>
        <v>residual</v>
      </c>
      <c r="AU10" t="str">
        <f t="shared" si="5"/>
        <v>residual</v>
      </c>
    </row>
    <row r="11" spans="1:70" x14ac:dyDescent="0.35">
      <c r="A11" s="3"/>
      <c r="C11" s="4"/>
      <c r="T11" s="3"/>
      <c r="U11" s="4"/>
      <c r="AL11" s="3"/>
      <c r="AM11" s="4"/>
    </row>
    <row r="12" spans="1:70" x14ac:dyDescent="0.35">
      <c r="A12" s="74" t="s">
        <v>661</v>
      </c>
      <c r="C12" s="4"/>
      <c r="T12" s="3"/>
      <c r="U12" s="4"/>
      <c r="AL12" s="3"/>
      <c r="AM12" s="4"/>
    </row>
    <row r="13" spans="1:70" x14ac:dyDescent="0.35">
      <c r="A13" s="74" t="s">
        <v>663</v>
      </c>
      <c r="C13" s="4"/>
      <c r="D13" s="43"/>
      <c r="T13" s="3"/>
      <c r="U13" s="4"/>
      <c r="AL13" s="3"/>
      <c r="AM13" s="4"/>
    </row>
    <row r="14" spans="1:70" s="34" customFormat="1" x14ac:dyDescent="0.35"/>
    <row r="15" spans="1:70" x14ac:dyDescent="0.35">
      <c r="A15" t="s">
        <v>649</v>
      </c>
    </row>
    <row r="16" spans="1:70" x14ac:dyDescent="0.35">
      <c r="A16" t="s">
        <v>637</v>
      </c>
      <c r="U16" t="s">
        <v>641</v>
      </c>
    </row>
    <row r="17" spans="1:36" x14ac:dyDescent="0.35">
      <c r="A17" s="162" t="s">
        <v>659</v>
      </c>
      <c r="B17" s="160" t="s">
        <v>655</v>
      </c>
      <c r="C17" s="153" t="s">
        <v>606</v>
      </c>
      <c r="D17" s="153"/>
      <c r="E17" s="153"/>
      <c r="F17" s="153"/>
      <c r="G17" s="153"/>
      <c r="H17" s="155" t="s">
        <v>607</v>
      </c>
      <c r="I17" s="153"/>
      <c r="J17" s="153"/>
      <c r="K17" s="153"/>
      <c r="L17" s="154"/>
      <c r="M17" s="155" t="s">
        <v>468</v>
      </c>
      <c r="N17" s="153"/>
      <c r="O17" s="153"/>
      <c r="P17" s="153"/>
      <c r="Q17" s="154"/>
      <c r="R17" s="156" t="s">
        <v>670</v>
      </c>
      <c r="U17" s="153" t="s">
        <v>606</v>
      </c>
      <c r="V17" s="153"/>
      <c r="W17" s="153"/>
      <c r="X17" s="153"/>
      <c r="Y17" s="153"/>
      <c r="Z17" s="155" t="s">
        <v>607</v>
      </c>
      <c r="AA17" s="153"/>
      <c r="AB17" s="153"/>
      <c r="AC17" s="153"/>
      <c r="AD17" s="154"/>
      <c r="AE17" s="155" t="s">
        <v>468</v>
      </c>
      <c r="AF17" s="153"/>
      <c r="AG17" s="153"/>
      <c r="AH17" s="153"/>
      <c r="AI17" s="154"/>
      <c r="AJ17" s="156" t="s">
        <v>126</v>
      </c>
    </row>
    <row r="18" spans="1:36" x14ac:dyDescent="0.35">
      <c r="A18" s="163"/>
      <c r="B18" s="161"/>
      <c r="C18" s="35" t="s">
        <v>217</v>
      </c>
      <c r="D18" s="35" t="s">
        <v>218</v>
      </c>
      <c r="E18" s="35" t="s">
        <v>219</v>
      </c>
      <c r="F18" s="35" t="s">
        <v>220</v>
      </c>
      <c r="G18" s="35" t="s">
        <v>221</v>
      </c>
      <c r="H18" s="37" t="s">
        <v>595</v>
      </c>
      <c r="I18" s="35" t="s">
        <v>596</v>
      </c>
      <c r="J18" s="35" t="s">
        <v>597</v>
      </c>
      <c r="K18" s="35" t="s">
        <v>598</v>
      </c>
      <c r="L18" s="36" t="s">
        <v>599</v>
      </c>
      <c r="M18" s="37" t="s">
        <v>222</v>
      </c>
      <c r="N18" s="35" t="s">
        <v>223</v>
      </c>
      <c r="O18" s="35" t="s">
        <v>224</v>
      </c>
      <c r="P18" s="35" t="s">
        <v>225</v>
      </c>
      <c r="Q18" s="36" t="s">
        <v>226</v>
      </c>
      <c r="R18" s="157"/>
      <c r="T18" s="39"/>
      <c r="U18" s="35" t="s">
        <v>217</v>
      </c>
      <c r="V18" s="35" t="s">
        <v>218</v>
      </c>
      <c r="W18" s="35" t="s">
        <v>219</v>
      </c>
      <c r="X18" s="35" t="s">
        <v>220</v>
      </c>
      <c r="Y18" s="35" t="s">
        <v>221</v>
      </c>
      <c r="Z18" s="37" t="s">
        <v>595</v>
      </c>
      <c r="AA18" s="35" t="s">
        <v>596</v>
      </c>
      <c r="AB18" s="35" t="s">
        <v>597</v>
      </c>
      <c r="AC18" s="35" t="s">
        <v>598</v>
      </c>
      <c r="AD18" s="36" t="s">
        <v>599</v>
      </c>
      <c r="AE18" s="37" t="s">
        <v>222</v>
      </c>
      <c r="AF18" s="35" t="s">
        <v>223</v>
      </c>
      <c r="AG18" s="35" t="s">
        <v>224</v>
      </c>
      <c r="AH18" s="35" t="s">
        <v>225</v>
      </c>
      <c r="AI18" s="36" t="s">
        <v>226</v>
      </c>
      <c r="AJ18" s="157"/>
    </row>
    <row r="19" spans="1:36" x14ac:dyDescent="0.35">
      <c r="A19" s="86" t="str">
        <f t="shared" ref="A19:A28" si="6">S102</f>
        <v>given</v>
      </c>
      <c r="B19" s="50" t="s">
        <v>616</v>
      </c>
      <c r="C19" s="43">
        <f t="shared" ref="C19:R19" si="7">SUM(C49:C50)</f>
        <v>21.056734602544793</v>
      </c>
      <c r="D19" s="43">
        <f t="shared" si="7"/>
        <v>17.689853253684475</v>
      </c>
      <c r="E19" s="43">
        <f t="shared" si="7"/>
        <v>12.600333439661554</v>
      </c>
      <c r="F19" s="43">
        <f t="shared" si="7"/>
        <v>11.676486410774181</v>
      </c>
      <c r="G19" s="43">
        <f t="shared" si="7"/>
        <v>6.9110767447838057</v>
      </c>
      <c r="H19" s="51">
        <f t="shared" si="7"/>
        <v>22.003280693731252</v>
      </c>
      <c r="I19" s="43">
        <f t="shared" si="7"/>
        <v>14.645365752565834</v>
      </c>
      <c r="J19" s="43">
        <f t="shared" si="7"/>
        <v>11.80854774008461</v>
      </c>
      <c r="K19" s="43">
        <f t="shared" si="7"/>
        <v>5.160261812712033</v>
      </c>
      <c r="L19" s="50">
        <f t="shared" si="7"/>
        <v>5.1626682699732838</v>
      </c>
      <c r="M19" s="51">
        <f t="shared" si="7"/>
        <v>19.934250427612504</v>
      </c>
      <c r="N19" s="43">
        <f t="shared" si="7"/>
        <v>14.904507348224183</v>
      </c>
      <c r="O19" s="43">
        <f t="shared" si="7"/>
        <v>10.610985088822595</v>
      </c>
      <c r="P19" s="43">
        <f t="shared" si="7"/>
        <v>6.7348609754012294</v>
      </c>
      <c r="Q19" s="50">
        <f t="shared" si="7"/>
        <v>2.3652637836004446</v>
      </c>
      <c r="R19" s="43">
        <f t="shared" si="7"/>
        <v>6.745033341648055</v>
      </c>
      <c r="T19" s="40" t="s">
        <v>616</v>
      </c>
      <c r="U19" s="43">
        <f t="shared" ref="U19:AJ19" si="8">SUM(U49:U50)</f>
        <v>52.187616016412534</v>
      </c>
      <c r="V19" s="43">
        <f t="shared" si="8"/>
        <v>64.704555412623733</v>
      </c>
      <c r="W19" s="43">
        <f t="shared" si="8"/>
        <v>61.770141218235814</v>
      </c>
      <c r="X19" s="43">
        <f t="shared" si="8"/>
        <v>59.550979997280116</v>
      </c>
      <c r="Y19" s="43">
        <f t="shared" si="8"/>
        <v>31.887069044384575</v>
      </c>
      <c r="Z19" s="51">
        <f t="shared" si="8"/>
        <v>18.817254894935438</v>
      </c>
      <c r="AA19" s="43">
        <f t="shared" si="8"/>
        <v>15.844532768720004</v>
      </c>
      <c r="AB19" s="43">
        <f t="shared" si="8"/>
        <v>16.207298151173401</v>
      </c>
      <c r="AC19" s="43">
        <f t="shared" si="8"/>
        <v>18.78895603277714</v>
      </c>
      <c r="AD19" s="50">
        <f t="shared" si="8"/>
        <v>17.426218247009103</v>
      </c>
      <c r="AE19" s="51">
        <f t="shared" si="8"/>
        <v>8.6736291245630905</v>
      </c>
      <c r="AF19" s="43">
        <f t="shared" si="8"/>
        <v>16.479543077472627</v>
      </c>
      <c r="AG19" s="43">
        <f t="shared" si="8"/>
        <v>24.968119356462182</v>
      </c>
      <c r="AH19" s="43">
        <f t="shared" si="8"/>
        <v>38.98147619948719</v>
      </c>
      <c r="AI19" s="50">
        <f t="shared" si="8"/>
        <v>92.540411859408081</v>
      </c>
      <c r="AJ19" s="43">
        <f t="shared" si="8"/>
        <v>538.82780140094496</v>
      </c>
    </row>
    <row r="20" spans="1:36" x14ac:dyDescent="0.35">
      <c r="A20" s="86" t="str">
        <f t="shared" si="6"/>
        <v>given</v>
      </c>
      <c r="B20" s="50" t="s">
        <v>618</v>
      </c>
      <c r="C20" s="43">
        <f t="shared" ref="C20:R20" si="9">SUM(C51:C51)</f>
        <v>6.206399342162511</v>
      </c>
      <c r="D20" s="43">
        <f t="shared" si="9"/>
        <v>6.6113295528222684</v>
      </c>
      <c r="E20" s="43">
        <f t="shared" si="9"/>
        <v>6.3812137277085528</v>
      </c>
      <c r="F20" s="43">
        <f t="shared" si="9"/>
        <v>6.0435293775684196</v>
      </c>
      <c r="G20" s="43">
        <f t="shared" si="9"/>
        <v>4.6233325754299219</v>
      </c>
      <c r="H20" s="51">
        <f t="shared" si="9"/>
        <v>3.8439631472852911</v>
      </c>
      <c r="I20" s="43">
        <f t="shared" si="9"/>
        <v>5.6989913764273927</v>
      </c>
      <c r="J20" s="43">
        <f t="shared" si="9"/>
        <v>5.6340236474602854</v>
      </c>
      <c r="K20" s="43">
        <f t="shared" si="9"/>
        <v>2.9161655822714283</v>
      </c>
      <c r="L20" s="50">
        <f t="shared" si="9"/>
        <v>3.5075154357043647</v>
      </c>
      <c r="M20" s="51">
        <f t="shared" si="9"/>
        <v>4.6213738784393454</v>
      </c>
      <c r="N20" s="43">
        <f t="shared" si="9"/>
        <v>5.3132760564161572</v>
      </c>
      <c r="O20" s="43">
        <f t="shared" si="9"/>
        <v>4.7985596303972713</v>
      </c>
      <c r="P20" s="43">
        <f t="shared" si="9"/>
        <v>4.2747528772487886</v>
      </c>
      <c r="Q20" s="50">
        <f t="shared" si="9"/>
        <v>1.7573709406601332</v>
      </c>
      <c r="R20" s="43">
        <f t="shared" si="9"/>
        <v>3.4464486850423106</v>
      </c>
      <c r="T20" s="40" t="s">
        <v>618</v>
      </c>
      <c r="U20" s="43">
        <f t="shared" ref="U20:AJ20" si="10">SUM(U51:U51)</f>
        <v>15.382118444620954</v>
      </c>
      <c r="V20" s="43">
        <f t="shared" si="10"/>
        <v>24.182401813458</v>
      </c>
      <c r="W20" s="43">
        <f t="shared" si="10"/>
        <v>31.282384310846432</v>
      </c>
      <c r="X20" s="43">
        <f t="shared" si="10"/>
        <v>30.822465287542741</v>
      </c>
      <c r="Y20" s="43">
        <f t="shared" si="10"/>
        <v>21.331628990975418</v>
      </c>
      <c r="Z20" s="51">
        <f t="shared" si="10"/>
        <v>3.2873658867522071</v>
      </c>
      <c r="AA20" s="43">
        <f t="shared" si="10"/>
        <v>6.1656265291043733</v>
      </c>
      <c r="AB20" s="43">
        <f t="shared" si="10"/>
        <v>7.7327291259692217</v>
      </c>
      <c r="AC20" s="43">
        <f t="shared" si="10"/>
        <v>10.618009104619329</v>
      </c>
      <c r="AD20" s="50">
        <f t="shared" si="10"/>
        <v>11.839367995583762</v>
      </c>
      <c r="AE20" s="51">
        <f t="shared" si="10"/>
        <v>2.0108146635904083</v>
      </c>
      <c r="AF20" s="43">
        <f t="shared" si="10"/>
        <v>5.87475718643236</v>
      </c>
      <c r="AG20" s="43">
        <f t="shared" si="10"/>
        <v>11.29122400869894</v>
      </c>
      <c r="AH20" s="43">
        <f t="shared" si="10"/>
        <v>24.742333680204236</v>
      </c>
      <c r="AI20" s="50">
        <f t="shared" si="10"/>
        <v>68.756741538099931</v>
      </c>
      <c r="AJ20" s="43">
        <f t="shared" si="10"/>
        <v>275.31996856649835</v>
      </c>
    </row>
    <row r="21" spans="1:36" x14ac:dyDescent="0.35">
      <c r="A21" s="86" t="str">
        <f t="shared" si="6"/>
        <v>given</v>
      </c>
      <c r="B21" s="50" t="s">
        <v>617</v>
      </c>
      <c r="C21" s="43">
        <f>C52</f>
        <v>4.5138496532864618</v>
      </c>
      <c r="D21" s="43">
        <f t="shared" ref="D21:Q21" si="11">D52</f>
        <v>4.2287284426156821</v>
      </c>
      <c r="E21" s="43">
        <f t="shared" si="11"/>
        <v>3.4753287191704638</v>
      </c>
      <c r="F21" s="43">
        <f t="shared" si="11"/>
        <v>3.1113545268944369</v>
      </c>
      <c r="G21" s="43">
        <f t="shared" si="11"/>
        <v>2.3182767250511924</v>
      </c>
      <c r="H21" s="51">
        <f t="shared" si="11"/>
        <v>3.8474531141673092</v>
      </c>
      <c r="I21" s="43">
        <f t="shared" si="11"/>
        <v>3.5102909225737009</v>
      </c>
      <c r="J21" s="43">
        <f t="shared" si="11"/>
        <v>2.8208660493094189</v>
      </c>
      <c r="K21" s="43">
        <f t="shared" si="11"/>
        <v>1.4328886776933665</v>
      </c>
      <c r="L21" s="50">
        <f t="shared" si="11"/>
        <v>1.4929393310850512</v>
      </c>
      <c r="M21" s="51">
        <f t="shared" si="11"/>
        <v>3.6558996511886468</v>
      </c>
      <c r="N21" s="43">
        <f t="shared" si="11"/>
        <v>3.1212756831912962</v>
      </c>
      <c r="O21" s="43">
        <f t="shared" si="11"/>
        <v>2.4228511339481207</v>
      </c>
      <c r="P21" s="43">
        <f t="shared" si="11"/>
        <v>1.5415062994013551</v>
      </c>
      <c r="Q21" s="50">
        <f t="shared" si="11"/>
        <v>0.59154715406722946</v>
      </c>
      <c r="R21" s="43">
        <f t="shared" ref="R21" si="12">R52</f>
        <v>1.6809366943234558</v>
      </c>
      <c r="T21" s="40" t="s">
        <v>617</v>
      </c>
      <c r="U21" s="43">
        <f>U52</f>
        <v>11.187254667352908</v>
      </c>
      <c r="V21" s="43">
        <f t="shared" ref="V21:AJ21" si="13">V52</f>
        <v>15.467510663672398</v>
      </c>
      <c r="W21" s="43">
        <f t="shared" si="13"/>
        <v>17.036973409547819</v>
      </c>
      <c r="X21" s="43">
        <f t="shared" si="13"/>
        <v>15.86814771818441</v>
      </c>
      <c r="Y21" s="43">
        <f t="shared" si="13"/>
        <v>10.696314442100672</v>
      </c>
      <c r="Z21" s="51">
        <f t="shared" si="13"/>
        <v>3.2903505142406222</v>
      </c>
      <c r="AA21" s="43">
        <f t="shared" si="13"/>
        <v>3.7977146143117029</v>
      </c>
      <c r="AB21" s="43">
        <f t="shared" si="13"/>
        <v>3.8716545092574424</v>
      </c>
      <c r="AC21" s="43">
        <f t="shared" si="13"/>
        <v>5.2172706235026141</v>
      </c>
      <c r="AD21" s="50">
        <f t="shared" si="13"/>
        <v>5.0393101498203592</v>
      </c>
      <c r="AE21" s="51">
        <f t="shared" si="13"/>
        <v>1.5907253601623252</v>
      </c>
      <c r="AF21" s="43">
        <f t="shared" si="13"/>
        <v>3.4511168920955528</v>
      </c>
      <c r="AG21" s="43">
        <f t="shared" si="13"/>
        <v>5.7010763646326916</v>
      </c>
      <c r="AH21" s="43">
        <f t="shared" si="13"/>
        <v>8.9222615494143316</v>
      </c>
      <c r="AI21" s="50">
        <f t="shared" si="13"/>
        <v>23.144148932223072</v>
      </c>
      <c r="AJ21" s="43">
        <f t="shared" si="13"/>
        <v>134.28183041051892</v>
      </c>
    </row>
    <row r="22" spans="1:36" x14ac:dyDescent="0.35">
      <c r="A22" s="86" t="str">
        <f t="shared" si="6"/>
        <v>given</v>
      </c>
      <c r="B22" s="50" t="s">
        <v>725</v>
      </c>
      <c r="C22" s="43">
        <f t="shared" ref="C22:R22" si="14">SUM(C53:C53)</f>
        <v>10.887188785875264</v>
      </c>
      <c r="D22" s="43">
        <f t="shared" si="14"/>
        <v>10.569201455849537</v>
      </c>
      <c r="E22" s="43">
        <f t="shared" si="14"/>
        <v>8.8288310192539399</v>
      </c>
      <c r="F22" s="43">
        <f t="shared" si="14"/>
        <v>7.9703630585579912</v>
      </c>
      <c r="G22" s="43">
        <f t="shared" si="14"/>
        <v>5.5610227846335896</v>
      </c>
      <c r="H22" s="51">
        <f t="shared" si="14"/>
        <v>8.1215773038988051</v>
      </c>
      <c r="I22" s="43">
        <f t="shared" si="14"/>
        <v>8.7433417337593387</v>
      </c>
      <c r="J22" s="43">
        <f t="shared" si="14"/>
        <v>7.8533745658651668</v>
      </c>
      <c r="K22" s="43">
        <f t="shared" si="14"/>
        <v>4.5302170158261958</v>
      </c>
      <c r="L22" s="50">
        <f t="shared" si="14"/>
        <v>4.9318476007721586</v>
      </c>
      <c r="M22" s="51">
        <f t="shared" si="14"/>
        <v>13.301023938592008</v>
      </c>
      <c r="N22" s="43">
        <f t="shared" si="14"/>
        <v>11.830931432672973</v>
      </c>
      <c r="O22" s="43">
        <f t="shared" si="14"/>
        <v>10.027658290399888</v>
      </c>
      <c r="P22" s="43">
        <f t="shared" si="14"/>
        <v>8.8037515092192322</v>
      </c>
      <c r="Q22" s="50">
        <f t="shared" si="14"/>
        <v>4.1208923201919667</v>
      </c>
      <c r="R22" s="43">
        <f t="shared" si="14"/>
        <v>6.1363877638899647</v>
      </c>
      <c r="T22" s="50" t="s">
        <v>725</v>
      </c>
      <c r="U22" s="43">
        <f t="shared" ref="U22:AJ22" si="15">SUM(U53:U53)</f>
        <v>26.983121484885146</v>
      </c>
      <c r="V22" s="43">
        <f t="shared" si="15"/>
        <v>38.65919470670346</v>
      </c>
      <c r="W22" s="43">
        <f t="shared" si="15"/>
        <v>43.281246600558617</v>
      </c>
      <c r="X22" s="43">
        <f t="shared" si="15"/>
        <v>40.649465461911781</v>
      </c>
      <c r="Y22" s="43">
        <f t="shared" si="15"/>
        <v>25.658044909549638</v>
      </c>
      <c r="Z22" s="51">
        <f t="shared" si="15"/>
        <v>6.9455910872384816</v>
      </c>
      <c r="AA22" s="43">
        <f t="shared" si="15"/>
        <v>9.4592492225328098</v>
      </c>
      <c r="AB22" s="43">
        <f t="shared" si="15"/>
        <v>10.778800736838679</v>
      </c>
      <c r="AC22" s="43">
        <f t="shared" si="15"/>
        <v>16.494908866758159</v>
      </c>
      <c r="AD22" s="50">
        <f t="shared" si="15"/>
        <v>16.647099553519947</v>
      </c>
      <c r="AE22" s="51">
        <f t="shared" si="15"/>
        <v>5.787433494889628</v>
      </c>
      <c r="AF22" s="43">
        <f t="shared" si="15"/>
        <v>13.08116663209193</v>
      </c>
      <c r="AG22" s="43">
        <f t="shared" si="15"/>
        <v>23.595525482762074</v>
      </c>
      <c r="AH22" s="43">
        <f t="shared" si="15"/>
        <v>50.956245596797004</v>
      </c>
      <c r="AI22" s="50">
        <f t="shared" si="15"/>
        <v>161.22898223146186</v>
      </c>
      <c r="AJ22" s="43">
        <f t="shared" si="15"/>
        <v>490.20607606849921</v>
      </c>
    </row>
    <row r="23" spans="1:36" x14ac:dyDescent="0.35">
      <c r="A23" s="86" t="str">
        <f t="shared" si="6"/>
        <v>given</v>
      </c>
      <c r="B23" s="50" t="s">
        <v>620</v>
      </c>
      <c r="C23" s="43">
        <f t="shared" ref="C23:R23" si="16">SUM(C54:C55)</f>
        <v>2.526586702908427</v>
      </c>
      <c r="D23" s="43">
        <f t="shared" si="16"/>
        <v>3.3218285610858236</v>
      </c>
      <c r="E23" s="43">
        <f t="shared" si="16"/>
        <v>3.7941791667153746</v>
      </c>
      <c r="F23" s="43">
        <f t="shared" si="16"/>
        <v>3.5258165814145084</v>
      </c>
      <c r="G23" s="43">
        <f t="shared" si="16"/>
        <v>3.1030192396882641</v>
      </c>
      <c r="H23" s="51">
        <f t="shared" si="16"/>
        <v>2.6860932375709412</v>
      </c>
      <c r="I23" s="43">
        <f t="shared" si="16"/>
        <v>15.881028591702506</v>
      </c>
      <c r="J23" s="43">
        <f t="shared" si="16"/>
        <v>4.6054817133095023</v>
      </c>
      <c r="K23" s="43">
        <f t="shared" si="16"/>
        <v>2.0672135516664341</v>
      </c>
      <c r="L23" s="50">
        <f t="shared" si="16"/>
        <v>3.3196402429725902</v>
      </c>
      <c r="M23" s="51">
        <f t="shared" si="16"/>
        <v>2.7547312428041497</v>
      </c>
      <c r="N23" s="43">
        <f t="shared" si="16"/>
        <v>2.8332906734361489</v>
      </c>
      <c r="O23" s="43">
        <f t="shared" si="16"/>
        <v>3.0141398244721427</v>
      </c>
      <c r="P23" s="43">
        <f t="shared" si="16"/>
        <v>3.2687152873915712</v>
      </c>
      <c r="Q23" s="50">
        <f t="shared" si="16"/>
        <v>1.9890308639796717</v>
      </c>
      <c r="R23" s="43">
        <f t="shared" si="16"/>
        <v>2.7790718885069641</v>
      </c>
      <c r="T23" s="40" t="s">
        <v>620</v>
      </c>
      <c r="U23" s="43">
        <f t="shared" ref="U23:AJ23" si="17">SUM(U54:U55)</f>
        <v>6.2619650754216831</v>
      </c>
      <c r="V23" s="43">
        <f t="shared" si="17"/>
        <v>12.150323528390279</v>
      </c>
      <c r="W23" s="43">
        <f t="shared" si="17"/>
        <v>18.600061979121094</v>
      </c>
      <c r="X23" s="43">
        <f t="shared" si="17"/>
        <v>17.981936117371177</v>
      </c>
      <c r="Y23" s="43">
        <f t="shared" si="17"/>
        <v>14.317043840769658</v>
      </c>
      <c r="Z23" s="51">
        <f t="shared" si="17"/>
        <v>2.2971529485298543</v>
      </c>
      <c r="AA23" s="43">
        <f t="shared" si="17"/>
        <v>17.181372058128701</v>
      </c>
      <c r="AB23" s="43">
        <f t="shared" si="17"/>
        <v>6.3210495397335942</v>
      </c>
      <c r="AC23" s="43">
        <f t="shared" si="17"/>
        <v>7.5269019174452492</v>
      </c>
      <c r="AD23" s="50">
        <f t="shared" si="17"/>
        <v>11.205208692576726</v>
      </c>
      <c r="AE23" s="51">
        <f t="shared" si="17"/>
        <v>1.1986162822973847</v>
      </c>
      <c r="AF23" s="43">
        <f t="shared" si="17"/>
        <v>3.1326990294285402</v>
      </c>
      <c r="AG23" s="43">
        <f t="shared" si="17"/>
        <v>7.0924049241913547</v>
      </c>
      <c r="AH23" s="43">
        <f t="shared" si="17"/>
        <v>18.919373041811518</v>
      </c>
      <c r="AI23" s="50">
        <f t="shared" si="17"/>
        <v>77.820383768598134</v>
      </c>
      <c r="AJ23" s="43">
        <f t="shared" si="17"/>
        <v>222.00649274381499</v>
      </c>
    </row>
    <row r="24" spans="1:36" x14ac:dyDescent="0.35">
      <c r="A24" s="86" t="str">
        <f t="shared" si="6"/>
        <v>given</v>
      </c>
      <c r="B24" s="50" t="s">
        <v>621</v>
      </c>
      <c r="C24" s="43">
        <f t="shared" ref="C24:R24" si="18">SUM(C56:C59)</f>
        <v>4.937767631654908</v>
      </c>
      <c r="D24" s="43">
        <f t="shared" si="18"/>
        <v>3.306667005567177</v>
      </c>
      <c r="E24" s="43">
        <f t="shared" si="18"/>
        <v>3.8523517077767511</v>
      </c>
      <c r="F24" s="43">
        <f t="shared" si="18"/>
        <v>4.5022910172419799</v>
      </c>
      <c r="G24" s="43">
        <f t="shared" si="18"/>
        <v>5.0455934745786744</v>
      </c>
      <c r="H24" s="51">
        <f t="shared" si="18"/>
        <v>2.6752826512589878</v>
      </c>
      <c r="I24" s="43">
        <f t="shared" si="18"/>
        <v>3.1222658449200353</v>
      </c>
      <c r="J24" s="43">
        <f t="shared" si="18"/>
        <v>4.1543363301513025</v>
      </c>
      <c r="K24" s="43">
        <f t="shared" si="18"/>
        <v>4.3757762088766414</v>
      </c>
      <c r="L24" s="50">
        <f t="shared" si="18"/>
        <v>7.9038025782341004</v>
      </c>
      <c r="M24" s="51">
        <f t="shared" si="18"/>
        <v>2.4700114748638025</v>
      </c>
      <c r="N24" s="43">
        <f t="shared" si="18"/>
        <v>2.9331320974467423</v>
      </c>
      <c r="O24" s="43">
        <f t="shared" si="18"/>
        <v>4.2931770319237197</v>
      </c>
      <c r="P24" s="43">
        <f t="shared" si="18"/>
        <v>4.9741157726611709</v>
      </c>
      <c r="Q24" s="50">
        <f t="shared" si="18"/>
        <v>11.278771573610589</v>
      </c>
      <c r="R24" s="43">
        <f t="shared" si="18"/>
        <v>7.8603927953153985</v>
      </c>
      <c r="T24" s="40" t="s">
        <v>621</v>
      </c>
      <c r="U24" s="43">
        <f t="shared" ref="U24:AJ24" si="19">SUM(U56:U59)</f>
        <v>12.237905164456704</v>
      </c>
      <c r="V24" s="43">
        <f t="shared" si="19"/>
        <v>12.094866781794966</v>
      </c>
      <c r="W24" s="43">
        <f t="shared" si="19"/>
        <v>18.885239041584718</v>
      </c>
      <c r="X24" s="43">
        <f t="shared" si="19"/>
        <v>22.962030946425294</v>
      </c>
      <c r="Y24" s="43">
        <f t="shared" si="19"/>
        <v>23.279901733867874</v>
      </c>
      <c r="Z24" s="51">
        <f t="shared" si="19"/>
        <v>2.287907710920642</v>
      </c>
      <c r="AA24" s="43">
        <f t="shared" si="19"/>
        <v>3.3779179249124294</v>
      </c>
      <c r="AB24" s="43">
        <f t="shared" si="19"/>
        <v>5.7018499653820474</v>
      </c>
      <c r="AC24" s="43">
        <f t="shared" si="19"/>
        <v>15.932576636968305</v>
      </c>
      <c r="AD24" s="50">
        <f t="shared" si="19"/>
        <v>26.67872144926589</v>
      </c>
      <c r="AE24" s="51">
        <f t="shared" si="19"/>
        <v>1.0747313295867742</v>
      </c>
      <c r="AF24" s="43">
        <f t="shared" si="19"/>
        <v>3.2430912087510473</v>
      </c>
      <c r="AG24" s="43">
        <f t="shared" si="19"/>
        <v>10.102036300513515</v>
      </c>
      <c r="AH24" s="43">
        <f t="shared" si="19"/>
        <v>28.790256593816881</v>
      </c>
      <c r="AI24" s="50">
        <f t="shared" si="19"/>
        <v>441.27939299070738</v>
      </c>
      <c r="AJ24" s="43">
        <f t="shared" si="19"/>
        <v>627.92842577895453</v>
      </c>
    </row>
    <row r="25" spans="1:36" x14ac:dyDescent="0.35">
      <c r="A25" s="86" t="str">
        <f t="shared" si="6"/>
        <v>given</v>
      </c>
      <c r="B25" s="50" t="s">
        <v>622</v>
      </c>
      <c r="C25" s="43">
        <f>SUM(C60:C61)</f>
        <v>4.3553630559642276</v>
      </c>
      <c r="D25" s="43">
        <f t="shared" ref="D25:Q25" si="20">SUM(D60:D61)</f>
        <v>4.099863389933045</v>
      </c>
      <c r="E25" s="43">
        <f t="shared" si="20"/>
        <v>3.6001639908368448</v>
      </c>
      <c r="F25" s="43">
        <f t="shared" si="20"/>
        <v>3.8044030731100893</v>
      </c>
      <c r="G25" s="43">
        <f t="shared" si="20"/>
        <v>2.6993606482269028</v>
      </c>
      <c r="H25" s="51">
        <f t="shared" si="20"/>
        <v>4.1175709604383623</v>
      </c>
      <c r="I25" s="43">
        <f t="shared" si="20"/>
        <v>3.6231931699240465</v>
      </c>
      <c r="J25" s="43">
        <f t="shared" si="20"/>
        <v>4.2787490980828036</v>
      </c>
      <c r="K25" s="43">
        <f t="shared" si="20"/>
        <v>2.0622179156992035</v>
      </c>
      <c r="L25" s="50">
        <f t="shared" si="20"/>
        <v>3.3135786690283595</v>
      </c>
      <c r="M25" s="51">
        <f t="shared" si="20"/>
        <v>3.8727278445495337</v>
      </c>
      <c r="N25" s="43">
        <f t="shared" si="20"/>
        <v>3.952214149892181</v>
      </c>
      <c r="O25" s="43">
        <f t="shared" si="20"/>
        <v>4.14095435819317</v>
      </c>
      <c r="P25" s="43">
        <f t="shared" si="20"/>
        <v>3.6554663678625294</v>
      </c>
      <c r="Q25" s="50">
        <f t="shared" si="20"/>
        <v>2.2363850623105872</v>
      </c>
      <c r="R25" s="43">
        <f t="shared" ref="R25" si="21">SUM(R60:R61)</f>
        <v>2.9011527540755591</v>
      </c>
      <c r="T25" s="40" t="s">
        <v>622</v>
      </c>
      <c r="U25" s="43">
        <f>SUM(U60:U61)</f>
        <v>10.794456931097974</v>
      </c>
      <c r="V25" s="43">
        <f t="shared" ref="V25:AJ25" si="22">SUM(V60:V61)</f>
        <v>14.996158198364769</v>
      </c>
      <c r="W25" s="43">
        <f t="shared" si="22"/>
        <v>17.648948671692654</v>
      </c>
      <c r="X25" s="43">
        <f t="shared" si="22"/>
        <v>19.40274868125751</v>
      </c>
      <c r="Y25" s="43">
        <f t="shared" si="22"/>
        <v>12.454600425421633</v>
      </c>
      <c r="Z25" s="51">
        <f t="shared" si="22"/>
        <v>3.5213559009237771</v>
      </c>
      <c r="AA25" s="43">
        <f t="shared" si="22"/>
        <v>3.9198613321218243</v>
      </c>
      <c r="AB25" s="43">
        <f t="shared" si="22"/>
        <v>5.8726071887139106</v>
      </c>
      <c r="AC25" s="43">
        <f t="shared" si="22"/>
        <v>7.5087123782414782</v>
      </c>
      <c r="AD25" s="50">
        <f t="shared" si="22"/>
        <v>11.184748282387888</v>
      </c>
      <c r="AE25" s="51">
        <f t="shared" si="22"/>
        <v>1.6850698824101396</v>
      </c>
      <c r="AF25" s="43">
        <f t="shared" si="22"/>
        <v>4.3698648880404045</v>
      </c>
      <c r="AG25" s="43">
        <f t="shared" si="22"/>
        <v>9.7438495860238525</v>
      </c>
      <c r="AH25" s="43">
        <f t="shared" si="22"/>
        <v>21.157894088284412</v>
      </c>
      <c r="AI25" s="50">
        <f t="shared" si="22"/>
        <v>87.498060967820592</v>
      </c>
      <c r="AJ25" s="43">
        <f t="shared" si="22"/>
        <v>231.75893740280281</v>
      </c>
    </row>
    <row r="26" spans="1:36" x14ac:dyDescent="0.35">
      <c r="A26" s="86" t="str">
        <f t="shared" si="6"/>
        <v>given</v>
      </c>
      <c r="B26" s="50" t="s">
        <v>623</v>
      </c>
      <c r="C26" s="43">
        <f>SUM(C62:C63)</f>
        <v>2.7466363180646494</v>
      </c>
      <c r="D26" s="43">
        <f t="shared" ref="D26:Q26" si="23">SUM(D62:D63)</f>
        <v>2.3045292078421706</v>
      </c>
      <c r="E26" s="43">
        <f t="shared" si="23"/>
        <v>1.8849679183150361</v>
      </c>
      <c r="F26" s="43">
        <f t="shared" si="23"/>
        <v>1.9319004271282885</v>
      </c>
      <c r="G26" s="43">
        <f t="shared" si="23"/>
        <v>1.3937121911790766</v>
      </c>
      <c r="H26" s="51">
        <f t="shared" si="23"/>
        <v>2.6178896599876751</v>
      </c>
      <c r="I26" s="43">
        <f t="shared" si="23"/>
        <v>2.3097453384466999</v>
      </c>
      <c r="J26" s="43">
        <f t="shared" si="23"/>
        <v>2.218634388614114</v>
      </c>
      <c r="K26" s="43">
        <f t="shared" si="23"/>
        <v>1.1892191563465837</v>
      </c>
      <c r="L26" s="50">
        <f t="shared" si="23"/>
        <v>1.3230613183912341</v>
      </c>
      <c r="M26" s="51">
        <f t="shared" si="23"/>
        <v>3.2715578470177999</v>
      </c>
      <c r="N26" s="43">
        <f t="shared" si="23"/>
        <v>2.7433265441578847</v>
      </c>
      <c r="O26" s="43">
        <f t="shared" si="23"/>
        <v>2.3537500193372964</v>
      </c>
      <c r="P26" s="43">
        <f t="shared" si="23"/>
        <v>1.994527782675608</v>
      </c>
      <c r="Q26" s="50">
        <f t="shared" si="23"/>
        <v>0.93815244163042577</v>
      </c>
      <c r="R26" s="43">
        <f t="shared" ref="R26" si="24">SUM(R62:R63)</f>
        <v>1.4468760088814152</v>
      </c>
      <c r="T26" s="40" t="s">
        <v>623</v>
      </c>
      <c r="U26" s="43">
        <f>SUM(U62:U63)</f>
        <v>6.8073423638329835</v>
      </c>
      <c r="V26" s="43">
        <f t="shared" ref="V26:AJ26" si="25">SUM(V62:V63)</f>
        <v>8.429325879103942</v>
      </c>
      <c r="W26" s="43">
        <f t="shared" si="25"/>
        <v>9.2406074064410806</v>
      </c>
      <c r="X26" s="43">
        <f t="shared" si="25"/>
        <v>9.852840969908323</v>
      </c>
      <c r="Y26" s="43">
        <f t="shared" si="25"/>
        <v>6.430459175796341</v>
      </c>
      <c r="Z26" s="51">
        <f t="shared" si="25"/>
        <v>2.2388250963338647</v>
      </c>
      <c r="AA26" s="43">
        <f t="shared" si="25"/>
        <v>2.4988679914672209</v>
      </c>
      <c r="AB26" s="43">
        <f t="shared" si="25"/>
        <v>3.0450881697038903</v>
      </c>
      <c r="AC26" s="43">
        <f t="shared" si="25"/>
        <v>4.3300489883843785</v>
      </c>
      <c r="AD26" s="50">
        <f t="shared" si="25"/>
        <v>4.4658990434379691</v>
      </c>
      <c r="AE26" s="51">
        <f t="shared" si="25"/>
        <v>1.4234936762548285</v>
      </c>
      <c r="AF26" s="43">
        <f t="shared" si="25"/>
        <v>3.0332279292284312</v>
      </c>
      <c r="AG26" s="43">
        <f t="shared" si="25"/>
        <v>5.5384783718143753</v>
      </c>
      <c r="AH26" s="43">
        <f t="shared" si="25"/>
        <v>11.5443566799021</v>
      </c>
      <c r="AI26" s="50">
        <f t="shared" si="25"/>
        <v>36.70500260365656</v>
      </c>
      <c r="AJ26" s="43">
        <f t="shared" si="25"/>
        <v>115.58386434526629</v>
      </c>
    </row>
    <row r="27" spans="1:36" x14ac:dyDescent="0.35">
      <c r="A27" s="87" t="str">
        <f t="shared" si="6"/>
        <v>given</v>
      </c>
      <c r="B27" s="53" t="s">
        <v>624</v>
      </c>
      <c r="C27" s="52">
        <f t="shared" ref="C27:R27" si="26">SUM(C64:C64)</f>
        <v>9.4501535405059087</v>
      </c>
      <c r="D27" s="52">
        <f t="shared" si="26"/>
        <v>8.6746871303564337</v>
      </c>
      <c r="E27" s="52">
        <f t="shared" si="26"/>
        <v>8.1258397078050866</v>
      </c>
      <c r="F27" s="52">
        <f t="shared" si="26"/>
        <v>8.0585950791086489</v>
      </c>
      <c r="G27" s="52">
        <f t="shared" si="26"/>
        <v>11.545604432328282</v>
      </c>
      <c r="H27" s="54">
        <f t="shared" si="26"/>
        <v>7.6339882078669863</v>
      </c>
      <c r="I27" s="52">
        <f t="shared" si="26"/>
        <v>7.916322745469146</v>
      </c>
      <c r="J27" s="52">
        <f t="shared" si="26"/>
        <v>8.5055096394304783</v>
      </c>
      <c r="K27" s="52">
        <f t="shared" si="26"/>
        <v>5.4674579134391825</v>
      </c>
      <c r="L27" s="53">
        <f t="shared" si="26"/>
        <v>10.355592652460327</v>
      </c>
      <c r="M27" s="54">
        <f t="shared" si="26"/>
        <v>8.633646024867085</v>
      </c>
      <c r="N27" s="52">
        <f t="shared" si="26"/>
        <v>8.7879192127045105</v>
      </c>
      <c r="O27" s="52">
        <f t="shared" si="26"/>
        <v>8.0680244013137852</v>
      </c>
      <c r="P27" s="52">
        <f t="shared" si="26"/>
        <v>8.4832435181165327</v>
      </c>
      <c r="Q27" s="53">
        <f t="shared" si="26"/>
        <v>8.4383980267906775</v>
      </c>
      <c r="R27" s="52">
        <f t="shared" si="26"/>
        <v>8.5459483765236346</v>
      </c>
      <c r="T27" s="39" t="s">
        <v>624</v>
      </c>
      <c r="U27" s="52">
        <f t="shared" ref="U27:AJ27" si="27">SUM(U64:U64)</f>
        <v>23.421532045546172</v>
      </c>
      <c r="V27" s="52">
        <f t="shared" si="27"/>
        <v>31.729589051080168</v>
      </c>
      <c r="W27" s="52">
        <f t="shared" si="27"/>
        <v>39.834998706300127</v>
      </c>
      <c r="X27" s="52">
        <f t="shared" si="27"/>
        <v>41.099455562194308</v>
      </c>
      <c r="Y27" s="52">
        <f t="shared" si="27"/>
        <v>53.270351247462706</v>
      </c>
      <c r="Z27" s="54">
        <f t="shared" si="27"/>
        <v>6.5286038010363887</v>
      </c>
      <c r="AA27" s="52">
        <f t="shared" si="27"/>
        <v>8.56451366715606</v>
      </c>
      <c r="AB27" s="52">
        <f t="shared" si="27"/>
        <v>11.673859791072106</v>
      </c>
      <c r="AC27" s="52">
        <f t="shared" si="27"/>
        <v>19.907483394273456</v>
      </c>
      <c r="AD27" s="53">
        <f t="shared" si="27"/>
        <v>34.954563842203129</v>
      </c>
      <c r="AE27" s="54">
        <f t="shared" si="27"/>
        <v>3.7566019291463455</v>
      </c>
      <c r="AF27" s="52">
        <f t="shared" si="27"/>
        <v>9.716583704752118</v>
      </c>
      <c r="AG27" s="52">
        <f t="shared" si="27"/>
        <v>18.984419875874529</v>
      </c>
      <c r="AH27" s="52">
        <f t="shared" si="27"/>
        <v>49.101140543767904</v>
      </c>
      <c r="AI27" s="53">
        <f t="shared" si="27"/>
        <v>330.15041884425142</v>
      </c>
      <c r="AJ27" s="52">
        <f t="shared" si="27"/>
        <v>682.69411600611693</v>
      </c>
    </row>
    <row r="28" spans="1:36" x14ac:dyDescent="0.35">
      <c r="A28" s="89" t="str">
        <f t="shared" si="6"/>
        <v>given</v>
      </c>
      <c r="B28" s="73" t="s">
        <v>626</v>
      </c>
      <c r="C28" s="58">
        <f t="shared" ref="C28:R28" si="28">SUM(C65:C65)</f>
        <v>2.1036492194813494</v>
      </c>
      <c r="D28" s="58">
        <f t="shared" si="28"/>
        <v>2.4122484038863505</v>
      </c>
      <c r="E28" s="58">
        <f t="shared" si="28"/>
        <v>2.7017531807676627</v>
      </c>
      <c r="F28" s="58">
        <f t="shared" si="28"/>
        <v>3.0005630567556154</v>
      </c>
      <c r="G28" s="58">
        <f t="shared" si="28"/>
        <v>2.7191474479049393</v>
      </c>
      <c r="H28" s="72">
        <f t="shared" si="28"/>
        <v>1.8257473929744439</v>
      </c>
      <c r="I28" s="58">
        <f t="shared" si="28"/>
        <v>2.5097363849812409</v>
      </c>
      <c r="J28" s="58">
        <f t="shared" si="28"/>
        <v>3.1455755542938988</v>
      </c>
      <c r="K28" s="58">
        <f t="shared" si="28"/>
        <v>2.0472350797345693</v>
      </c>
      <c r="L28" s="73">
        <f t="shared" si="28"/>
        <v>3.4413237646771773</v>
      </c>
      <c r="M28" s="72">
        <f t="shared" si="28"/>
        <v>1.7445771151489968</v>
      </c>
      <c r="N28" s="58">
        <f t="shared" si="28"/>
        <v>2.2279966531847313</v>
      </c>
      <c r="O28" s="58">
        <f t="shared" si="28"/>
        <v>2.8454677888819715</v>
      </c>
      <c r="P28" s="58">
        <f t="shared" si="28"/>
        <v>3.0541669933894173</v>
      </c>
      <c r="Q28" s="73">
        <f t="shared" si="28"/>
        <v>2.4039018467603648</v>
      </c>
      <c r="R28" s="58">
        <f t="shared" si="28"/>
        <v>2.5592067245614314</v>
      </c>
      <c r="T28" s="71" t="s">
        <v>626</v>
      </c>
      <c r="U28" s="58">
        <f t="shared" ref="U28:AJ28" si="29">SUM(U65:U65)</f>
        <v>5.2137446651510109</v>
      </c>
      <c r="V28" s="58">
        <f t="shared" si="29"/>
        <v>8.8233326913420367</v>
      </c>
      <c r="W28" s="58">
        <f t="shared" si="29"/>
        <v>13.244703111389956</v>
      </c>
      <c r="X28" s="58">
        <f t="shared" si="29"/>
        <v>15.30310268751334</v>
      </c>
      <c r="Y28" s="58">
        <f t="shared" si="29"/>
        <v>12.545894889482847</v>
      </c>
      <c r="Z28" s="72">
        <f t="shared" si="29"/>
        <v>1.5613832566864394</v>
      </c>
      <c r="AA28" s="58">
        <f t="shared" si="29"/>
        <v>2.7152343659097289</v>
      </c>
      <c r="AB28" s="58">
        <f t="shared" si="29"/>
        <v>4.3173201300974258</v>
      </c>
      <c r="AC28" s="58">
        <f t="shared" si="29"/>
        <v>7.4541585869023761</v>
      </c>
      <c r="AD28" s="73">
        <f t="shared" si="29"/>
        <v>11.615942734626607</v>
      </c>
      <c r="AE28" s="72">
        <f t="shared" si="29"/>
        <v>0.75908622353024746</v>
      </c>
      <c r="AF28" s="58">
        <f t="shared" si="29"/>
        <v>2.4634404858069487</v>
      </c>
      <c r="AG28" s="58">
        <f t="shared" si="29"/>
        <v>6.6955121304064447</v>
      </c>
      <c r="AH28" s="58">
        <f t="shared" si="29"/>
        <v>17.677564302650829</v>
      </c>
      <c r="AI28" s="73">
        <f t="shared" si="29"/>
        <v>94.052117362642065</v>
      </c>
      <c r="AJ28" s="58">
        <f t="shared" si="29"/>
        <v>204.44253762413828</v>
      </c>
    </row>
    <row r="29" spans="1:36" x14ac:dyDescent="0.35">
      <c r="A29" s="87" t="str">
        <f t="shared" ref="A29:A31" si="30">S112</f>
        <v>given</v>
      </c>
      <c r="B29" s="53" t="s">
        <v>629</v>
      </c>
      <c r="C29" s="52">
        <f t="shared" ref="C29:R29" si="31">SUM(C66:C67)</f>
        <v>0.63802282804952348</v>
      </c>
      <c r="D29" s="52">
        <f t="shared" si="31"/>
        <v>0.58748363424566041</v>
      </c>
      <c r="E29" s="52">
        <f t="shared" si="31"/>
        <v>0.61006654696751927</v>
      </c>
      <c r="F29" s="52">
        <f t="shared" si="31"/>
        <v>0.75484641636720917</v>
      </c>
      <c r="G29" s="52">
        <f t="shared" si="31"/>
        <v>0.90225929020736562</v>
      </c>
      <c r="H29" s="54">
        <f t="shared" si="31"/>
        <v>0.61388839625847891</v>
      </c>
      <c r="I29" s="52">
        <f t="shared" si="31"/>
        <v>0.97516754111310489</v>
      </c>
      <c r="J29" s="52">
        <f t="shared" si="31"/>
        <v>0.90034604857723566</v>
      </c>
      <c r="K29" s="52">
        <f t="shared" si="31"/>
        <v>0.7546758281189756</v>
      </c>
      <c r="L29" s="53">
        <f t="shared" si="31"/>
        <v>0.92119655823948288</v>
      </c>
      <c r="M29" s="54">
        <f t="shared" si="31"/>
        <v>1.357610449073845</v>
      </c>
      <c r="N29" s="52">
        <f t="shared" si="31"/>
        <v>1.7781636887214989</v>
      </c>
      <c r="O29" s="52">
        <f t="shared" si="31"/>
        <v>1.9158922914386267</v>
      </c>
      <c r="P29" s="52">
        <f t="shared" si="31"/>
        <v>2.0138512759520459</v>
      </c>
      <c r="Q29" s="53">
        <f t="shared" si="31"/>
        <v>1.3588028093615183</v>
      </c>
      <c r="R29" s="52">
        <f t="shared" si="31"/>
        <v>1.1928454411867833</v>
      </c>
      <c r="T29" s="39" t="s">
        <v>629</v>
      </c>
      <c r="U29" s="52">
        <f t="shared" ref="U29:AJ29" si="32">SUM(U66:U67)</f>
        <v>1.5812941079634475</v>
      </c>
      <c r="V29" s="52">
        <f t="shared" si="32"/>
        <v>2.1488514811811976</v>
      </c>
      <c r="W29" s="52">
        <f t="shared" si="32"/>
        <v>2.9907063125876565</v>
      </c>
      <c r="X29" s="52">
        <f t="shared" si="32"/>
        <v>3.8497748604086999</v>
      </c>
      <c r="Y29" s="52">
        <f t="shared" si="32"/>
        <v>4.1629409345648476</v>
      </c>
      <c r="Z29" s="54">
        <f t="shared" si="32"/>
        <v>0.52499873042704981</v>
      </c>
      <c r="AA29" s="52">
        <f t="shared" si="32"/>
        <v>1.0550145569052594</v>
      </c>
      <c r="AB29" s="52">
        <f t="shared" si="32"/>
        <v>1.2357300126744928</v>
      </c>
      <c r="AC29" s="52">
        <f t="shared" si="32"/>
        <v>2.7478394446181946</v>
      </c>
      <c r="AD29" s="53">
        <f t="shared" si="32"/>
        <v>3.1094332296423008</v>
      </c>
      <c r="AE29" s="54">
        <f t="shared" si="32"/>
        <v>0.5907124310321209</v>
      </c>
      <c r="AF29" s="52">
        <f t="shared" si="32"/>
        <v>1.9660713650206594</v>
      </c>
      <c r="AG29" s="52">
        <f t="shared" si="32"/>
        <v>4.5081796841987094</v>
      </c>
      <c r="AH29" s="52">
        <f t="shared" si="32"/>
        <v>11.656201348410875</v>
      </c>
      <c r="AI29" s="53">
        <f t="shared" si="32"/>
        <v>53.162853329883461</v>
      </c>
      <c r="AJ29" s="52">
        <f t="shared" si="32"/>
        <v>95.290601829518977</v>
      </c>
    </row>
    <row r="30" spans="1:36" x14ac:dyDescent="0.35">
      <c r="A30" s="86" t="str">
        <f t="shared" si="30"/>
        <v>given</v>
      </c>
      <c r="B30" s="50" t="s">
        <v>633</v>
      </c>
      <c r="C30" s="43">
        <f t="shared" ref="C30:R30" si="33">C68</f>
        <v>7.3996305220809289</v>
      </c>
      <c r="D30" s="43">
        <f t="shared" si="33"/>
        <v>7.4912350398950291</v>
      </c>
      <c r="E30" s="43">
        <f t="shared" si="33"/>
        <v>9.6790535471761672</v>
      </c>
      <c r="F30" s="43">
        <f t="shared" si="33"/>
        <v>7.958313196533779</v>
      </c>
      <c r="G30" s="43">
        <f t="shared" si="33"/>
        <v>8.1252863718952035</v>
      </c>
      <c r="H30" s="51">
        <f t="shared" si="33"/>
        <v>20.453568515874387</v>
      </c>
      <c r="I30" s="43">
        <f t="shared" si="33"/>
        <v>5.6857129300346845</v>
      </c>
      <c r="J30" s="43">
        <f t="shared" si="33"/>
        <v>6.5894713495343291</v>
      </c>
      <c r="K30" s="43">
        <f t="shared" si="33"/>
        <v>5.4092723842455728</v>
      </c>
      <c r="L30" s="50">
        <f t="shared" si="33"/>
        <v>6.3672743637319824</v>
      </c>
      <c r="M30" s="51">
        <f t="shared" si="33"/>
        <v>9.8834862777191557</v>
      </c>
      <c r="N30" s="43">
        <f t="shared" si="33"/>
        <v>12.318234153632215</v>
      </c>
      <c r="O30" s="43">
        <f t="shared" si="33"/>
        <v>9.5041315309487437</v>
      </c>
      <c r="P30" s="43">
        <f t="shared" si="33"/>
        <v>10.536431155655061</v>
      </c>
      <c r="Q30" s="50">
        <f t="shared" si="33"/>
        <v>9.0932104382238261</v>
      </c>
      <c r="R30" s="43">
        <f t="shared" si="33"/>
        <v>8.7898840632219812</v>
      </c>
      <c r="T30" s="40" t="s">
        <v>633</v>
      </c>
      <c r="U30" s="43">
        <f t="shared" ref="U30:AJ30" si="34">U68</f>
        <v>18.339456883453128</v>
      </c>
      <c r="V30" s="43">
        <f t="shared" si="34"/>
        <v>27.400850973533018</v>
      </c>
      <c r="W30" s="43">
        <f t="shared" si="34"/>
        <v>47.449260555758521</v>
      </c>
      <c r="X30" s="43">
        <f t="shared" si="34"/>
        <v>40.58801023752924</v>
      </c>
      <c r="Y30" s="43">
        <f t="shared" si="34"/>
        <v>37.489319987883356</v>
      </c>
      <c r="Z30" s="51">
        <f t="shared" si="34"/>
        <v>17.491937572013391</v>
      </c>
      <c r="AA30" s="43">
        <f t="shared" si="34"/>
        <v>6.1512608394697468</v>
      </c>
      <c r="AB30" s="43">
        <f t="shared" si="34"/>
        <v>9.0440864678040924</v>
      </c>
      <c r="AC30" s="43">
        <f t="shared" si="34"/>
        <v>19.695624889910469</v>
      </c>
      <c r="AD30" s="50">
        <f t="shared" si="34"/>
        <v>21.492280134736166</v>
      </c>
      <c r="AE30" s="51">
        <f t="shared" si="34"/>
        <v>4.3004222677918751</v>
      </c>
      <c r="AF30" s="43">
        <f t="shared" si="34"/>
        <v>13.619965130706799</v>
      </c>
      <c r="AG30" s="43">
        <f t="shared" si="34"/>
        <v>22.363643757657464</v>
      </c>
      <c r="AH30" s="43">
        <f t="shared" si="34"/>
        <v>60.985021342216207</v>
      </c>
      <c r="AI30" s="50">
        <f t="shared" si="34"/>
        <v>355.76980669638965</v>
      </c>
      <c r="AJ30" s="43">
        <f t="shared" si="34"/>
        <v>702.18094773685311</v>
      </c>
    </row>
    <row r="31" spans="1:36" x14ac:dyDescent="0.35">
      <c r="A31" s="86" t="str">
        <f t="shared" si="30"/>
        <v>given</v>
      </c>
      <c r="B31" s="50" t="s">
        <v>634</v>
      </c>
      <c r="C31" s="43">
        <f t="shared" ref="C31:R31" si="35">SUM(C69:C71)</f>
        <v>6.6652483105558478</v>
      </c>
      <c r="D31" s="43">
        <f t="shared" si="35"/>
        <v>7.4374725936317851</v>
      </c>
      <c r="E31" s="43">
        <f t="shared" si="35"/>
        <v>10.205374016983086</v>
      </c>
      <c r="F31" s="43">
        <f t="shared" si="35"/>
        <v>8.574003254249174</v>
      </c>
      <c r="G31" s="43">
        <f t="shared" si="35"/>
        <v>9.6858600219523225</v>
      </c>
      <c r="H31" s="51">
        <f t="shared" si="35"/>
        <v>5.8286260585492293</v>
      </c>
      <c r="I31" s="43">
        <f t="shared" si="35"/>
        <v>4.4972207715556758</v>
      </c>
      <c r="J31" s="43">
        <f t="shared" si="35"/>
        <v>7.8371716407077914</v>
      </c>
      <c r="K31" s="43">
        <f t="shared" si="35"/>
        <v>4.5669985133939477</v>
      </c>
      <c r="L31" s="50">
        <f t="shared" si="35"/>
        <v>5.8334453325992959</v>
      </c>
      <c r="M31" s="51">
        <f t="shared" si="35"/>
        <v>6.0090319629731992</v>
      </c>
      <c r="N31" s="43">
        <f t="shared" si="35"/>
        <v>7.0455927531591493</v>
      </c>
      <c r="O31" s="43">
        <f t="shared" si="35"/>
        <v>9.6421631043527718</v>
      </c>
      <c r="P31" s="43">
        <f t="shared" si="35"/>
        <v>7.677265641681255</v>
      </c>
      <c r="Q31" s="50">
        <f t="shared" si="35"/>
        <v>6.9375875506082121</v>
      </c>
      <c r="R31" s="43">
        <f t="shared" si="35"/>
        <v>7.3612887831775637</v>
      </c>
      <c r="T31" s="40" t="s">
        <v>634</v>
      </c>
      <c r="U31" s="43">
        <f t="shared" ref="U31:AJ31" si="36">SUM(U69:U71)</f>
        <v>16.519342910998777</v>
      </c>
      <c r="V31" s="43">
        <f t="shared" si="36"/>
        <v>27.204202921484661</v>
      </c>
      <c r="W31" s="43">
        <f t="shared" si="36"/>
        <v>50.02942162067832</v>
      </c>
      <c r="X31" s="43">
        <f t="shared" si="36"/>
        <v>43.728076951237071</v>
      </c>
      <c r="Y31" s="43">
        <f t="shared" si="36"/>
        <v>44.689662505534741</v>
      </c>
      <c r="Z31" s="51">
        <f t="shared" si="36"/>
        <v>4.9846540503494667</v>
      </c>
      <c r="AA31" s="43">
        <f t="shared" si="36"/>
        <v>4.865454580442842</v>
      </c>
      <c r="AB31" s="43">
        <f t="shared" si="36"/>
        <v>10.756562130980713</v>
      </c>
      <c r="AC31" s="43">
        <f t="shared" si="36"/>
        <v>16.628833455413279</v>
      </c>
      <c r="AD31" s="50">
        <f t="shared" si="36"/>
        <v>19.690378343522347</v>
      </c>
      <c r="AE31" s="51">
        <f t="shared" si="36"/>
        <v>2.6146011776936025</v>
      </c>
      <c r="AF31" s="43">
        <f t="shared" si="36"/>
        <v>7.7901366727058585</v>
      </c>
      <c r="AG31" s="43">
        <f t="shared" si="36"/>
        <v>22.688438182573055</v>
      </c>
      <c r="AH31" s="43">
        <f t="shared" si="36"/>
        <v>44.436128523129533</v>
      </c>
      <c r="AI31" s="50">
        <f t="shared" si="36"/>
        <v>271.43154759115777</v>
      </c>
      <c r="AJ31" s="43">
        <f t="shared" si="36"/>
        <v>588.05744161790199</v>
      </c>
    </row>
    <row r="32" spans="1:36" x14ac:dyDescent="0.35">
      <c r="A32" s="88" t="str">
        <f t="shared" ref="A32:A38" si="37">S116</f>
        <v>residual</v>
      </c>
      <c r="B32" s="56" t="s">
        <v>625</v>
      </c>
      <c r="C32" s="55">
        <f t="shared" ref="C32:R32" si="38">SUM(C72:C75)</f>
        <v>3.7901262987501187</v>
      </c>
      <c r="D32" s="55">
        <f t="shared" si="38"/>
        <v>4.5451194149228549</v>
      </c>
      <c r="E32" s="55">
        <f t="shared" si="38"/>
        <v>4.3411122197537377</v>
      </c>
      <c r="F32" s="55">
        <f t="shared" si="38"/>
        <v>4.1221298647735614</v>
      </c>
      <c r="G32" s="55">
        <f t="shared" si="38"/>
        <v>3.5845914910312193</v>
      </c>
      <c r="H32" s="57">
        <f t="shared" si="38"/>
        <v>3.4553133983945017</v>
      </c>
      <c r="I32" s="55">
        <f t="shared" si="38"/>
        <v>4.8797663985291528</v>
      </c>
      <c r="J32" s="55">
        <f t="shared" si="38"/>
        <v>4.8612876083295467</v>
      </c>
      <c r="K32" s="55">
        <f t="shared" si="38"/>
        <v>2.6255046704578997</v>
      </c>
      <c r="L32" s="56">
        <f t="shared" si="38"/>
        <v>3.0571892157591583</v>
      </c>
      <c r="M32" s="57">
        <f t="shared" si="38"/>
        <v>6.0341067069539012</v>
      </c>
      <c r="N32" s="55">
        <f t="shared" si="38"/>
        <v>5.2742116148480429</v>
      </c>
      <c r="O32" s="55">
        <f t="shared" si="38"/>
        <v>4.9184561531388633</v>
      </c>
      <c r="P32" s="55">
        <f t="shared" si="38"/>
        <v>3.9495355866733255</v>
      </c>
      <c r="Q32" s="56">
        <f t="shared" si="38"/>
        <v>1.5192706196771744</v>
      </c>
      <c r="R32" s="55">
        <f t="shared" si="38"/>
        <v>2.7787245799537814</v>
      </c>
      <c r="T32" s="49" t="s">
        <v>625</v>
      </c>
      <c r="U32" s="55">
        <f t="shared" ref="U32:AJ32" si="39">SUM(U72:U75)</f>
        <v>9.3935579122972559</v>
      </c>
      <c r="V32" s="55">
        <f t="shared" si="39"/>
        <v>16.624780704645708</v>
      </c>
      <c r="W32" s="55">
        <f t="shared" si="39"/>
        <v>21.281271336387746</v>
      </c>
      <c r="X32" s="55">
        <f t="shared" si="39"/>
        <v>21.023179789496766</v>
      </c>
      <c r="Y32" s="55">
        <f t="shared" si="39"/>
        <v>16.538973678261701</v>
      </c>
      <c r="Z32" s="57">
        <f t="shared" si="39"/>
        <v>2.9549917516617885</v>
      </c>
      <c r="AA32" s="55">
        <f t="shared" si="39"/>
        <v>5.27932316006844</v>
      </c>
      <c r="AB32" s="55">
        <f t="shared" si="39"/>
        <v>6.6721445685781759</v>
      </c>
      <c r="AC32" s="55">
        <f t="shared" si="39"/>
        <v>9.5596877847479433</v>
      </c>
      <c r="AD32" s="56">
        <f t="shared" si="39"/>
        <v>10.319323983312486</v>
      </c>
      <c r="AE32" s="57">
        <f t="shared" si="39"/>
        <v>2.6255114966178956</v>
      </c>
      <c r="AF32" s="55">
        <f t="shared" si="39"/>
        <v>5.8315646049817644</v>
      </c>
      <c r="AG32" s="55">
        <f t="shared" si="39"/>
        <v>11.573345853671675</v>
      </c>
      <c r="AH32" s="55">
        <f t="shared" si="39"/>
        <v>22.859971131291513</v>
      </c>
      <c r="AI32" s="56">
        <f t="shared" si="39"/>
        <v>59.441120202165934</v>
      </c>
      <c r="AJ32" s="55">
        <f t="shared" si="39"/>
        <v>221.97874795818683</v>
      </c>
    </row>
    <row r="33" spans="1:75" x14ac:dyDescent="0.35">
      <c r="A33" s="86" t="str">
        <f t="shared" si="37"/>
        <v>residual</v>
      </c>
      <c r="B33" s="50" t="s">
        <v>627</v>
      </c>
      <c r="C33" s="43">
        <f t="shared" ref="C33:R33" si="40">SUM(C76:C77)</f>
        <v>0</v>
      </c>
      <c r="D33" s="43">
        <f t="shared" si="40"/>
        <v>0</v>
      </c>
      <c r="E33" s="43">
        <f t="shared" si="40"/>
        <v>0</v>
      </c>
      <c r="F33" s="43">
        <f t="shared" si="40"/>
        <v>0</v>
      </c>
      <c r="G33" s="43">
        <f t="shared" si="40"/>
        <v>0</v>
      </c>
      <c r="H33" s="51">
        <f t="shared" si="40"/>
        <v>0</v>
      </c>
      <c r="I33" s="43">
        <f t="shared" si="40"/>
        <v>0</v>
      </c>
      <c r="J33" s="43">
        <f t="shared" si="40"/>
        <v>0</v>
      </c>
      <c r="K33" s="43">
        <f t="shared" si="40"/>
        <v>0</v>
      </c>
      <c r="L33" s="50">
        <f t="shared" si="40"/>
        <v>0</v>
      </c>
      <c r="M33" s="51">
        <f t="shared" si="40"/>
        <v>0</v>
      </c>
      <c r="N33" s="43">
        <f t="shared" si="40"/>
        <v>0</v>
      </c>
      <c r="O33" s="43">
        <f t="shared" si="40"/>
        <v>0</v>
      </c>
      <c r="P33" s="43">
        <f t="shared" si="40"/>
        <v>0</v>
      </c>
      <c r="Q33" s="50">
        <f t="shared" si="40"/>
        <v>0</v>
      </c>
      <c r="R33" s="43">
        <f t="shared" si="40"/>
        <v>0</v>
      </c>
      <c r="T33" s="40" t="s">
        <v>627</v>
      </c>
      <c r="U33" s="43">
        <f t="shared" ref="U33:AJ33" si="41">SUM(U76:U77)</f>
        <v>0</v>
      </c>
      <c r="V33" s="43">
        <f t="shared" si="41"/>
        <v>0</v>
      </c>
      <c r="W33" s="43">
        <f t="shared" si="41"/>
        <v>0</v>
      </c>
      <c r="X33" s="43">
        <f t="shared" si="41"/>
        <v>0</v>
      </c>
      <c r="Y33" s="43">
        <f t="shared" si="41"/>
        <v>0</v>
      </c>
      <c r="Z33" s="51">
        <f t="shared" si="41"/>
        <v>0</v>
      </c>
      <c r="AA33" s="43">
        <f t="shared" si="41"/>
        <v>0</v>
      </c>
      <c r="AB33" s="43">
        <f t="shared" si="41"/>
        <v>0</v>
      </c>
      <c r="AC33" s="43">
        <f t="shared" si="41"/>
        <v>0</v>
      </c>
      <c r="AD33" s="50">
        <f t="shared" si="41"/>
        <v>0</v>
      </c>
      <c r="AE33" s="51">
        <f t="shared" si="41"/>
        <v>0</v>
      </c>
      <c r="AF33" s="43">
        <f t="shared" si="41"/>
        <v>0</v>
      </c>
      <c r="AG33" s="43">
        <f t="shared" si="41"/>
        <v>0</v>
      </c>
      <c r="AH33" s="43">
        <f t="shared" si="41"/>
        <v>0</v>
      </c>
      <c r="AI33" s="50">
        <f t="shared" si="41"/>
        <v>0</v>
      </c>
      <c r="AJ33" s="43">
        <f t="shared" si="41"/>
        <v>0</v>
      </c>
    </row>
    <row r="34" spans="1:75" x14ac:dyDescent="0.35">
      <c r="A34" s="86" t="str">
        <f t="shared" si="37"/>
        <v>residual</v>
      </c>
      <c r="B34" s="50" t="s">
        <v>628</v>
      </c>
      <c r="C34" s="43">
        <f t="shared" ref="C34:R34" si="42">SUM(C78:C85)</f>
        <v>4.1415703456597406</v>
      </c>
      <c r="D34" s="43">
        <f t="shared" si="42"/>
        <v>4.6579499936975326</v>
      </c>
      <c r="E34" s="43">
        <f t="shared" si="42"/>
        <v>4.4692784130099108</v>
      </c>
      <c r="F34" s="43">
        <f t="shared" si="42"/>
        <v>5.7398467063022718</v>
      </c>
      <c r="G34" s="43">
        <f t="shared" si="42"/>
        <v>6.3874672992795638</v>
      </c>
      <c r="H34" s="51">
        <f t="shared" si="42"/>
        <v>3.2699796805032793</v>
      </c>
      <c r="I34" s="43">
        <f t="shared" si="42"/>
        <v>4.0309268080511034</v>
      </c>
      <c r="J34" s="43">
        <f t="shared" si="42"/>
        <v>5.7476579194517798</v>
      </c>
      <c r="K34" s="43">
        <f t="shared" si="42"/>
        <v>3.5382372228190659</v>
      </c>
      <c r="L34" s="50">
        <f t="shared" si="42"/>
        <v>8.3001295467447314</v>
      </c>
      <c r="M34" s="51">
        <f t="shared" si="42"/>
        <v>4.1925618762936949</v>
      </c>
      <c r="N34" s="43">
        <f t="shared" si="42"/>
        <v>4.7092098260817572</v>
      </c>
      <c r="O34" s="43">
        <f t="shared" si="42"/>
        <v>5.081308496331256</v>
      </c>
      <c r="P34" s="43">
        <f t="shared" si="42"/>
        <v>5.8608689933408771</v>
      </c>
      <c r="Q34" s="50">
        <f t="shared" si="42"/>
        <v>5.5451031863579621</v>
      </c>
      <c r="R34" s="43">
        <f t="shared" si="42"/>
        <v>5.4298412161653564</v>
      </c>
      <c r="T34" s="40" t="s">
        <v>628</v>
      </c>
      <c r="U34" s="43">
        <f t="shared" ref="U34:AJ34" si="43">SUM(U78:U85)</f>
        <v>10.264586935437286</v>
      </c>
      <c r="V34" s="43">
        <f t="shared" si="43"/>
        <v>17.037483531055194</v>
      </c>
      <c r="W34" s="43">
        <f t="shared" si="43"/>
        <v>21.909575650297253</v>
      </c>
      <c r="X34" s="43">
        <f t="shared" si="43"/>
        <v>29.273660274983154</v>
      </c>
      <c r="Y34" s="43">
        <f t="shared" si="43"/>
        <v>29.471183480143456</v>
      </c>
      <c r="Z34" s="51">
        <f t="shared" si="43"/>
        <v>2.796493941324862</v>
      </c>
      <c r="AA34" s="43">
        <f t="shared" si="43"/>
        <v>4.3609803249391765</v>
      </c>
      <c r="AB34" s="43">
        <f t="shared" si="43"/>
        <v>7.88869280303562</v>
      </c>
      <c r="AC34" s="43">
        <f t="shared" si="43"/>
        <v>12.883025324279762</v>
      </c>
      <c r="AD34" s="50">
        <f t="shared" si="43"/>
        <v>28.016494842650605</v>
      </c>
      <c r="AE34" s="51">
        <f t="shared" si="43"/>
        <v>1.8242334683616803</v>
      </c>
      <c r="AF34" s="43">
        <f t="shared" si="43"/>
        <v>5.2068561795850377</v>
      </c>
      <c r="AG34" s="43">
        <f t="shared" si="43"/>
        <v>11.95654465267766</v>
      </c>
      <c r="AH34" s="43">
        <f t="shared" si="43"/>
        <v>33.922797516784527</v>
      </c>
      <c r="AI34" s="50">
        <f t="shared" si="43"/>
        <v>216.95091102581469</v>
      </c>
      <c r="AJ34" s="43">
        <f t="shared" si="43"/>
        <v>433.76351995136991</v>
      </c>
    </row>
    <row r="35" spans="1:75" x14ac:dyDescent="0.35">
      <c r="A35" s="88" t="str">
        <f t="shared" si="37"/>
        <v>residual</v>
      </c>
      <c r="B35" s="56" t="s">
        <v>630</v>
      </c>
      <c r="C35" s="55">
        <f>C86</f>
        <v>0</v>
      </c>
      <c r="D35" s="55">
        <f t="shared" ref="D35:Q35" si="44">D86</f>
        <v>0</v>
      </c>
      <c r="E35" s="55">
        <f t="shared" si="44"/>
        <v>0</v>
      </c>
      <c r="F35" s="55">
        <f t="shared" si="44"/>
        <v>0</v>
      </c>
      <c r="G35" s="55">
        <f t="shared" si="44"/>
        <v>0</v>
      </c>
      <c r="H35" s="57">
        <f t="shared" si="44"/>
        <v>0</v>
      </c>
      <c r="I35" s="55">
        <f t="shared" si="44"/>
        <v>0</v>
      </c>
      <c r="J35" s="55">
        <f t="shared" si="44"/>
        <v>0</v>
      </c>
      <c r="K35" s="55">
        <f t="shared" si="44"/>
        <v>0</v>
      </c>
      <c r="L35" s="56">
        <f t="shared" si="44"/>
        <v>0</v>
      </c>
      <c r="M35" s="57">
        <f t="shared" si="44"/>
        <v>0</v>
      </c>
      <c r="N35" s="55">
        <f t="shared" si="44"/>
        <v>0</v>
      </c>
      <c r="O35" s="55">
        <f t="shared" si="44"/>
        <v>0</v>
      </c>
      <c r="P35" s="55">
        <f t="shared" si="44"/>
        <v>0</v>
      </c>
      <c r="Q35" s="56">
        <f t="shared" si="44"/>
        <v>0</v>
      </c>
      <c r="R35" s="55">
        <f t="shared" ref="R35" si="45">R86</f>
        <v>0</v>
      </c>
      <c r="T35" s="49" t="s">
        <v>630</v>
      </c>
      <c r="U35" s="55">
        <f>U86</f>
        <v>0</v>
      </c>
      <c r="V35" s="55">
        <f t="shared" ref="V35:AJ35" si="46">V86</f>
        <v>0</v>
      </c>
      <c r="W35" s="55">
        <f t="shared" si="46"/>
        <v>0</v>
      </c>
      <c r="X35" s="55">
        <f t="shared" si="46"/>
        <v>0</v>
      </c>
      <c r="Y35" s="55">
        <f t="shared" si="46"/>
        <v>0</v>
      </c>
      <c r="Z35" s="57">
        <f t="shared" si="46"/>
        <v>0</v>
      </c>
      <c r="AA35" s="55">
        <f t="shared" si="46"/>
        <v>0</v>
      </c>
      <c r="AB35" s="55">
        <f t="shared" si="46"/>
        <v>0</v>
      </c>
      <c r="AC35" s="55">
        <f t="shared" si="46"/>
        <v>0</v>
      </c>
      <c r="AD35" s="56">
        <f t="shared" si="46"/>
        <v>0</v>
      </c>
      <c r="AE35" s="57">
        <f t="shared" si="46"/>
        <v>0</v>
      </c>
      <c r="AF35" s="55">
        <f t="shared" si="46"/>
        <v>0</v>
      </c>
      <c r="AG35" s="55">
        <f t="shared" si="46"/>
        <v>0</v>
      </c>
      <c r="AH35" s="55">
        <f t="shared" si="46"/>
        <v>0</v>
      </c>
      <c r="AI35" s="56">
        <f t="shared" si="46"/>
        <v>0</v>
      </c>
      <c r="AJ35" s="55">
        <f t="shared" si="46"/>
        <v>0</v>
      </c>
    </row>
    <row r="36" spans="1:75" x14ac:dyDescent="0.35">
      <c r="A36" s="86" t="str">
        <f t="shared" si="37"/>
        <v>residual</v>
      </c>
      <c r="B36" s="50" t="s">
        <v>631</v>
      </c>
      <c r="C36" s="43">
        <f>SUM(C87,C88)</f>
        <v>0.4951776213058004</v>
      </c>
      <c r="D36" s="43">
        <f t="shared" ref="D36:Q36" si="47">SUM(D87,D88)</f>
        <v>0.75245951116321408</v>
      </c>
      <c r="E36" s="43">
        <f t="shared" si="47"/>
        <v>1.0404097795530778</v>
      </c>
      <c r="F36" s="43">
        <f t="shared" si="47"/>
        <v>1.1815026641213981</v>
      </c>
      <c r="G36" s="43">
        <f t="shared" si="47"/>
        <v>1.4973543960231683</v>
      </c>
      <c r="H36" s="51">
        <f t="shared" si="47"/>
        <v>0.61807796440132723</v>
      </c>
      <c r="I36" s="43">
        <f t="shared" si="47"/>
        <v>1.5643197992307107</v>
      </c>
      <c r="J36" s="43">
        <f t="shared" si="47"/>
        <v>1.5538496298555307</v>
      </c>
      <c r="K36" s="43">
        <f t="shared" si="47"/>
        <v>1.0975528311411309</v>
      </c>
      <c r="L36" s="50">
        <f t="shared" si="47"/>
        <v>2.6500055666048077</v>
      </c>
      <c r="M36" s="51">
        <f t="shared" si="47"/>
        <v>0.96473525244319847</v>
      </c>
      <c r="N36" s="43">
        <f t="shared" si="47"/>
        <v>1.0618606110403181</v>
      </c>
      <c r="O36" s="43">
        <f t="shared" si="47"/>
        <v>1.9707685996247493</v>
      </c>
      <c r="P36" s="43">
        <f t="shared" si="47"/>
        <v>2.8938350971261859</v>
      </c>
      <c r="Q36" s="50">
        <f t="shared" si="47"/>
        <v>4.4911618802408597</v>
      </c>
      <c r="R36" s="43">
        <f t="shared" ref="R36" si="48">SUM(R87,R88)</f>
        <v>2.9793479254572475</v>
      </c>
      <c r="T36" s="40" t="s">
        <v>631</v>
      </c>
      <c r="U36" s="43">
        <f>SUM(U87,U88)</f>
        <v>1.2272624435084312</v>
      </c>
      <c r="V36" s="43">
        <f t="shared" ref="V36:AJ36" si="49">SUM(V87,V88)</f>
        <v>2.7522872822969981</v>
      </c>
      <c r="W36" s="43">
        <f t="shared" si="49"/>
        <v>5.1003617734066404</v>
      </c>
      <c r="X36" s="43">
        <f t="shared" si="49"/>
        <v>6.0257545842646634</v>
      </c>
      <c r="Y36" s="43">
        <f t="shared" si="49"/>
        <v>6.908654725320539</v>
      </c>
      <c r="Z36" s="51">
        <f t="shared" si="49"/>
        <v>0.528581658479508</v>
      </c>
      <c r="AA36" s="43">
        <f t="shared" si="49"/>
        <v>1.6924067816692154</v>
      </c>
      <c r="AB36" s="43">
        <f t="shared" si="49"/>
        <v>2.1326673514366101</v>
      </c>
      <c r="AC36" s="43">
        <f t="shared" si="49"/>
        <v>3.9962840329457481</v>
      </c>
      <c r="AD36" s="50">
        <f t="shared" si="49"/>
        <v>8.9449046393374729</v>
      </c>
      <c r="AE36" s="51">
        <f t="shared" si="49"/>
        <v>0.41976776671237215</v>
      </c>
      <c r="AF36" s="43">
        <f t="shared" si="49"/>
        <v>1.174072867560783</v>
      </c>
      <c r="AG36" s="43">
        <f t="shared" si="49"/>
        <v>4.6373060754963848</v>
      </c>
      <c r="AH36" s="43">
        <f t="shared" si="49"/>
        <v>16.749560885649121</v>
      </c>
      <c r="AI36" s="50">
        <f t="shared" si="49"/>
        <v>175.71569522453353</v>
      </c>
      <c r="AJ36" s="43">
        <f t="shared" si="49"/>
        <v>238.00556809261801</v>
      </c>
    </row>
    <row r="37" spans="1:75" x14ac:dyDescent="0.35">
      <c r="A37" s="86" t="str">
        <f t="shared" si="37"/>
        <v>residual</v>
      </c>
      <c r="B37" s="50" t="s">
        <v>632</v>
      </c>
      <c r="C37" s="43">
        <f>SUM(C89:C91)</f>
        <v>6.3580039186951192</v>
      </c>
      <c r="D37" s="43">
        <f t="shared" ref="D37:Q37" si="50">SUM(D89:D91)</f>
        <v>9.3134000718165222</v>
      </c>
      <c r="E37" s="43">
        <f t="shared" si="50"/>
        <v>11.116732067655892</v>
      </c>
      <c r="F37" s="43">
        <f t="shared" si="50"/>
        <v>13.628786933746884</v>
      </c>
      <c r="G37" s="43">
        <f t="shared" si="50"/>
        <v>15.34824968598374</v>
      </c>
      <c r="H37" s="51">
        <f t="shared" si="50"/>
        <v>4.1613192171706403</v>
      </c>
      <c r="I37" s="43">
        <f t="shared" si="50"/>
        <v>8.509266154934199</v>
      </c>
      <c r="J37" s="43">
        <f t="shared" si="50"/>
        <v>14.216850637884708</v>
      </c>
      <c r="K37" s="43">
        <f t="shared" si="50"/>
        <v>48.136958471296118</v>
      </c>
      <c r="L37" s="50">
        <f t="shared" si="50"/>
        <v>18.933870373859197</v>
      </c>
      <c r="M37" s="51">
        <f t="shared" si="50"/>
        <v>6.2206916947955833</v>
      </c>
      <c r="N37" s="43">
        <f t="shared" si="50"/>
        <v>7.2516435477706436</v>
      </c>
      <c r="O37" s="43">
        <f t="shared" si="50"/>
        <v>11.050136144297209</v>
      </c>
      <c r="P37" s="43">
        <f t="shared" si="50"/>
        <v>15.543114780222815</v>
      </c>
      <c r="Q37" s="50">
        <f t="shared" si="50"/>
        <v>24.426767990484343</v>
      </c>
      <c r="R37" s="43">
        <f t="shared" ref="R37" si="51">SUM(R89:R91)</f>
        <v>20.009783724833625</v>
      </c>
      <c r="T37" s="40" t="s">
        <v>632</v>
      </c>
      <c r="U37" s="43">
        <f>SUM(U89:U91)</f>
        <v>15.757859582824707</v>
      </c>
      <c r="V37" s="43">
        <f t="shared" ref="V37:AJ37" si="52">SUM(V89:V91)</f>
        <v>34.065823067315236</v>
      </c>
      <c r="W37" s="43">
        <f t="shared" si="52"/>
        <v>54.497137952155612</v>
      </c>
      <c r="X37" s="43">
        <f t="shared" si="52"/>
        <v>69.507863027174267</v>
      </c>
      <c r="Y37" s="43">
        <f t="shared" si="52"/>
        <v>70.815404823395184</v>
      </c>
      <c r="Z37" s="51">
        <f t="shared" si="52"/>
        <v>3.5587695079944215</v>
      </c>
      <c r="AA37" s="43">
        <f t="shared" si="52"/>
        <v>9.2060074638964817</v>
      </c>
      <c r="AB37" s="43">
        <f t="shared" si="52"/>
        <v>19.512707415894837</v>
      </c>
      <c r="AC37" s="43">
        <f t="shared" si="52"/>
        <v>175.27079615238779</v>
      </c>
      <c r="AD37" s="50">
        <f t="shared" si="52"/>
        <v>63.909927994881144</v>
      </c>
      <c r="AE37" s="51">
        <f t="shared" si="52"/>
        <v>2.7066968409390517</v>
      </c>
      <c r="AF37" s="43">
        <f t="shared" si="52"/>
        <v>8.0179619115153891</v>
      </c>
      <c r="AG37" s="43">
        <f t="shared" si="52"/>
        <v>26.001461301326152</v>
      </c>
      <c r="AH37" s="43">
        <f t="shared" si="52"/>
        <v>89.963781150665397</v>
      </c>
      <c r="AI37" s="50">
        <f t="shared" si="52"/>
        <v>955.69178622128629</v>
      </c>
      <c r="AJ37" s="43">
        <f t="shared" si="52"/>
        <v>1598.4839844136523</v>
      </c>
    </row>
    <row r="38" spans="1:75" x14ac:dyDescent="0.35">
      <c r="A38" s="87" t="str">
        <f t="shared" si="37"/>
        <v>residual</v>
      </c>
      <c r="B38" s="53" t="s">
        <v>635</v>
      </c>
      <c r="C38" s="52">
        <f>SUM(C92:C94)</f>
        <v>1.7278913024544478</v>
      </c>
      <c r="D38" s="52">
        <f t="shared" ref="D38:Q38" si="53">SUM(D92:D94)</f>
        <v>1.9959433369844128</v>
      </c>
      <c r="E38" s="52">
        <f t="shared" si="53"/>
        <v>3.2930108308893415</v>
      </c>
      <c r="F38" s="52">
        <f t="shared" si="53"/>
        <v>4.41526835535152</v>
      </c>
      <c r="G38" s="52">
        <f t="shared" si="53"/>
        <v>8.5487851798227581</v>
      </c>
      <c r="H38" s="54">
        <f t="shared" si="53"/>
        <v>2.2263803996680771</v>
      </c>
      <c r="I38" s="52">
        <f t="shared" si="53"/>
        <v>1.8973377357814085</v>
      </c>
      <c r="J38" s="52">
        <f t="shared" si="53"/>
        <v>3.2682664390574905</v>
      </c>
      <c r="K38" s="52">
        <f t="shared" si="53"/>
        <v>2.6221471642616416</v>
      </c>
      <c r="L38" s="53">
        <f t="shared" si="53"/>
        <v>9.184919179162673</v>
      </c>
      <c r="M38" s="54">
        <f t="shared" si="53"/>
        <v>1.0779763346635054</v>
      </c>
      <c r="N38" s="52">
        <f t="shared" si="53"/>
        <v>1.9132139534195596</v>
      </c>
      <c r="O38" s="52">
        <f t="shared" si="53"/>
        <v>3.3415761121778256</v>
      </c>
      <c r="P38" s="52">
        <f t="shared" si="53"/>
        <v>4.739990085980982</v>
      </c>
      <c r="Q38" s="53">
        <f t="shared" si="53"/>
        <v>10.508381511444034</v>
      </c>
      <c r="R38" s="52">
        <f t="shared" ref="R38" si="54">SUM(R92:R94)</f>
        <v>7.356829233235473</v>
      </c>
      <c r="T38" s="39" t="s">
        <v>635</v>
      </c>
      <c r="U38" s="52">
        <f>SUM(U92:U94)</f>
        <v>4.2824554477546437</v>
      </c>
      <c r="V38" s="52">
        <f t="shared" ref="V38:AJ38" si="55">SUM(V92:V94)</f>
        <v>7.3006047249977142</v>
      </c>
      <c r="W38" s="52">
        <f t="shared" si="55"/>
        <v>16.143203275633176</v>
      </c>
      <c r="X38" s="52">
        <f t="shared" si="55"/>
        <v>22.518208668452438</v>
      </c>
      <c r="Y38" s="52">
        <f t="shared" si="55"/>
        <v>39.443304327413784</v>
      </c>
      <c r="Z38" s="54">
        <f t="shared" si="55"/>
        <v>1.9040055006696415</v>
      </c>
      <c r="AA38" s="52">
        <f t="shared" si="55"/>
        <v>2.0526923284692069</v>
      </c>
      <c r="AB38" s="52">
        <f t="shared" si="55"/>
        <v>4.4857140591023263</v>
      </c>
      <c r="AC38" s="52">
        <f t="shared" si="55"/>
        <v>9.5474628165988733</v>
      </c>
      <c r="AD38" s="53">
        <f t="shared" si="55"/>
        <v>31.003039092817154</v>
      </c>
      <c r="AE38" s="54">
        <f t="shared" si="55"/>
        <v>0.46904030657585061</v>
      </c>
      <c r="AF38" s="52">
        <f t="shared" si="55"/>
        <v>2.1153930837946073</v>
      </c>
      <c r="AG38" s="52">
        <f t="shared" si="55"/>
        <v>7.8628770570458508</v>
      </c>
      <c r="AH38" s="52">
        <f t="shared" si="55"/>
        <v>27.435133612608105</v>
      </c>
      <c r="AI38" s="53">
        <f t="shared" si="55"/>
        <v>411.1380556313851</v>
      </c>
      <c r="AJ38" s="52">
        <f t="shared" si="55"/>
        <v>587.70118993331835</v>
      </c>
    </row>
    <row r="39" spans="1:75" x14ac:dyDescent="0.35">
      <c r="A39" s="166" t="s">
        <v>608</v>
      </c>
      <c r="B39" s="167"/>
      <c r="C39" s="131">
        <f t="shared" ref="C39:R39" si="56">SUM(C19:C27)</f>
        <v>66.680679632967156</v>
      </c>
      <c r="D39" s="132">
        <f t="shared" si="56"/>
        <v>60.806687999756612</v>
      </c>
      <c r="E39" s="132">
        <f t="shared" si="56"/>
        <v>52.543209397243601</v>
      </c>
      <c r="F39" s="132">
        <f t="shared" si="56"/>
        <v>50.624739551798548</v>
      </c>
      <c r="G39" s="133">
        <f t="shared" si="56"/>
        <v>43.200998815899709</v>
      </c>
      <c r="H39" s="131">
        <f t="shared" si="56"/>
        <v>57.547098976205611</v>
      </c>
      <c r="I39" s="132">
        <f t="shared" si="56"/>
        <v>65.450545475788715</v>
      </c>
      <c r="J39" s="132">
        <f t="shared" si="56"/>
        <v>51.879523172307685</v>
      </c>
      <c r="K39" s="132">
        <f t="shared" si="56"/>
        <v>29.201417834531071</v>
      </c>
      <c r="L39" s="133">
        <f t="shared" si="56"/>
        <v>41.310646098621461</v>
      </c>
      <c r="M39" s="132">
        <f t="shared" si="56"/>
        <v>62.515222329934879</v>
      </c>
      <c r="N39" s="132">
        <f t="shared" si="56"/>
        <v>56.419873198142071</v>
      </c>
      <c r="O39" s="132">
        <f t="shared" si="56"/>
        <v>49.73009977880799</v>
      </c>
      <c r="P39" s="132">
        <f t="shared" si="56"/>
        <v>43.730940389978024</v>
      </c>
      <c r="Q39" s="133">
        <f t="shared" si="56"/>
        <v>33.715812166841722</v>
      </c>
      <c r="R39" s="130">
        <f t="shared" si="56"/>
        <v>41.542248308206759</v>
      </c>
      <c r="T39" s="49" t="s">
        <v>608</v>
      </c>
      <c r="U39" s="55">
        <f t="shared" ref="U39:AJ39" si="57">SUM(U19:U27)</f>
        <v>165.26331219362706</v>
      </c>
      <c r="V39" s="55">
        <f t="shared" si="57"/>
        <v>222.41392603519176</v>
      </c>
      <c r="W39" s="55">
        <f t="shared" si="57"/>
        <v>257.58060134432844</v>
      </c>
      <c r="X39" s="55">
        <f t="shared" si="57"/>
        <v>258.1900707420757</v>
      </c>
      <c r="Y39" s="55">
        <f t="shared" si="57"/>
        <v>199.32541381032851</v>
      </c>
      <c r="Z39" s="57">
        <f t="shared" si="57"/>
        <v>49.214407840911278</v>
      </c>
      <c r="AA39" s="55">
        <f t="shared" si="57"/>
        <v>70.80965610845513</v>
      </c>
      <c r="AB39" s="55">
        <f t="shared" si="57"/>
        <v>71.204937177844286</v>
      </c>
      <c r="AC39" s="55">
        <f t="shared" si="57"/>
        <v>106.32486794297012</v>
      </c>
      <c r="AD39" s="56">
        <f t="shared" si="57"/>
        <v>139.44113725580479</v>
      </c>
      <c r="AE39" s="57">
        <f t="shared" si="57"/>
        <v>27.201115742900924</v>
      </c>
      <c r="AF39" s="55">
        <f t="shared" si="57"/>
        <v>62.382050548293016</v>
      </c>
      <c r="AG39" s="55">
        <f t="shared" si="57"/>
        <v>117.01713427097351</v>
      </c>
      <c r="AH39" s="55">
        <f t="shared" si="57"/>
        <v>253.11533797348559</v>
      </c>
      <c r="AI39" s="56">
        <f t="shared" si="57"/>
        <v>1319.123543736227</v>
      </c>
      <c r="AJ39" s="55">
        <f t="shared" si="57"/>
        <v>3318.6075127234171</v>
      </c>
    </row>
    <row r="40" spans="1:75" x14ac:dyDescent="0.35">
      <c r="A40" s="168" t="s">
        <v>638</v>
      </c>
      <c r="B40" s="169"/>
      <c r="C40" s="135">
        <f>SUM(C28:C38)</f>
        <v>33.319320367032873</v>
      </c>
      <c r="D40" s="136">
        <f t="shared" ref="D40:R40" si="58">SUM(D28:D38)</f>
        <v>39.19331200024336</v>
      </c>
      <c r="E40" s="136">
        <f t="shared" si="58"/>
        <v>47.456790602756399</v>
      </c>
      <c r="F40" s="136">
        <f t="shared" si="58"/>
        <v>49.375260448201416</v>
      </c>
      <c r="G40" s="137">
        <f t="shared" si="58"/>
        <v>56.799001184100277</v>
      </c>
      <c r="H40" s="135">
        <f t="shared" si="58"/>
        <v>42.452901023794368</v>
      </c>
      <c r="I40" s="136">
        <f t="shared" si="58"/>
        <v>34.549454524211271</v>
      </c>
      <c r="J40" s="136">
        <f t="shared" si="58"/>
        <v>48.120476827692308</v>
      </c>
      <c r="K40" s="136">
        <f t="shared" si="58"/>
        <v>70.798582165468929</v>
      </c>
      <c r="L40" s="137">
        <f t="shared" si="58"/>
        <v>58.68935390137851</v>
      </c>
      <c r="M40" s="136">
        <f t="shared" si="58"/>
        <v>37.484777670065078</v>
      </c>
      <c r="N40" s="136">
        <f t="shared" si="58"/>
        <v>43.580126801857908</v>
      </c>
      <c r="O40" s="136">
        <f t="shared" si="58"/>
        <v>50.26990022119201</v>
      </c>
      <c r="P40" s="136">
        <f t="shared" si="58"/>
        <v>56.269059610021969</v>
      </c>
      <c r="Q40" s="137">
        <f t="shared" si="58"/>
        <v>66.284187833158299</v>
      </c>
      <c r="R40" s="134">
        <f t="shared" si="58"/>
        <v>58.457751691793241</v>
      </c>
      <c r="T40" s="40" t="s">
        <v>638</v>
      </c>
      <c r="U40" s="43">
        <f t="shared" ref="U40:AJ40" si="59">SUM(U29:U38)</f>
        <v>77.365816224237676</v>
      </c>
      <c r="V40" s="43">
        <f t="shared" si="59"/>
        <v>134.53488468650971</v>
      </c>
      <c r="W40" s="43">
        <f t="shared" si="59"/>
        <v>219.40093847690491</v>
      </c>
      <c r="X40" s="43">
        <f t="shared" si="59"/>
        <v>236.5145283935463</v>
      </c>
      <c r="Y40" s="43">
        <f t="shared" si="59"/>
        <v>249.51944446251758</v>
      </c>
      <c r="Z40" s="51">
        <f t="shared" si="59"/>
        <v>34.74443271292013</v>
      </c>
      <c r="AA40" s="43">
        <f t="shared" si="59"/>
        <v>34.663140035860373</v>
      </c>
      <c r="AB40" s="43">
        <f t="shared" si="59"/>
        <v>61.728304809506866</v>
      </c>
      <c r="AC40" s="43">
        <f t="shared" si="59"/>
        <v>250.32955390090208</v>
      </c>
      <c r="AD40" s="50">
        <f t="shared" si="59"/>
        <v>186.48578226089967</v>
      </c>
      <c r="AE40" s="51">
        <f t="shared" si="59"/>
        <v>15.550985755724449</v>
      </c>
      <c r="AF40" s="43">
        <f t="shared" si="59"/>
        <v>45.722021815870896</v>
      </c>
      <c r="AG40" s="43">
        <f t="shared" si="59"/>
        <v>111.59179656464694</v>
      </c>
      <c r="AH40" s="43">
        <f t="shared" si="59"/>
        <v>308.00859551075524</v>
      </c>
      <c r="AI40" s="50">
        <f t="shared" si="59"/>
        <v>2499.3017759226163</v>
      </c>
      <c r="AJ40" s="43">
        <f t="shared" si="59"/>
        <v>4465.4620015334203</v>
      </c>
    </row>
    <row r="41" spans="1:75" x14ac:dyDescent="0.35">
      <c r="A41" s="166" t="s">
        <v>672</v>
      </c>
      <c r="B41" s="167"/>
      <c r="C41" s="131">
        <f>SUM(C19:C31)</f>
        <v>83.487230513134818</v>
      </c>
      <c r="D41" s="132">
        <f t="shared" ref="D41:R41" si="60">SUM(D19:D31)</f>
        <v>78.735127671415427</v>
      </c>
      <c r="E41" s="132">
        <f t="shared" si="60"/>
        <v>75.739456689138024</v>
      </c>
      <c r="F41" s="132">
        <f t="shared" si="60"/>
        <v>70.912465475704323</v>
      </c>
      <c r="G41" s="133">
        <f t="shared" si="60"/>
        <v>64.633551947859544</v>
      </c>
      <c r="H41" s="131">
        <f t="shared" si="60"/>
        <v>86.268929339862154</v>
      </c>
      <c r="I41" s="132">
        <f t="shared" si="60"/>
        <v>79.11838310347342</v>
      </c>
      <c r="J41" s="132">
        <f t="shared" si="60"/>
        <v>70.352087765420933</v>
      </c>
      <c r="K41" s="132">
        <f t="shared" si="60"/>
        <v>41.979599640024141</v>
      </c>
      <c r="L41" s="133">
        <f t="shared" si="60"/>
        <v>57.873886117869397</v>
      </c>
      <c r="M41" s="132">
        <f t="shared" si="60"/>
        <v>81.509928134850071</v>
      </c>
      <c r="N41" s="132">
        <f t="shared" si="60"/>
        <v>79.789860446839668</v>
      </c>
      <c r="O41" s="132">
        <f t="shared" si="60"/>
        <v>73.637754494430098</v>
      </c>
      <c r="P41" s="132">
        <f t="shared" si="60"/>
        <v>67.012655456655793</v>
      </c>
      <c r="Q41" s="133">
        <f t="shared" si="60"/>
        <v>53.509314811795647</v>
      </c>
      <c r="R41" s="130">
        <f t="shared" si="60"/>
        <v>61.445473320354523</v>
      </c>
      <c r="T41" s="40"/>
      <c r="U41" s="43"/>
      <c r="V41" s="43"/>
      <c r="W41" s="43"/>
      <c r="X41" s="43"/>
      <c r="Y41" s="43"/>
      <c r="Z41" s="51"/>
      <c r="AA41" s="43"/>
      <c r="AB41" s="43"/>
      <c r="AC41" s="43"/>
      <c r="AD41" s="50"/>
      <c r="AE41" s="51"/>
      <c r="AF41" s="43"/>
      <c r="AG41" s="43"/>
      <c r="AH41" s="43"/>
      <c r="AI41" s="50"/>
      <c r="AJ41" s="43"/>
    </row>
    <row r="42" spans="1:75" x14ac:dyDescent="0.35">
      <c r="A42" s="168" t="s">
        <v>673</v>
      </c>
      <c r="B42" s="169"/>
      <c r="C42" s="135">
        <f>SUM(C32:C38)</f>
        <v>16.512769486865228</v>
      </c>
      <c r="D42" s="136">
        <f t="shared" ref="D42:R42" si="61">SUM(D32:D38)</f>
        <v>21.264872328584538</v>
      </c>
      <c r="E42" s="136">
        <f t="shared" si="61"/>
        <v>24.260543310861959</v>
      </c>
      <c r="F42" s="136">
        <f t="shared" si="61"/>
        <v>29.087534524295634</v>
      </c>
      <c r="G42" s="137">
        <f t="shared" si="61"/>
        <v>35.366448052140449</v>
      </c>
      <c r="H42" s="135">
        <f t="shared" si="61"/>
        <v>13.731070660137826</v>
      </c>
      <c r="I42" s="136">
        <f t="shared" si="61"/>
        <v>20.881616896526577</v>
      </c>
      <c r="J42" s="136">
        <f t="shared" si="61"/>
        <v>29.647912234579056</v>
      </c>
      <c r="K42" s="136">
        <f t="shared" si="61"/>
        <v>58.020400359975859</v>
      </c>
      <c r="L42" s="137">
        <f t="shared" si="61"/>
        <v>42.126113882130568</v>
      </c>
      <c r="M42" s="136">
        <f t="shared" si="61"/>
        <v>18.490071865149879</v>
      </c>
      <c r="N42" s="136">
        <f t="shared" si="61"/>
        <v>20.210139553160321</v>
      </c>
      <c r="O42" s="136">
        <f t="shared" si="61"/>
        <v>26.362245505569902</v>
      </c>
      <c r="P42" s="136">
        <f t="shared" si="61"/>
        <v>32.987344543344186</v>
      </c>
      <c r="Q42" s="137">
        <f t="shared" si="61"/>
        <v>46.490685188204374</v>
      </c>
      <c r="R42" s="134">
        <f t="shared" si="61"/>
        <v>38.554526679645484</v>
      </c>
      <c r="T42" s="40"/>
      <c r="U42" s="43"/>
      <c r="V42" s="43"/>
      <c r="W42" s="43"/>
      <c r="X42" s="43"/>
      <c r="Y42" s="43"/>
      <c r="Z42" s="51"/>
      <c r="AA42" s="43"/>
      <c r="AB42" s="43"/>
      <c r="AC42" s="43"/>
      <c r="AD42" s="50"/>
      <c r="AE42" s="51"/>
      <c r="AF42" s="43"/>
      <c r="AG42" s="43"/>
      <c r="AH42" s="43"/>
      <c r="AI42" s="50"/>
      <c r="AJ42" s="43"/>
    </row>
    <row r="43" spans="1:75" x14ac:dyDescent="0.35">
      <c r="A43" s="170" t="s">
        <v>127</v>
      </c>
      <c r="B43" s="171"/>
      <c r="C43" s="139">
        <f>C39+C40</f>
        <v>100.00000000000003</v>
      </c>
      <c r="D43" s="140">
        <f t="shared" ref="D43:R43" si="62">D39+D40</f>
        <v>99.999999999999972</v>
      </c>
      <c r="E43" s="140">
        <f t="shared" si="62"/>
        <v>100</v>
      </c>
      <c r="F43" s="140">
        <f t="shared" si="62"/>
        <v>99.999999999999972</v>
      </c>
      <c r="G43" s="141">
        <f t="shared" si="62"/>
        <v>99.999999999999986</v>
      </c>
      <c r="H43" s="139">
        <f t="shared" si="62"/>
        <v>99.999999999999972</v>
      </c>
      <c r="I43" s="140">
        <f t="shared" si="62"/>
        <v>99.999999999999986</v>
      </c>
      <c r="J43" s="140">
        <f t="shared" si="62"/>
        <v>100</v>
      </c>
      <c r="K43" s="140">
        <f t="shared" si="62"/>
        <v>100</v>
      </c>
      <c r="L43" s="141">
        <f t="shared" si="62"/>
        <v>99.999999999999972</v>
      </c>
      <c r="M43" s="140">
        <f t="shared" si="62"/>
        <v>99.999999999999957</v>
      </c>
      <c r="N43" s="140">
        <f t="shared" si="62"/>
        <v>99.999999999999972</v>
      </c>
      <c r="O43" s="140">
        <f t="shared" si="62"/>
        <v>100</v>
      </c>
      <c r="P43" s="140">
        <f t="shared" si="62"/>
        <v>100</v>
      </c>
      <c r="Q43" s="141">
        <f t="shared" si="62"/>
        <v>100.00000000000003</v>
      </c>
      <c r="R43" s="138">
        <f t="shared" si="62"/>
        <v>100</v>
      </c>
      <c r="T43" s="40" t="s">
        <v>127</v>
      </c>
      <c r="U43" s="43">
        <f>U39+U40</f>
        <v>242.62912841786473</v>
      </c>
      <c r="V43" s="43">
        <f t="shared" ref="V43" si="63">V39+V40</f>
        <v>356.94881072170148</v>
      </c>
      <c r="W43" s="43">
        <f t="shared" ref="W43" si="64">W39+W40</f>
        <v>476.98153982123335</v>
      </c>
      <c r="X43" s="43">
        <f t="shared" ref="X43" si="65">X39+X40</f>
        <v>494.704599135622</v>
      </c>
      <c r="Y43" s="43">
        <f t="shared" ref="Y43" si="66">Y39+Y40</f>
        <v>448.84485827284607</v>
      </c>
      <c r="Z43" s="51">
        <f t="shared" ref="Z43" si="67">Z39+Z40</f>
        <v>83.958840553831408</v>
      </c>
      <c r="AA43" s="43">
        <f t="shared" ref="AA43" si="68">AA39+AA40</f>
        <v>105.47279614431551</v>
      </c>
      <c r="AB43" s="43">
        <f t="shared" ref="AB43" si="69">AB39+AB40</f>
        <v>132.93324198735115</v>
      </c>
      <c r="AC43" s="43">
        <f t="shared" ref="AC43" si="70">AC39+AC40</f>
        <v>356.65442184387223</v>
      </c>
      <c r="AD43" s="50">
        <f t="shared" ref="AD43" si="71">AD39+AD40</f>
        <v>325.92691951670446</v>
      </c>
      <c r="AE43" s="51">
        <f t="shared" ref="AE43" si="72">AE39+AE40</f>
        <v>42.752101498625372</v>
      </c>
      <c r="AF43" s="43">
        <f t="shared" ref="AF43" si="73">AF39+AF40</f>
        <v>108.10407236416391</v>
      </c>
      <c r="AG43" s="43">
        <f t="shared" ref="AG43" si="74">AG39+AG40</f>
        <v>228.60893083562047</v>
      </c>
      <c r="AH43" s="43">
        <f t="shared" ref="AH43" si="75">AH39+AH40</f>
        <v>561.12393348424087</v>
      </c>
      <c r="AI43" s="50">
        <f t="shared" ref="AI43" si="76">AI39+AI40</f>
        <v>3818.4253196588434</v>
      </c>
      <c r="AJ43" s="43">
        <f t="shared" ref="AJ43" si="77">AJ39+AJ40</f>
        <v>7784.0695142568375</v>
      </c>
    </row>
    <row r="44" spans="1:75" x14ac:dyDescent="0.35"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spans="1:75" x14ac:dyDescent="0.35"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spans="1:75" x14ac:dyDescent="0.35">
      <c r="A46" t="s">
        <v>636</v>
      </c>
    </row>
    <row r="47" spans="1:75" x14ac:dyDescent="0.35"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U47" t="s">
        <v>605</v>
      </c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L47" t="s">
        <v>603</v>
      </c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C47" t="s">
        <v>604</v>
      </c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</row>
    <row r="48" spans="1:75" x14ac:dyDescent="0.35">
      <c r="A48" s="78" t="s">
        <v>658</v>
      </c>
      <c r="B48" s="79" t="s">
        <v>348</v>
      </c>
      <c r="C48" s="80" t="s">
        <v>217</v>
      </c>
      <c r="D48" s="80" t="s">
        <v>218</v>
      </c>
      <c r="E48" s="80" t="s">
        <v>219</v>
      </c>
      <c r="F48" s="80" t="s">
        <v>220</v>
      </c>
      <c r="G48" s="80" t="s">
        <v>221</v>
      </c>
      <c r="H48" s="80" t="s">
        <v>595</v>
      </c>
      <c r="I48" s="80" t="s">
        <v>596</v>
      </c>
      <c r="J48" s="80" t="s">
        <v>597</v>
      </c>
      <c r="K48" s="80" t="s">
        <v>598</v>
      </c>
      <c r="L48" s="80" t="s">
        <v>599</v>
      </c>
      <c r="M48" s="80" t="s">
        <v>222</v>
      </c>
      <c r="N48" s="80" t="s">
        <v>223</v>
      </c>
      <c r="O48" s="80" t="s">
        <v>224</v>
      </c>
      <c r="P48" s="80" t="s">
        <v>225</v>
      </c>
      <c r="Q48" s="80" t="s">
        <v>226</v>
      </c>
      <c r="R48" s="80" t="s">
        <v>126</v>
      </c>
      <c r="S48" s="26"/>
      <c r="T48" s="45"/>
      <c r="U48" s="35" t="s">
        <v>217</v>
      </c>
      <c r="V48" s="35" t="s">
        <v>218</v>
      </c>
      <c r="W48" s="35" t="s">
        <v>219</v>
      </c>
      <c r="X48" s="35" t="s">
        <v>220</v>
      </c>
      <c r="Y48" s="35" t="s">
        <v>221</v>
      </c>
      <c r="Z48" s="35" t="s">
        <v>595</v>
      </c>
      <c r="AA48" s="35" t="s">
        <v>596</v>
      </c>
      <c r="AB48" s="35" t="s">
        <v>597</v>
      </c>
      <c r="AC48" s="35" t="s">
        <v>598</v>
      </c>
      <c r="AD48" s="35" t="s">
        <v>599</v>
      </c>
      <c r="AE48" s="35" t="s">
        <v>222</v>
      </c>
      <c r="AF48" s="35" t="s">
        <v>223</v>
      </c>
      <c r="AG48" s="35" t="s">
        <v>224</v>
      </c>
      <c r="AH48" s="35" t="s">
        <v>225</v>
      </c>
      <c r="AI48" s="35" t="s">
        <v>226</v>
      </c>
      <c r="AJ48" s="35" t="s">
        <v>126</v>
      </c>
      <c r="AK48" s="26"/>
      <c r="AL48" s="45"/>
      <c r="AM48" s="35" t="s">
        <v>217</v>
      </c>
      <c r="AN48" s="35" t="s">
        <v>218</v>
      </c>
      <c r="AO48" s="35" t="s">
        <v>219</v>
      </c>
      <c r="AP48" s="35" t="s">
        <v>220</v>
      </c>
      <c r="AQ48" s="35" t="s">
        <v>221</v>
      </c>
      <c r="AR48" s="35" t="s">
        <v>595</v>
      </c>
      <c r="AS48" s="35" t="s">
        <v>596</v>
      </c>
      <c r="AT48" s="35" t="s">
        <v>597</v>
      </c>
      <c r="AU48" s="35" t="s">
        <v>598</v>
      </c>
      <c r="AV48" s="35" t="s">
        <v>599</v>
      </c>
      <c r="AW48" s="35" t="s">
        <v>222</v>
      </c>
      <c r="AX48" s="35" t="s">
        <v>223</v>
      </c>
      <c r="AY48" s="35" t="s">
        <v>224</v>
      </c>
      <c r="AZ48" s="35" t="s">
        <v>225</v>
      </c>
      <c r="BA48" s="35" t="s">
        <v>226</v>
      </c>
      <c r="BB48" s="45"/>
      <c r="BC48" s="45"/>
      <c r="BD48" s="35" t="s">
        <v>217</v>
      </c>
      <c r="BE48" s="35" t="s">
        <v>218</v>
      </c>
      <c r="BF48" s="35" t="s">
        <v>219</v>
      </c>
      <c r="BG48" s="35" t="s">
        <v>220</v>
      </c>
      <c r="BH48" s="35" t="s">
        <v>221</v>
      </c>
      <c r="BI48" s="35" t="s">
        <v>595</v>
      </c>
      <c r="BJ48" s="35" t="s">
        <v>596</v>
      </c>
      <c r="BK48" s="35" t="s">
        <v>597</v>
      </c>
      <c r="BL48" s="35" t="s">
        <v>598</v>
      </c>
      <c r="BM48" s="35" t="s">
        <v>599</v>
      </c>
      <c r="BN48" s="35" t="s">
        <v>222</v>
      </c>
      <c r="BO48" s="35" t="s">
        <v>223</v>
      </c>
      <c r="BP48" s="35" t="s">
        <v>224</v>
      </c>
      <c r="BQ48" s="35" t="s">
        <v>225</v>
      </c>
      <c r="BR48" s="35" t="s">
        <v>226</v>
      </c>
      <c r="BW48" t="s">
        <v>737</v>
      </c>
    </row>
    <row r="49" spans="1:76" x14ac:dyDescent="0.35">
      <c r="A49" t="str">
        <f t="shared" ref="A49:A55" si="78">HLOOKUP(B49,$B$6:$BR$9,4,FALSE)</f>
        <v>cereals</v>
      </c>
      <c r="B49" t="s">
        <v>694</v>
      </c>
      <c r="C49" s="18">
        <f t="shared" ref="C49:C94" si="79">IFERROR(100*U49/U$95,"")</f>
        <v>13.84380180105901</v>
      </c>
      <c r="D49" s="18">
        <f t="shared" ref="D49:D94" si="80">IFERROR(100*V49/V$95,"")</f>
        <v>10.747937786244412</v>
      </c>
      <c r="E49" s="18">
        <f t="shared" ref="E49:E94" si="81">IFERROR(100*W49/W$95,"")</f>
        <v>6.724370497651404</v>
      </c>
      <c r="F49" s="18">
        <f t="shared" ref="F49:F94" si="82">IFERROR(100*X49/X$95,"")</f>
        <v>6.2235762089037667</v>
      </c>
      <c r="G49" s="18">
        <f t="shared" ref="G49:G94" si="83">IFERROR(100*Y49/Y$95,"")</f>
        <v>3.4185813338833237</v>
      </c>
      <c r="H49" s="18">
        <f t="shared" ref="H49:H94" si="84">IFERROR(100*Z49/Z$95,"")</f>
        <v>15.976418469347898</v>
      </c>
      <c r="I49" s="18">
        <f t="shared" ref="I49:I94" si="85">IFERROR(100*AA49/AA$95,"")</f>
        <v>7.9641666964707953</v>
      </c>
      <c r="J49" s="18">
        <f t="shared" ref="J49:J94" si="86">IFERROR(100*AB49/AB$95,"")</f>
        <v>6.072562176580159</v>
      </c>
      <c r="K49" s="18">
        <f t="shared" ref="K49:K94" si="87">IFERROR(100*AC49/AC$95,"")</f>
        <v>2.5191482091154107</v>
      </c>
      <c r="L49" s="18">
        <f t="shared" ref="L49:L94" si="88">IFERROR(100*AD49/AD$95,"")</f>
        <v>2.6560567543844056</v>
      </c>
      <c r="M49" s="18">
        <f t="shared" ref="M49:M94" si="89">IFERROR(100*AE49/AE$95,"")</f>
        <v>10.572487848897765</v>
      </c>
      <c r="N49" s="18">
        <f t="shared" ref="N49:N94" si="90">IFERROR(100*AF49/AF$95,"")</f>
        <v>7.4579563104276607</v>
      </c>
      <c r="O49" s="18">
        <f t="shared" ref="O49:O94" si="91">IFERROR(100*AG49/AG$95,"")</f>
        <v>4.342697623476524</v>
      </c>
      <c r="P49" s="18">
        <f t="shared" ref="P49:P94" si="92">IFERROR(100*AH49/AH$95,"")</f>
        <v>2.6574437194464235</v>
      </c>
      <c r="Q49" s="18">
        <f t="shared" ref="Q49:Q94" si="93">IFERROR(100*AI49/AI$95,"")</f>
        <v>1.0084421256159184</v>
      </c>
      <c r="R49" s="18">
        <f t="shared" ref="R49:R94" si="94">IFERROR(100*AJ49/AJ$95,"")</f>
        <v>3.5144865917760741</v>
      </c>
      <c r="T49" t="str">
        <f>B49</f>
        <v>cere</v>
      </c>
      <c r="U49" s="18">
        <f>IFERROR(AM49+BD49,"")</f>
        <v>34.310876127662922</v>
      </c>
      <c r="V49" s="18">
        <f t="shared" ref="V49:V77" si="95">IFERROR(AN49+BE49,"")</f>
        <v>39.312962413446613</v>
      </c>
      <c r="W49" s="18">
        <f t="shared" ref="W49:W77" si="96">IFERROR(AO49+BF49,"")</f>
        <v>32.96462885150622</v>
      </c>
      <c r="X49" s="18">
        <f t="shared" ref="X49:X77" si="97">IFERROR(AP49+BG49,"")</f>
        <v>31.740717994241521</v>
      </c>
      <c r="Y49" s="18">
        <f t="shared" ref="Y49:Y77" si="98">IFERROR(AQ49+BH49,"")</f>
        <v>15.773018163871061</v>
      </c>
      <c r="Z49" s="18">
        <f t="shared" ref="Z49:Z77" si="99">IFERROR(AR49+BI49,"")</f>
        <v>13.663068831891236</v>
      </c>
      <c r="AA49" s="18">
        <f t="shared" ref="AA49:AA77" si="100">IFERROR(AS49+BJ49,"")</f>
        <v>8.6162750954630223</v>
      </c>
      <c r="AB49" s="18">
        <f t="shared" ref="AB49:AB77" si="101">IFERROR(AT49+BK49,"")</f>
        <v>8.3346257222878393</v>
      </c>
      <c r="AC49" s="18">
        <f t="shared" ref="AC49:AC77" si="102">IFERROR(AU49+BL49,"")</f>
        <v>9.1724347831574029</v>
      </c>
      <c r="AD49" s="18">
        <f t="shared" ref="AD49:AD77" si="103">IFERROR(AV49+BM49,"")</f>
        <v>8.9653299917689306</v>
      </c>
      <c r="AE49" s="18">
        <f t="shared" ref="AE49:AE77" si="104">IFERROR(AW49+BN49,"")</f>
        <v>4.6002150348360011</v>
      </c>
      <c r="AF49" s="18">
        <f t="shared" ref="AF49:AF77" si="105">IFERROR(AX49+BO49,"")</f>
        <v>8.246076801877317</v>
      </c>
      <c r="AG49" s="18">
        <f t="shared" ref="AG49:AG77" si="106">IFERROR(AY49+BP49,"")</f>
        <v>10.218560452620324</v>
      </c>
      <c r="AH49" s="18">
        <f t="shared" ref="AH49:AH77" si="107">IFERROR(AZ49+BQ49,"")</f>
        <v>15.381324050999586</v>
      </c>
      <c r="AI49" s="18">
        <f t="shared" ref="AI49:AI77" si="108">IFERROR(BA49+BR49,"")</f>
        <v>39.455070630142664</v>
      </c>
      <c r="AJ49" s="18">
        <f>SUM(U49:AI49)</f>
        <v>280.75518494577261</v>
      </c>
      <c r="AL49" t="str">
        <f>"c"&amp;T49</f>
        <v>ccere</v>
      </c>
      <c r="AM49" s="18">
        <f>_xlfn.IFNA(INDEX(SAM!$B$8:$HA$215,MATCH($AL49,SAM!$A$8:$A$215,0),MATCH(AM$48,SAM!$B$7:$HA$7,0)),0)</f>
        <v>23.611912363474243</v>
      </c>
      <c r="AN49" s="18">
        <f>_xlfn.IFNA(INDEX(SAM!$B$8:$HA$215,MATCH($AL49,SAM!$A$8:$A$215,0),MATCH(AN$48,SAM!$B$7:$HA$7,0)),0)</f>
        <v>22.120073123209501</v>
      </c>
      <c r="AO49" s="18">
        <f>_xlfn.IFNA(INDEX(SAM!$B$8:$HA$215,MATCH($AL49,SAM!$A$8:$A$215,0),MATCH(AO$48,SAM!$B$7:$HA$7,0)),0)</f>
        <v>14.177076866598451</v>
      </c>
      <c r="AP49" s="18">
        <f>_xlfn.IFNA(INDEX(SAM!$B$8:$HA$215,MATCH($AL49,SAM!$A$8:$A$215,0),MATCH(AP$48,SAM!$B$7:$HA$7,0)),0)</f>
        <v>13.394894008210198</v>
      </c>
      <c r="AQ49" s="18">
        <f>_xlfn.IFNA(INDEX(SAM!$B$8:$HA$215,MATCH($AL49,SAM!$A$8:$A$215,0),MATCH(AQ$48,SAM!$B$7:$HA$7,0)),0)</f>
        <v>6.6517910402904219</v>
      </c>
      <c r="AR49" s="18">
        <f>_xlfn.IFNA(INDEX(SAM!$B$8:$HA$215,MATCH($AL49,SAM!$A$8:$A$215,0),MATCH(AR$48,SAM!$B$7:$HA$7,0)),0)</f>
        <v>13.663068831891236</v>
      </c>
      <c r="AS49" s="18">
        <f>_xlfn.IFNA(INDEX(SAM!$B$8:$HA$215,MATCH($AL49,SAM!$A$8:$A$215,0),MATCH(AS$48,SAM!$B$7:$HA$7,0)),0)</f>
        <v>8.6162750954630223</v>
      </c>
      <c r="AT49" s="18">
        <f>_xlfn.IFNA(INDEX(SAM!$B$8:$HA$215,MATCH($AL49,SAM!$A$8:$A$215,0),MATCH(AT$48,SAM!$B$7:$HA$7,0)),0)</f>
        <v>8.3346257222878393</v>
      </c>
      <c r="AU49" s="18">
        <f>_xlfn.IFNA(INDEX(SAM!$B$8:$HA$215,MATCH($AL49,SAM!$A$8:$A$215,0),MATCH(AU$48,SAM!$B$7:$HA$7,0)),0)</f>
        <v>9.1724347831574029</v>
      </c>
      <c r="AV49" s="18">
        <f>_xlfn.IFNA(INDEX(SAM!$B$8:$HA$215,MATCH($AL49,SAM!$A$8:$A$215,0),MATCH(AV$48,SAM!$B$7:$HA$7,0)),0)</f>
        <v>8.9653299917689306</v>
      </c>
      <c r="AW49" s="18">
        <f>_xlfn.IFNA(INDEX(SAM!$B$8:$HA$215,MATCH($AL49,SAM!$A$8:$A$215,0),MATCH(AW$48,SAM!$B$7:$HA$7,0)),0)</f>
        <v>3.3860732679476326</v>
      </c>
      <c r="AX49" s="18">
        <f>_xlfn.IFNA(INDEX(SAM!$B$8:$HA$215,MATCH($AL49,SAM!$A$8:$A$215,0),MATCH(AX$48,SAM!$B$7:$HA$7,0)),0)</f>
        <v>6.3067393271698737</v>
      </c>
      <c r="AY49" s="18">
        <f>_xlfn.IFNA(INDEX(SAM!$B$8:$HA$215,MATCH($AL49,SAM!$A$8:$A$215,0),MATCH(AY$48,SAM!$B$7:$HA$7,0)),0)</f>
        <v>7.3063717551535579</v>
      </c>
      <c r="AZ49" s="18">
        <f>_xlfn.IFNA(INDEX(SAM!$B$8:$HA$215,MATCH($AL49,SAM!$A$8:$A$215,0),MATCH(AZ$48,SAM!$B$7:$HA$7,0)),0)</f>
        <v>12.447719124093314</v>
      </c>
      <c r="BA49" s="18">
        <f>_xlfn.IFNA(INDEX(SAM!$B$8:$HA$215,MATCH($AL49,SAM!$A$8:$A$215,0),MATCH(BA$48,SAM!$B$7:$HA$7,0)),0)</f>
        <v>33.608243608633295</v>
      </c>
      <c r="BB49" s="18"/>
      <c r="BC49" t="str">
        <f>"a"&amp;T49</f>
        <v>acere</v>
      </c>
      <c r="BD49" s="18">
        <f>_xlfn.IFNA(INDEX(SAM!$B$8:$HA$215,MATCH($BC49,SAM!$A$8:$A$215,0),MATCH(BD$48,SAM!$B$7:$HA$7,0)),0)</f>
        <v>10.698963764188679</v>
      </c>
      <c r="BE49" s="18">
        <f>_xlfn.IFNA(INDEX(SAM!$B$8:$HA$215,MATCH($BC49,SAM!$A$8:$A$215,0),MATCH(BE$48,SAM!$B$7:$HA$7,0)),0)</f>
        <v>17.192889290237112</v>
      </c>
      <c r="BF49" s="18">
        <f>_xlfn.IFNA(INDEX(SAM!$B$8:$HA$215,MATCH($BC49,SAM!$A$8:$A$215,0),MATCH(BF$48,SAM!$B$7:$HA$7,0)),0)</f>
        <v>18.787551984907772</v>
      </c>
      <c r="BG49" s="18">
        <f>_xlfn.IFNA(INDEX(SAM!$B$8:$HA$215,MATCH($BC49,SAM!$A$8:$A$215,0),MATCH(BG$48,SAM!$B$7:$HA$7,0)),0)</f>
        <v>18.345823986031323</v>
      </c>
      <c r="BH49" s="18">
        <f>_xlfn.IFNA(INDEX(SAM!$B$8:$HA$215,MATCH($BC49,SAM!$A$8:$A$215,0),MATCH(BH$48,SAM!$B$7:$HA$7,0)),0)</f>
        <v>9.1212271235806384</v>
      </c>
      <c r="BI49" s="18">
        <f>_xlfn.IFNA(INDEX(SAM!$B$8:$HA$215,MATCH($BC49,SAM!$A$8:$A$215,0),MATCH(BI$48,SAM!$B$7:$HA$7,0)),0)</f>
        <v>0</v>
      </c>
      <c r="BJ49" s="18">
        <f>_xlfn.IFNA(INDEX(SAM!$B$8:$HA$215,MATCH($BC49,SAM!$A$8:$A$215,0),MATCH(BJ$48,SAM!$B$7:$HA$7,0)),0)</f>
        <v>0</v>
      </c>
      <c r="BK49" s="18">
        <f>_xlfn.IFNA(INDEX(SAM!$B$8:$HA$215,MATCH($BC49,SAM!$A$8:$A$215,0),MATCH(BK$48,SAM!$B$7:$HA$7,0)),0)</f>
        <v>0</v>
      </c>
      <c r="BL49" s="18">
        <f>_xlfn.IFNA(INDEX(SAM!$B$8:$HA$215,MATCH($BC49,SAM!$A$8:$A$215,0),MATCH(BL$48,SAM!$B$7:$HA$7,0)),0)</f>
        <v>0</v>
      </c>
      <c r="BM49" s="18">
        <f>_xlfn.IFNA(INDEX(SAM!$B$8:$HA$215,MATCH($BC49,SAM!$A$8:$A$215,0),MATCH(BM$48,SAM!$B$7:$HA$7,0)),0)</f>
        <v>0</v>
      </c>
      <c r="BN49" s="18">
        <f>_xlfn.IFNA(INDEX(SAM!$B$8:$HA$215,MATCH($BC49,SAM!$A$8:$A$215,0),MATCH(BN$48,SAM!$B$7:$HA$7,0)),0)</f>
        <v>1.2141417668883681</v>
      </c>
      <c r="BO49" s="18">
        <f>_xlfn.IFNA(INDEX(SAM!$B$8:$HA$215,MATCH($BC49,SAM!$A$8:$A$215,0),MATCH(BO$48,SAM!$B$7:$HA$7,0)),0)</f>
        <v>1.939337474707443</v>
      </c>
      <c r="BP49" s="18">
        <f>_xlfn.IFNA(INDEX(SAM!$B$8:$HA$215,MATCH($BC49,SAM!$A$8:$A$215,0),MATCH(BP$48,SAM!$B$7:$HA$7,0)),0)</f>
        <v>2.9121886974667648</v>
      </c>
      <c r="BQ49" s="18">
        <f>_xlfn.IFNA(INDEX(SAM!$B$8:$HA$215,MATCH($BC49,SAM!$A$8:$A$215,0),MATCH(BQ$48,SAM!$B$7:$HA$7,0)),0)</f>
        <v>2.9336049269062712</v>
      </c>
      <c r="BR49" s="18">
        <f>_xlfn.IFNA(INDEX(SAM!$B$8:$HA$215,MATCH($BC49,SAM!$A$8:$A$215,0),MATCH(BR$48,SAM!$B$7:$HA$7,0)),0)</f>
        <v>5.8468270215093723</v>
      </c>
      <c r="BT49" t="str">
        <f t="shared" ref="BT49:BT94" si="109">AL49</f>
        <v>ccere</v>
      </c>
      <c r="BU49" s="7">
        <f t="shared" ref="BU49:BU94" si="110">SUM(BD49:BR49,AM49:BA49)</f>
        <v>280.75518494577261</v>
      </c>
      <c r="BW49" s="51" t="s">
        <v>680</v>
      </c>
      <c r="BX49" s="43">
        <f>100*VLOOKUP(BW49,$BT$49:$BU$94,2,FALSE)/$BU$95</f>
        <v>3.5144865917760741</v>
      </c>
    </row>
    <row r="50" spans="1:76" x14ac:dyDescent="0.35">
      <c r="A50" s="26" t="str">
        <f t="shared" si="78"/>
        <v>cereals</v>
      </c>
      <c r="B50" s="26" t="s">
        <v>35</v>
      </c>
      <c r="C50" s="45">
        <f t="shared" si="79"/>
        <v>7.2129328014857812</v>
      </c>
      <c r="D50" s="45">
        <f t="shared" si="80"/>
        <v>6.9419154674400625</v>
      </c>
      <c r="E50" s="45">
        <f t="shared" si="81"/>
        <v>5.8759629420101502</v>
      </c>
      <c r="F50" s="45">
        <f t="shared" si="82"/>
        <v>5.4529102018704139</v>
      </c>
      <c r="G50" s="45">
        <f t="shared" si="83"/>
        <v>3.4924954109004824</v>
      </c>
      <c r="H50" s="45">
        <f t="shared" si="84"/>
        <v>6.0268622243833541</v>
      </c>
      <c r="I50" s="45">
        <f t="shared" si="85"/>
        <v>6.6811990560950383</v>
      </c>
      <c r="J50" s="45">
        <f t="shared" si="86"/>
        <v>5.7359855635044514</v>
      </c>
      <c r="K50" s="45">
        <f t="shared" si="87"/>
        <v>2.6411136035966223</v>
      </c>
      <c r="L50" s="45">
        <f t="shared" si="88"/>
        <v>2.5066115155888782</v>
      </c>
      <c r="M50" s="45">
        <f t="shared" si="89"/>
        <v>9.3617625787147407</v>
      </c>
      <c r="N50" s="45">
        <f t="shared" si="90"/>
        <v>7.4465510377965218</v>
      </c>
      <c r="O50" s="45">
        <f t="shared" si="91"/>
        <v>6.2682874653460718</v>
      </c>
      <c r="P50" s="45">
        <f t="shared" si="92"/>
        <v>4.0774172559548063</v>
      </c>
      <c r="Q50" s="45">
        <f t="shared" si="93"/>
        <v>1.3568216579845265</v>
      </c>
      <c r="R50" s="45">
        <f t="shared" si="94"/>
        <v>3.2305467498719813</v>
      </c>
      <c r="S50" s="26"/>
      <c r="T50" s="26" t="str">
        <f t="shared" ref="T50:T77" si="111">B50</f>
        <v>gmll</v>
      </c>
      <c r="U50" s="45">
        <f t="shared" ref="U50:U77" si="112">IFERROR(AM50+BD50,"")</f>
        <v>17.876739888749611</v>
      </c>
      <c r="V50" s="45">
        <f t="shared" si="95"/>
        <v>25.391592999177117</v>
      </c>
      <c r="W50" s="45">
        <f t="shared" si="96"/>
        <v>28.805512366729594</v>
      </c>
      <c r="X50" s="45">
        <f t="shared" si="97"/>
        <v>27.810262003038595</v>
      </c>
      <c r="Y50" s="45">
        <f t="shared" si="98"/>
        <v>16.114050880513513</v>
      </c>
      <c r="Z50" s="45">
        <f t="shared" si="99"/>
        <v>5.1541860630442002</v>
      </c>
      <c r="AA50" s="45">
        <f t="shared" si="100"/>
        <v>7.2282576732569819</v>
      </c>
      <c r="AB50" s="45">
        <f t="shared" si="101"/>
        <v>7.8726724288855605</v>
      </c>
      <c r="AC50" s="45">
        <f t="shared" si="102"/>
        <v>9.616521249619737</v>
      </c>
      <c r="AD50" s="45">
        <f t="shared" si="103"/>
        <v>8.460888255240171</v>
      </c>
      <c r="AE50" s="45">
        <f t="shared" si="104"/>
        <v>4.0734140897270894</v>
      </c>
      <c r="AF50" s="45">
        <f t="shared" si="105"/>
        <v>8.2334662755953083</v>
      </c>
      <c r="AG50" s="45">
        <f t="shared" si="106"/>
        <v>14.74955890384186</v>
      </c>
      <c r="AH50" s="45">
        <f t="shared" si="107"/>
        <v>23.600152148487602</v>
      </c>
      <c r="AI50" s="45">
        <f t="shared" si="108"/>
        <v>53.085341229265417</v>
      </c>
      <c r="AJ50" s="45">
        <f t="shared" ref="AJ50:AJ77" si="113">SUM(U50:AI50)</f>
        <v>258.07261645517235</v>
      </c>
      <c r="AK50" s="26"/>
      <c r="AL50" s="26" t="str">
        <f t="shared" ref="AL50:AL77" si="114">"c"&amp;T50</f>
        <v>cgmll</v>
      </c>
      <c r="AM50" s="45">
        <f>_xlfn.IFNA(INDEX(SAM!$B$8:$HA$215,MATCH($AL50,SAM!$A$8:$A$215,0),MATCH(AM$48,SAM!$B$7:$HA$7,0)),0)</f>
        <v>17.876739888749611</v>
      </c>
      <c r="AN50" s="45">
        <f>_xlfn.IFNA(INDEX(SAM!$B$8:$HA$215,MATCH($AL50,SAM!$A$8:$A$215,0),MATCH(AN$48,SAM!$B$7:$HA$7,0)),0)</f>
        <v>25.391592999177117</v>
      </c>
      <c r="AO50" s="45">
        <f>_xlfn.IFNA(INDEX(SAM!$B$8:$HA$215,MATCH($AL50,SAM!$A$8:$A$215,0),MATCH(AO$48,SAM!$B$7:$HA$7,0)),0)</f>
        <v>28.805512366729594</v>
      </c>
      <c r="AP50" s="45">
        <f>_xlfn.IFNA(INDEX(SAM!$B$8:$HA$215,MATCH($AL50,SAM!$A$8:$A$215,0),MATCH(AP$48,SAM!$B$7:$HA$7,0)),0)</f>
        <v>27.810262003038595</v>
      </c>
      <c r="AQ50" s="45">
        <f>_xlfn.IFNA(INDEX(SAM!$B$8:$HA$215,MATCH($AL50,SAM!$A$8:$A$215,0),MATCH(AQ$48,SAM!$B$7:$HA$7,0)),0)</f>
        <v>16.114050880513513</v>
      </c>
      <c r="AR50" s="45">
        <f>_xlfn.IFNA(INDEX(SAM!$B$8:$HA$215,MATCH($AL50,SAM!$A$8:$A$215,0),MATCH(AR$48,SAM!$B$7:$HA$7,0)),0)</f>
        <v>5.1541860630442002</v>
      </c>
      <c r="AS50" s="45">
        <f>_xlfn.IFNA(INDEX(SAM!$B$8:$HA$215,MATCH($AL50,SAM!$A$8:$A$215,0),MATCH(AS$48,SAM!$B$7:$HA$7,0)),0)</f>
        <v>7.2282576732569819</v>
      </c>
      <c r="AT50" s="45">
        <f>_xlfn.IFNA(INDEX(SAM!$B$8:$HA$215,MATCH($AL50,SAM!$A$8:$A$215,0),MATCH(AT$48,SAM!$B$7:$HA$7,0)),0)</f>
        <v>7.8726724288855605</v>
      </c>
      <c r="AU50" s="45">
        <f>_xlfn.IFNA(INDEX(SAM!$B$8:$HA$215,MATCH($AL50,SAM!$A$8:$A$215,0),MATCH(AU$48,SAM!$B$7:$HA$7,0)),0)</f>
        <v>9.616521249619737</v>
      </c>
      <c r="AV50" s="45">
        <f>_xlfn.IFNA(INDEX(SAM!$B$8:$HA$215,MATCH($AL50,SAM!$A$8:$A$215,0),MATCH(AV$48,SAM!$B$7:$HA$7,0)),0)</f>
        <v>8.460888255240171</v>
      </c>
      <c r="AW50" s="45">
        <f>_xlfn.IFNA(INDEX(SAM!$B$8:$HA$215,MATCH($AL50,SAM!$A$8:$A$215,0),MATCH(AW$48,SAM!$B$7:$HA$7,0)),0)</f>
        <v>4.0734140897270894</v>
      </c>
      <c r="AX50" s="45">
        <f>_xlfn.IFNA(INDEX(SAM!$B$8:$HA$215,MATCH($AL50,SAM!$A$8:$A$215,0),MATCH(AX$48,SAM!$B$7:$HA$7,0)),0)</f>
        <v>8.2334662755953083</v>
      </c>
      <c r="AY50" s="45">
        <f>_xlfn.IFNA(INDEX(SAM!$B$8:$HA$215,MATCH($AL50,SAM!$A$8:$A$215,0),MATCH(AY$48,SAM!$B$7:$HA$7,0)),0)</f>
        <v>14.74955890384186</v>
      </c>
      <c r="AZ50" s="45">
        <f>_xlfn.IFNA(INDEX(SAM!$B$8:$HA$215,MATCH($AL50,SAM!$A$8:$A$215,0),MATCH(AZ$48,SAM!$B$7:$HA$7,0)),0)</f>
        <v>23.600152148487602</v>
      </c>
      <c r="BA50" s="45">
        <f>_xlfn.IFNA(INDEX(SAM!$B$8:$HA$215,MATCH($AL50,SAM!$A$8:$A$215,0),MATCH(BA$48,SAM!$B$7:$HA$7,0)),0)</f>
        <v>53.085341229265417</v>
      </c>
      <c r="BB50" s="45"/>
      <c r="BC50" s="26" t="str">
        <f t="shared" ref="BC50:BC77" si="115">"a"&amp;T50</f>
        <v>agmll</v>
      </c>
      <c r="BD50" s="45">
        <f>_xlfn.IFNA(INDEX(SAM!$B$8:$HA$215,MATCH($BC50,SAM!$A$8:$A$215,0),MATCH(BD$48,SAM!$B$7:$HA$7,0)),0)</f>
        <v>0</v>
      </c>
      <c r="BE50" s="45">
        <f>_xlfn.IFNA(INDEX(SAM!$B$8:$HA$215,MATCH($BC50,SAM!$A$8:$A$215,0),MATCH(BE$48,SAM!$B$7:$HA$7,0)),0)</f>
        <v>0</v>
      </c>
      <c r="BF50" s="45">
        <f>_xlfn.IFNA(INDEX(SAM!$B$8:$HA$215,MATCH($BC50,SAM!$A$8:$A$215,0),MATCH(BF$48,SAM!$B$7:$HA$7,0)),0)</f>
        <v>0</v>
      </c>
      <c r="BG50" s="45">
        <f>_xlfn.IFNA(INDEX(SAM!$B$8:$HA$215,MATCH($BC50,SAM!$A$8:$A$215,0),MATCH(BG$48,SAM!$B$7:$HA$7,0)),0)</f>
        <v>0</v>
      </c>
      <c r="BH50" s="45">
        <f>_xlfn.IFNA(INDEX(SAM!$B$8:$HA$215,MATCH($BC50,SAM!$A$8:$A$215,0),MATCH(BH$48,SAM!$B$7:$HA$7,0)),0)</f>
        <v>0</v>
      </c>
      <c r="BI50" s="45">
        <f>_xlfn.IFNA(INDEX(SAM!$B$8:$HA$215,MATCH($BC50,SAM!$A$8:$A$215,0),MATCH(BI$48,SAM!$B$7:$HA$7,0)),0)</f>
        <v>0</v>
      </c>
      <c r="BJ50" s="45">
        <f>_xlfn.IFNA(INDEX(SAM!$B$8:$HA$215,MATCH($BC50,SAM!$A$8:$A$215,0),MATCH(BJ$48,SAM!$B$7:$HA$7,0)),0)</f>
        <v>0</v>
      </c>
      <c r="BK50" s="45">
        <f>_xlfn.IFNA(INDEX(SAM!$B$8:$HA$215,MATCH($BC50,SAM!$A$8:$A$215,0),MATCH(BK$48,SAM!$B$7:$HA$7,0)),0)</f>
        <v>0</v>
      </c>
      <c r="BL50" s="45">
        <f>_xlfn.IFNA(INDEX(SAM!$B$8:$HA$215,MATCH($BC50,SAM!$A$8:$A$215,0),MATCH(BL$48,SAM!$B$7:$HA$7,0)),0)</f>
        <v>0</v>
      </c>
      <c r="BM50" s="45">
        <f>_xlfn.IFNA(INDEX(SAM!$B$8:$HA$215,MATCH($BC50,SAM!$A$8:$A$215,0),MATCH(BM$48,SAM!$B$7:$HA$7,0)),0)</f>
        <v>0</v>
      </c>
      <c r="BN50" s="45">
        <f>_xlfn.IFNA(INDEX(SAM!$B$8:$HA$215,MATCH($BC50,SAM!$A$8:$A$215,0),MATCH(BN$48,SAM!$B$7:$HA$7,0)),0)</f>
        <v>0</v>
      </c>
      <c r="BO50" s="45">
        <f>_xlfn.IFNA(INDEX(SAM!$B$8:$HA$215,MATCH($BC50,SAM!$A$8:$A$215,0),MATCH(BO$48,SAM!$B$7:$HA$7,0)),0)</f>
        <v>0</v>
      </c>
      <c r="BP50" s="45">
        <f>_xlfn.IFNA(INDEX(SAM!$B$8:$HA$215,MATCH($BC50,SAM!$A$8:$A$215,0),MATCH(BP$48,SAM!$B$7:$HA$7,0)),0)</f>
        <v>0</v>
      </c>
      <c r="BQ50" s="45">
        <f>_xlfn.IFNA(INDEX(SAM!$B$8:$HA$215,MATCH($BC50,SAM!$A$8:$A$215,0),MATCH(BQ$48,SAM!$B$7:$HA$7,0)),0)</f>
        <v>0</v>
      </c>
      <c r="BR50" s="45">
        <f>_xlfn.IFNA(INDEX(SAM!$B$8:$HA$215,MATCH($BC50,SAM!$A$8:$A$215,0),MATCH(BR$48,SAM!$B$7:$HA$7,0)),0)</f>
        <v>0</v>
      </c>
      <c r="BT50" t="str">
        <f t="shared" si="109"/>
        <v>cgmll</v>
      </c>
      <c r="BU50" s="7">
        <f t="shared" si="110"/>
        <v>258.07261645517235</v>
      </c>
      <c r="BW50" s="51" t="s">
        <v>177</v>
      </c>
      <c r="BX50" s="43">
        <f t="shared" ref="BX50:BX94" si="116">100*VLOOKUP(BW50,$BT$49:$BU$94,2,FALSE)/$BU$95</f>
        <v>1.6809366943234558</v>
      </c>
    </row>
    <row r="51" spans="1:76" x14ac:dyDescent="0.35">
      <c r="A51" s="26" t="str">
        <f t="shared" si="78"/>
        <v>roots</v>
      </c>
      <c r="B51" s="26" t="s">
        <v>26</v>
      </c>
      <c r="C51" s="45">
        <f t="shared" si="79"/>
        <v>6.206399342162511</v>
      </c>
      <c r="D51" s="45">
        <f t="shared" si="80"/>
        <v>6.6113295528222684</v>
      </c>
      <c r="E51" s="45">
        <f t="shared" si="81"/>
        <v>6.3812137277085528</v>
      </c>
      <c r="F51" s="45">
        <f t="shared" si="82"/>
        <v>6.0435293775684196</v>
      </c>
      <c r="G51" s="45">
        <f t="shared" si="83"/>
        <v>4.6233325754299219</v>
      </c>
      <c r="H51" s="45">
        <f t="shared" si="84"/>
        <v>3.8439631472852911</v>
      </c>
      <c r="I51" s="45">
        <f t="shared" si="85"/>
        <v>5.6989913764273927</v>
      </c>
      <c r="J51" s="45">
        <f t="shared" si="86"/>
        <v>5.6340236474602854</v>
      </c>
      <c r="K51" s="45">
        <f t="shared" si="87"/>
        <v>2.9161655822714283</v>
      </c>
      <c r="L51" s="45">
        <f t="shared" si="88"/>
        <v>3.5075154357043647</v>
      </c>
      <c r="M51" s="45">
        <f t="shared" si="89"/>
        <v>4.6213738784393454</v>
      </c>
      <c r="N51" s="45">
        <f t="shared" si="90"/>
        <v>5.3132760564161572</v>
      </c>
      <c r="O51" s="45">
        <f t="shared" si="91"/>
        <v>4.7985596303972713</v>
      </c>
      <c r="P51" s="45">
        <f t="shared" si="92"/>
        <v>4.2747528772487886</v>
      </c>
      <c r="Q51" s="45">
        <f t="shared" si="93"/>
        <v>1.7573709406601332</v>
      </c>
      <c r="R51" s="45">
        <f t="shared" si="94"/>
        <v>3.4464486850423106</v>
      </c>
      <c r="S51" s="26"/>
      <c r="T51" s="26" t="str">
        <f t="shared" si="111"/>
        <v>root</v>
      </c>
      <c r="U51" s="45">
        <f t="shared" si="112"/>
        <v>15.382118444620954</v>
      </c>
      <c r="V51" s="45">
        <f t="shared" si="95"/>
        <v>24.182401813458</v>
      </c>
      <c r="W51" s="45">
        <f t="shared" si="96"/>
        <v>31.282384310846432</v>
      </c>
      <c r="X51" s="45">
        <f t="shared" si="97"/>
        <v>30.822465287542741</v>
      </c>
      <c r="Y51" s="45">
        <f t="shared" si="98"/>
        <v>21.331628990975418</v>
      </c>
      <c r="Z51" s="45">
        <f t="shared" si="99"/>
        <v>3.2873658867522071</v>
      </c>
      <c r="AA51" s="45">
        <f t="shared" si="100"/>
        <v>6.1656265291043733</v>
      </c>
      <c r="AB51" s="45">
        <f t="shared" si="101"/>
        <v>7.7327291259692217</v>
      </c>
      <c r="AC51" s="45">
        <f t="shared" si="102"/>
        <v>10.618009104619329</v>
      </c>
      <c r="AD51" s="45">
        <f t="shared" si="103"/>
        <v>11.839367995583762</v>
      </c>
      <c r="AE51" s="45">
        <f t="shared" si="104"/>
        <v>2.0108146635904083</v>
      </c>
      <c r="AF51" s="45">
        <f t="shared" si="105"/>
        <v>5.87475718643236</v>
      </c>
      <c r="AG51" s="45">
        <f t="shared" si="106"/>
        <v>11.29122400869894</v>
      </c>
      <c r="AH51" s="45">
        <f t="shared" si="107"/>
        <v>24.742333680204236</v>
      </c>
      <c r="AI51" s="45">
        <f t="shared" si="108"/>
        <v>68.756741538099931</v>
      </c>
      <c r="AJ51" s="45">
        <f t="shared" si="113"/>
        <v>275.31996856649835</v>
      </c>
      <c r="AK51" s="26"/>
      <c r="AL51" s="26" t="str">
        <f t="shared" si="114"/>
        <v>croot</v>
      </c>
      <c r="AM51" s="45">
        <f>_xlfn.IFNA(INDEX(SAM!$B$8:$HA$215,MATCH($AL51,SAM!$A$8:$A$215,0),MATCH(AM$48,SAM!$B$7:$HA$7,0)),0)</f>
        <v>8.4948745547903783</v>
      </c>
      <c r="AN51" s="45">
        <f>_xlfn.IFNA(INDEX(SAM!$B$8:$HA$215,MATCH($AL51,SAM!$A$8:$A$215,0),MATCH(AN$48,SAM!$B$7:$HA$7,0)),0)</f>
        <v>13.923552861462195</v>
      </c>
      <c r="AO51" s="45">
        <f>_xlfn.IFNA(INDEX(SAM!$B$8:$HA$215,MATCH($AL51,SAM!$A$8:$A$215,0),MATCH(AO$48,SAM!$B$7:$HA$7,0)),0)</f>
        <v>17.235244899711457</v>
      </c>
      <c r="AP51" s="45">
        <f>_xlfn.IFNA(INDEX(SAM!$B$8:$HA$215,MATCH($AL51,SAM!$A$8:$A$215,0),MATCH(AP$48,SAM!$B$7:$HA$7,0)),0)</f>
        <v>17.184980515333898</v>
      </c>
      <c r="AQ51" s="45">
        <f>_xlfn.IFNA(INDEX(SAM!$B$8:$HA$215,MATCH($AL51,SAM!$A$8:$A$215,0),MATCH(AQ$48,SAM!$B$7:$HA$7,0)),0)</f>
        <v>13.477099053415113</v>
      </c>
      <c r="AR51" s="45">
        <f>_xlfn.IFNA(INDEX(SAM!$B$8:$HA$215,MATCH($AL51,SAM!$A$8:$A$215,0),MATCH(AR$48,SAM!$B$7:$HA$7,0)),0)</f>
        <v>3.2873658867522071</v>
      </c>
      <c r="AS51" s="45">
        <f>_xlfn.IFNA(INDEX(SAM!$B$8:$HA$215,MATCH($AL51,SAM!$A$8:$A$215,0),MATCH(AS$48,SAM!$B$7:$HA$7,0)),0)</f>
        <v>6.1656265291043733</v>
      </c>
      <c r="AT51" s="45">
        <f>_xlfn.IFNA(INDEX(SAM!$B$8:$HA$215,MATCH($AL51,SAM!$A$8:$A$215,0),MATCH(AT$48,SAM!$B$7:$HA$7,0)),0)</f>
        <v>7.7327291259692217</v>
      </c>
      <c r="AU51" s="45">
        <f>_xlfn.IFNA(INDEX(SAM!$B$8:$HA$215,MATCH($AL51,SAM!$A$8:$A$215,0),MATCH(AU$48,SAM!$B$7:$HA$7,0)),0)</f>
        <v>10.618009104619329</v>
      </c>
      <c r="AV51" s="45">
        <f>_xlfn.IFNA(INDEX(SAM!$B$8:$HA$215,MATCH($AL51,SAM!$A$8:$A$215,0),MATCH(AV$48,SAM!$B$7:$HA$7,0)),0)</f>
        <v>11.839367995583762</v>
      </c>
      <c r="AW51" s="45">
        <f>_xlfn.IFNA(INDEX(SAM!$B$8:$HA$215,MATCH($AL51,SAM!$A$8:$A$215,0),MATCH(AW$48,SAM!$B$7:$HA$7,0)),0)</f>
        <v>1.6437621191558149</v>
      </c>
      <c r="AX51" s="45">
        <f>_xlfn.IFNA(INDEX(SAM!$B$8:$HA$215,MATCH($AL51,SAM!$A$8:$A$215,0),MATCH(AX$48,SAM!$B$7:$HA$7,0)),0)</f>
        <v>5.0790232945060403</v>
      </c>
      <c r="AY51" s="45">
        <f>_xlfn.IFNA(INDEX(SAM!$B$8:$HA$215,MATCH($AL51,SAM!$A$8:$A$215,0),MATCH(AY$48,SAM!$B$7:$HA$7,0)),0)</f>
        <v>9.8399287922111558</v>
      </c>
      <c r="AZ51" s="45">
        <f>_xlfn.IFNA(INDEX(SAM!$B$8:$HA$215,MATCH($AL51,SAM!$A$8:$A$215,0),MATCH(AZ$48,SAM!$B$7:$HA$7,0)),0)</f>
        <v>22.643182634194474</v>
      </c>
      <c r="BA51" s="45">
        <f>_xlfn.IFNA(INDEX(SAM!$B$8:$HA$215,MATCH($AL51,SAM!$A$8:$A$215,0),MATCH(BA$48,SAM!$B$7:$HA$7,0)),0)</f>
        <v>66.413881304503306</v>
      </c>
      <c r="BB51" s="45"/>
      <c r="BC51" s="26" t="str">
        <f t="shared" si="115"/>
        <v>aroot</v>
      </c>
      <c r="BD51" s="45">
        <f>_xlfn.IFNA(INDEX(SAM!$B$8:$HA$215,MATCH($BC51,SAM!$A$8:$A$215,0),MATCH(BD$48,SAM!$B$7:$HA$7,0)),0)</f>
        <v>6.8872438898305752</v>
      </c>
      <c r="BE51" s="45">
        <f>_xlfn.IFNA(INDEX(SAM!$B$8:$HA$215,MATCH($BC51,SAM!$A$8:$A$215,0),MATCH(BE$48,SAM!$B$7:$HA$7,0)),0)</f>
        <v>10.258848951995805</v>
      </c>
      <c r="BF51" s="45">
        <f>_xlfn.IFNA(INDEX(SAM!$B$8:$HA$215,MATCH($BC51,SAM!$A$8:$A$215,0),MATCH(BF$48,SAM!$B$7:$HA$7,0)),0)</f>
        <v>14.047139411134973</v>
      </c>
      <c r="BG51" s="45">
        <f>_xlfn.IFNA(INDEX(SAM!$B$8:$HA$215,MATCH($BC51,SAM!$A$8:$A$215,0),MATCH(BG$48,SAM!$B$7:$HA$7,0)),0)</f>
        <v>13.637484772208843</v>
      </c>
      <c r="BH51" s="45">
        <f>_xlfn.IFNA(INDEX(SAM!$B$8:$HA$215,MATCH($BC51,SAM!$A$8:$A$215,0),MATCH(BH$48,SAM!$B$7:$HA$7,0)),0)</f>
        <v>7.8545299375603026</v>
      </c>
      <c r="BI51" s="45">
        <f>_xlfn.IFNA(INDEX(SAM!$B$8:$HA$215,MATCH($BC51,SAM!$A$8:$A$215,0),MATCH(BI$48,SAM!$B$7:$HA$7,0)),0)</f>
        <v>0</v>
      </c>
      <c r="BJ51" s="45">
        <f>_xlfn.IFNA(INDEX(SAM!$B$8:$HA$215,MATCH($BC51,SAM!$A$8:$A$215,0),MATCH(BJ$48,SAM!$B$7:$HA$7,0)),0)</f>
        <v>0</v>
      </c>
      <c r="BK51" s="45">
        <f>_xlfn.IFNA(INDEX(SAM!$B$8:$HA$215,MATCH($BC51,SAM!$A$8:$A$215,0),MATCH(BK$48,SAM!$B$7:$HA$7,0)),0)</f>
        <v>0</v>
      </c>
      <c r="BL51" s="45">
        <f>_xlfn.IFNA(INDEX(SAM!$B$8:$HA$215,MATCH($BC51,SAM!$A$8:$A$215,0),MATCH(BL$48,SAM!$B$7:$HA$7,0)),0)</f>
        <v>0</v>
      </c>
      <c r="BM51" s="45">
        <f>_xlfn.IFNA(INDEX(SAM!$B$8:$HA$215,MATCH($BC51,SAM!$A$8:$A$215,0),MATCH(BM$48,SAM!$B$7:$HA$7,0)),0)</f>
        <v>0</v>
      </c>
      <c r="BN51" s="45">
        <f>_xlfn.IFNA(INDEX(SAM!$B$8:$HA$215,MATCH($BC51,SAM!$A$8:$A$215,0),MATCH(BN$48,SAM!$B$7:$HA$7,0)),0)</f>
        <v>0.36705254443459356</v>
      </c>
      <c r="BO51" s="45">
        <f>_xlfn.IFNA(INDEX(SAM!$B$8:$HA$215,MATCH($BC51,SAM!$A$8:$A$215,0),MATCH(BO$48,SAM!$B$7:$HA$7,0)),0)</f>
        <v>0.79573389192632016</v>
      </c>
      <c r="BP51" s="45">
        <f>_xlfn.IFNA(INDEX(SAM!$B$8:$HA$215,MATCH($BC51,SAM!$A$8:$A$215,0),MATCH(BP$48,SAM!$B$7:$HA$7,0)),0)</f>
        <v>1.4512952164877835</v>
      </c>
      <c r="BQ51" s="45">
        <f>_xlfn.IFNA(INDEX(SAM!$B$8:$HA$215,MATCH($BC51,SAM!$A$8:$A$215,0),MATCH(BQ$48,SAM!$B$7:$HA$7,0)),0)</f>
        <v>2.0991510460097613</v>
      </c>
      <c r="BR51" s="45">
        <f>_xlfn.IFNA(INDEX(SAM!$B$8:$HA$215,MATCH($BC51,SAM!$A$8:$A$215,0),MATCH(BR$48,SAM!$B$7:$HA$7,0)),0)</f>
        <v>2.3428602335966189</v>
      </c>
      <c r="BT51" t="str">
        <f t="shared" si="109"/>
        <v>croot</v>
      </c>
      <c r="BU51" s="7">
        <f t="shared" si="110"/>
        <v>275.31996856649835</v>
      </c>
      <c r="BW51" s="51" t="s">
        <v>178</v>
      </c>
      <c r="BX51" s="43">
        <f t="shared" si="116"/>
        <v>0.15213692260384759</v>
      </c>
    </row>
    <row r="52" spans="1:76" x14ac:dyDescent="0.35">
      <c r="A52" s="47" t="str">
        <f t="shared" si="78"/>
        <v>pulses</v>
      </c>
      <c r="B52" s="47" t="s">
        <v>24</v>
      </c>
      <c r="C52" s="48">
        <f t="shared" si="79"/>
        <v>4.5138496532864618</v>
      </c>
      <c r="D52" s="48">
        <f t="shared" si="80"/>
        <v>4.2287284426156821</v>
      </c>
      <c r="E52" s="48">
        <f t="shared" si="81"/>
        <v>3.4753287191704638</v>
      </c>
      <c r="F52" s="48">
        <f t="shared" si="82"/>
        <v>3.1113545268944369</v>
      </c>
      <c r="G52" s="48">
        <f t="shared" si="83"/>
        <v>2.3182767250511924</v>
      </c>
      <c r="H52" s="48">
        <f t="shared" si="84"/>
        <v>3.8474531141673092</v>
      </c>
      <c r="I52" s="48">
        <f t="shared" si="85"/>
        <v>3.5102909225737009</v>
      </c>
      <c r="J52" s="48">
        <f t="shared" si="86"/>
        <v>2.8208660493094189</v>
      </c>
      <c r="K52" s="48">
        <f t="shared" si="87"/>
        <v>1.4328886776933665</v>
      </c>
      <c r="L52" s="48">
        <f t="shared" si="88"/>
        <v>1.4929393310850512</v>
      </c>
      <c r="M52" s="48">
        <f t="shared" si="89"/>
        <v>3.6558996511886468</v>
      </c>
      <c r="N52" s="48">
        <f t="shared" si="90"/>
        <v>3.1212756831912962</v>
      </c>
      <c r="O52" s="48">
        <f t="shared" si="91"/>
        <v>2.4228511339481207</v>
      </c>
      <c r="P52" s="48">
        <f t="shared" si="92"/>
        <v>1.5415062994013551</v>
      </c>
      <c r="Q52" s="48">
        <f t="shared" si="93"/>
        <v>0.59154715406722946</v>
      </c>
      <c r="R52" s="48">
        <f t="shared" si="94"/>
        <v>1.6809366943234558</v>
      </c>
      <c r="S52" s="47"/>
      <c r="T52" s="47" t="str">
        <f t="shared" si="111"/>
        <v>puls</v>
      </c>
      <c r="U52" s="48">
        <f t="shared" si="112"/>
        <v>11.187254667352908</v>
      </c>
      <c r="V52" s="48">
        <f t="shared" si="95"/>
        <v>15.467510663672398</v>
      </c>
      <c r="W52" s="48">
        <f t="shared" si="96"/>
        <v>17.036973409547819</v>
      </c>
      <c r="X52" s="48">
        <f t="shared" si="97"/>
        <v>15.86814771818441</v>
      </c>
      <c r="Y52" s="48">
        <f t="shared" si="98"/>
        <v>10.696314442100672</v>
      </c>
      <c r="Z52" s="48">
        <f t="shared" si="99"/>
        <v>3.2903505142406222</v>
      </c>
      <c r="AA52" s="48">
        <f t="shared" si="100"/>
        <v>3.7977146143117029</v>
      </c>
      <c r="AB52" s="48">
        <f t="shared" si="101"/>
        <v>3.8716545092574424</v>
      </c>
      <c r="AC52" s="48">
        <f t="shared" si="102"/>
        <v>5.2172706235026141</v>
      </c>
      <c r="AD52" s="48">
        <f t="shared" si="103"/>
        <v>5.0393101498203592</v>
      </c>
      <c r="AE52" s="48">
        <f t="shared" si="104"/>
        <v>1.5907253601623252</v>
      </c>
      <c r="AF52" s="48">
        <f t="shared" si="105"/>
        <v>3.4511168920955528</v>
      </c>
      <c r="AG52" s="48">
        <f t="shared" si="106"/>
        <v>5.7010763646326916</v>
      </c>
      <c r="AH52" s="48">
        <f t="shared" si="107"/>
        <v>8.9222615494143316</v>
      </c>
      <c r="AI52" s="48">
        <f t="shared" si="108"/>
        <v>23.144148932223072</v>
      </c>
      <c r="AJ52" s="48">
        <f t="shared" si="113"/>
        <v>134.28183041051892</v>
      </c>
      <c r="AK52" s="47"/>
      <c r="AL52" s="47" t="str">
        <f t="shared" si="114"/>
        <v>cpuls</v>
      </c>
      <c r="AM52" s="48">
        <f>_xlfn.IFNA(INDEX(SAM!$B$8:$HA$215,MATCH($AL52,SAM!$A$8:$A$215,0),MATCH(AM$48,SAM!$B$7:$HA$7,0)),0)</f>
        <v>7.5085572783200387</v>
      </c>
      <c r="AN52" s="48">
        <f>_xlfn.IFNA(INDEX(SAM!$B$8:$HA$215,MATCH($AL52,SAM!$A$8:$A$215,0),MATCH(AN$48,SAM!$B$7:$HA$7,0)),0)</f>
        <v>9.0660567899968871</v>
      </c>
      <c r="AO52" s="48">
        <f>_xlfn.IFNA(INDEX(SAM!$B$8:$HA$215,MATCH($AL52,SAM!$A$8:$A$215,0),MATCH(AO$48,SAM!$B$7:$HA$7,0)),0)</f>
        <v>9.2179714943235727</v>
      </c>
      <c r="AP52" s="48">
        <f>_xlfn.IFNA(INDEX(SAM!$B$8:$HA$215,MATCH($AL52,SAM!$A$8:$A$215,0),MATCH(AP$48,SAM!$B$7:$HA$7,0)),0)</f>
        <v>8.1001337862472536</v>
      </c>
      <c r="AQ52" s="48">
        <f>_xlfn.IFNA(INDEX(SAM!$B$8:$HA$215,MATCH($AL52,SAM!$A$8:$A$215,0),MATCH(AQ$48,SAM!$B$7:$HA$7,0)),0)</f>
        <v>6.6519501325010095</v>
      </c>
      <c r="AR52" s="48">
        <f>_xlfn.IFNA(INDEX(SAM!$B$8:$HA$215,MATCH($AL52,SAM!$A$8:$A$215,0),MATCH(AR$48,SAM!$B$7:$HA$7,0)),0)</f>
        <v>3.2903505142406222</v>
      </c>
      <c r="AS52" s="48">
        <f>_xlfn.IFNA(INDEX(SAM!$B$8:$HA$215,MATCH($AL52,SAM!$A$8:$A$215,0),MATCH(AS$48,SAM!$B$7:$HA$7,0)),0)</f>
        <v>3.7977146143117029</v>
      </c>
      <c r="AT52" s="48">
        <f>_xlfn.IFNA(INDEX(SAM!$B$8:$HA$215,MATCH($AL52,SAM!$A$8:$A$215,0),MATCH(AT$48,SAM!$B$7:$HA$7,0)),0)</f>
        <v>3.8716545092574424</v>
      </c>
      <c r="AU52" s="48">
        <f>_xlfn.IFNA(INDEX(SAM!$B$8:$HA$215,MATCH($AL52,SAM!$A$8:$A$215,0),MATCH(AU$48,SAM!$B$7:$HA$7,0)),0)</f>
        <v>5.2172706235026141</v>
      </c>
      <c r="AV52" s="48">
        <f>_xlfn.IFNA(INDEX(SAM!$B$8:$HA$215,MATCH($AL52,SAM!$A$8:$A$215,0),MATCH(AV$48,SAM!$B$7:$HA$7,0)),0)</f>
        <v>5.0393101498203592</v>
      </c>
      <c r="AW52" s="48">
        <f>_xlfn.IFNA(INDEX(SAM!$B$8:$HA$215,MATCH($AL52,SAM!$A$8:$A$215,0),MATCH(AW$48,SAM!$B$7:$HA$7,0)),0)</f>
        <v>1.2220408694515408</v>
      </c>
      <c r="AX52" s="48">
        <f>_xlfn.IFNA(INDEX(SAM!$B$8:$HA$215,MATCH($AL52,SAM!$A$8:$A$215,0),MATCH(AX$48,SAM!$B$7:$HA$7,0)),0)</f>
        <v>2.7088342149096905</v>
      </c>
      <c r="AY52" s="48">
        <f>_xlfn.IFNA(INDEX(SAM!$B$8:$HA$215,MATCH($AL52,SAM!$A$8:$A$215,0),MATCH(AY$48,SAM!$B$7:$HA$7,0)),0)</f>
        <v>4.6014967850335422</v>
      </c>
      <c r="AZ52" s="48">
        <f>_xlfn.IFNA(INDEX(SAM!$B$8:$HA$215,MATCH($AL52,SAM!$A$8:$A$215,0),MATCH(AZ$48,SAM!$B$7:$HA$7,0)),0)</f>
        <v>7.6901109859348207</v>
      </c>
      <c r="BA52" s="48">
        <f>_xlfn.IFNA(INDEX(SAM!$B$8:$HA$215,MATCH($AL52,SAM!$A$8:$A$215,0),MATCH(BA$48,SAM!$B$7:$HA$7,0)),0)</f>
        <v>21.670225892009494</v>
      </c>
      <c r="BB52" s="48"/>
      <c r="BC52" s="47" t="str">
        <f t="shared" si="115"/>
        <v>apuls</v>
      </c>
      <c r="BD52" s="48">
        <f>_xlfn.IFNA(INDEX(SAM!$B$8:$HA$215,MATCH($BC52,SAM!$A$8:$A$215,0),MATCH(BD$48,SAM!$B$7:$HA$7,0)),0)</f>
        <v>3.6786973890328696</v>
      </c>
      <c r="BE52" s="48">
        <f>_xlfn.IFNA(INDEX(SAM!$B$8:$HA$215,MATCH($BC52,SAM!$A$8:$A$215,0),MATCH(BE$48,SAM!$B$7:$HA$7,0)),0)</f>
        <v>6.4014538736755107</v>
      </c>
      <c r="BF52" s="48">
        <f>_xlfn.IFNA(INDEX(SAM!$B$8:$HA$215,MATCH($BC52,SAM!$A$8:$A$215,0),MATCH(BF$48,SAM!$B$7:$HA$7,0)),0)</f>
        <v>7.8190019152242458</v>
      </c>
      <c r="BG52" s="48">
        <f>_xlfn.IFNA(INDEX(SAM!$B$8:$HA$215,MATCH($BC52,SAM!$A$8:$A$215,0),MATCH(BG$48,SAM!$B$7:$HA$7,0)),0)</f>
        <v>7.7680139319371566</v>
      </c>
      <c r="BH52" s="48">
        <f>_xlfn.IFNA(INDEX(SAM!$B$8:$HA$215,MATCH($BC52,SAM!$A$8:$A$215,0),MATCH(BH$48,SAM!$B$7:$HA$7,0)),0)</f>
        <v>4.0443643095996622</v>
      </c>
      <c r="BI52" s="48">
        <f>_xlfn.IFNA(INDEX(SAM!$B$8:$HA$215,MATCH($BC52,SAM!$A$8:$A$215,0),MATCH(BI$48,SAM!$B$7:$HA$7,0)),0)</f>
        <v>0</v>
      </c>
      <c r="BJ52" s="48">
        <f>_xlfn.IFNA(INDEX(SAM!$B$8:$HA$215,MATCH($BC52,SAM!$A$8:$A$215,0),MATCH(BJ$48,SAM!$B$7:$HA$7,0)),0)</f>
        <v>0</v>
      </c>
      <c r="BK52" s="48">
        <f>_xlfn.IFNA(INDEX(SAM!$B$8:$HA$215,MATCH($BC52,SAM!$A$8:$A$215,0),MATCH(BK$48,SAM!$B$7:$HA$7,0)),0)</f>
        <v>0</v>
      </c>
      <c r="BL52" s="48">
        <f>_xlfn.IFNA(INDEX(SAM!$B$8:$HA$215,MATCH($BC52,SAM!$A$8:$A$215,0),MATCH(BL$48,SAM!$B$7:$HA$7,0)),0)</f>
        <v>0</v>
      </c>
      <c r="BM52" s="48">
        <f>_xlfn.IFNA(INDEX(SAM!$B$8:$HA$215,MATCH($BC52,SAM!$A$8:$A$215,0),MATCH(BM$48,SAM!$B$7:$HA$7,0)),0)</f>
        <v>0</v>
      </c>
      <c r="BN52" s="48">
        <f>_xlfn.IFNA(INDEX(SAM!$B$8:$HA$215,MATCH($BC52,SAM!$A$8:$A$215,0),MATCH(BN$48,SAM!$B$7:$HA$7,0)),0)</f>
        <v>0.36868449071078446</v>
      </c>
      <c r="BO52" s="48">
        <f>_xlfn.IFNA(INDEX(SAM!$B$8:$HA$215,MATCH($BC52,SAM!$A$8:$A$215,0),MATCH(BO$48,SAM!$B$7:$HA$7,0)),0)</f>
        <v>0.74228267718586249</v>
      </c>
      <c r="BP52" s="48">
        <f>_xlfn.IFNA(INDEX(SAM!$B$8:$HA$215,MATCH($BC52,SAM!$A$8:$A$215,0),MATCH(BP$48,SAM!$B$7:$HA$7,0)),0)</f>
        <v>1.0995795795991494</v>
      </c>
      <c r="BQ52" s="48">
        <f>_xlfn.IFNA(INDEX(SAM!$B$8:$HA$215,MATCH($BC52,SAM!$A$8:$A$215,0),MATCH(BQ$48,SAM!$B$7:$HA$7,0)),0)</f>
        <v>1.2321505634795105</v>
      </c>
      <c r="BR52" s="48">
        <f>_xlfn.IFNA(INDEX(SAM!$B$8:$HA$215,MATCH($BC52,SAM!$A$8:$A$215,0),MATCH(BR$48,SAM!$B$7:$HA$7,0)),0)</f>
        <v>1.4739230402135786</v>
      </c>
      <c r="BT52" t="str">
        <f t="shared" si="109"/>
        <v>cpuls</v>
      </c>
      <c r="BU52" s="7">
        <f t="shared" si="110"/>
        <v>134.28183041051892</v>
      </c>
      <c r="BW52" s="51" t="s">
        <v>179</v>
      </c>
      <c r="BX52" s="43">
        <f t="shared" si="116"/>
        <v>3.4464486850423106</v>
      </c>
    </row>
    <row r="53" spans="1:76" x14ac:dyDescent="0.35">
      <c r="A53" s="26" t="str">
        <f t="shared" si="78"/>
        <v>vegetables</v>
      </c>
      <c r="B53" s="26" t="s">
        <v>27</v>
      </c>
      <c r="C53" s="45">
        <f t="shared" si="79"/>
        <v>10.887188785875264</v>
      </c>
      <c r="D53" s="45">
        <f t="shared" si="80"/>
        <v>10.569201455849537</v>
      </c>
      <c r="E53" s="45">
        <f t="shared" si="81"/>
        <v>8.8288310192539399</v>
      </c>
      <c r="F53" s="45">
        <f t="shared" si="82"/>
        <v>7.9703630585579912</v>
      </c>
      <c r="G53" s="45">
        <f t="shared" si="83"/>
        <v>5.5610227846335896</v>
      </c>
      <c r="H53" s="45">
        <f t="shared" si="84"/>
        <v>8.1215773038988051</v>
      </c>
      <c r="I53" s="45">
        <f t="shared" si="85"/>
        <v>8.7433417337593387</v>
      </c>
      <c r="J53" s="45">
        <f t="shared" si="86"/>
        <v>7.8533745658651668</v>
      </c>
      <c r="K53" s="45">
        <f t="shared" si="87"/>
        <v>4.5302170158261958</v>
      </c>
      <c r="L53" s="45">
        <f t="shared" si="88"/>
        <v>4.9318476007721586</v>
      </c>
      <c r="M53" s="45">
        <f t="shared" si="89"/>
        <v>13.301023938592008</v>
      </c>
      <c r="N53" s="45">
        <f t="shared" si="90"/>
        <v>11.830931432672973</v>
      </c>
      <c r="O53" s="45">
        <f t="shared" si="91"/>
        <v>10.027658290399888</v>
      </c>
      <c r="P53" s="45">
        <f t="shared" si="92"/>
        <v>8.8037515092192322</v>
      </c>
      <c r="Q53" s="45">
        <f t="shared" si="93"/>
        <v>4.1208923201919667</v>
      </c>
      <c r="R53" s="45">
        <f t="shared" si="94"/>
        <v>6.1363877638899647</v>
      </c>
      <c r="S53" s="26"/>
      <c r="T53" s="26" t="str">
        <f t="shared" si="111"/>
        <v>vege</v>
      </c>
      <c r="U53" s="45">
        <f t="shared" si="112"/>
        <v>26.983121484885146</v>
      </c>
      <c r="V53" s="45">
        <f t="shared" si="95"/>
        <v>38.65919470670346</v>
      </c>
      <c r="W53" s="45">
        <f t="shared" si="96"/>
        <v>43.281246600558617</v>
      </c>
      <c r="X53" s="45">
        <f t="shared" si="97"/>
        <v>40.649465461911781</v>
      </c>
      <c r="Y53" s="45">
        <f t="shared" si="98"/>
        <v>25.658044909549638</v>
      </c>
      <c r="Z53" s="45">
        <f t="shared" si="99"/>
        <v>6.9455910872384816</v>
      </c>
      <c r="AA53" s="45">
        <f t="shared" si="100"/>
        <v>9.4592492225328098</v>
      </c>
      <c r="AB53" s="45">
        <f t="shared" si="101"/>
        <v>10.778800736838679</v>
      </c>
      <c r="AC53" s="45">
        <f t="shared" si="102"/>
        <v>16.494908866758159</v>
      </c>
      <c r="AD53" s="45">
        <f t="shared" si="103"/>
        <v>16.647099553519947</v>
      </c>
      <c r="AE53" s="45">
        <f t="shared" si="104"/>
        <v>5.787433494889628</v>
      </c>
      <c r="AF53" s="45">
        <f t="shared" si="105"/>
        <v>13.08116663209193</v>
      </c>
      <c r="AG53" s="45">
        <f t="shared" si="106"/>
        <v>23.595525482762074</v>
      </c>
      <c r="AH53" s="45">
        <f t="shared" si="107"/>
        <v>50.956245596797004</v>
      </c>
      <c r="AI53" s="45">
        <f t="shared" si="108"/>
        <v>161.22898223146186</v>
      </c>
      <c r="AJ53" s="45">
        <f t="shared" si="113"/>
        <v>490.20607606849921</v>
      </c>
      <c r="AK53" s="26"/>
      <c r="AL53" s="26" t="str">
        <f t="shared" si="114"/>
        <v>cvege</v>
      </c>
      <c r="AM53" s="45">
        <f>_xlfn.IFNA(INDEX(SAM!$B$8:$HA$215,MATCH($AL53,SAM!$A$8:$A$215,0),MATCH(AM$48,SAM!$B$7:$HA$7,0)),0)</f>
        <v>16.203363179310948</v>
      </c>
      <c r="AN53" s="45">
        <f>_xlfn.IFNA(INDEX(SAM!$B$8:$HA$215,MATCH($AL53,SAM!$A$8:$A$215,0),MATCH(AN$48,SAM!$B$7:$HA$7,0)),0)</f>
        <v>22.772440291213595</v>
      </c>
      <c r="AO53" s="45">
        <f>_xlfn.IFNA(INDEX(SAM!$B$8:$HA$215,MATCH($AL53,SAM!$A$8:$A$215,0),MATCH(AO$48,SAM!$B$7:$HA$7,0)),0)</f>
        <v>24.700231578760363</v>
      </c>
      <c r="AP53" s="45">
        <f>_xlfn.IFNA(INDEX(SAM!$B$8:$HA$215,MATCH($AL53,SAM!$A$8:$A$215,0),MATCH(AP$48,SAM!$B$7:$HA$7,0)),0)</f>
        <v>23.75092268343365</v>
      </c>
      <c r="AQ53" s="45">
        <f>_xlfn.IFNA(INDEX(SAM!$B$8:$HA$215,MATCH($AL53,SAM!$A$8:$A$215,0),MATCH(AQ$48,SAM!$B$7:$HA$7,0)),0)</f>
        <v>15.616090034896089</v>
      </c>
      <c r="AR53" s="45">
        <f>_xlfn.IFNA(INDEX(SAM!$B$8:$HA$215,MATCH($AL53,SAM!$A$8:$A$215,0),MATCH(AR$48,SAM!$B$7:$HA$7,0)),0)</f>
        <v>6.9455910872384816</v>
      </c>
      <c r="AS53" s="45">
        <f>_xlfn.IFNA(INDEX(SAM!$B$8:$HA$215,MATCH($AL53,SAM!$A$8:$A$215,0),MATCH(AS$48,SAM!$B$7:$HA$7,0)),0)</f>
        <v>9.4592492225328098</v>
      </c>
      <c r="AT53" s="45">
        <f>_xlfn.IFNA(INDEX(SAM!$B$8:$HA$215,MATCH($AL53,SAM!$A$8:$A$215,0),MATCH(AT$48,SAM!$B$7:$HA$7,0)),0)</f>
        <v>10.778800736838679</v>
      </c>
      <c r="AU53" s="45">
        <f>_xlfn.IFNA(INDEX(SAM!$B$8:$HA$215,MATCH($AL53,SAM!$A$8:$A$215,0),MATCH(AU$48,SAM!$B$7:$HA$7,0)),0)</f>
        <v>16.494908866758159</v>
      </c>
      <c r="AV53" s="45">
        <f>_xlfn.IFNA(INDEX(SAM!$B$8:$HA$215,MATCH($AL53,SAM!$A$8:$A$215,0),MATCH(AV$48,SAM!$B$7:$HA$7,0)),0)</f>
        <v>16.647099553519947</v>
      </c>
      <c r="AW53" s="45">
        <f>_xlfn.IFNA(INDEX(SAM!$B$8:$HA$215,MATCH($AL53,SAM!$A$8:$A$215,0),MATCH(AW$48,SAM!$B$7:$HA$7,0)),0)</f>
        <v>4.9032635965318692</v>
      </c>
      <c r="AX53" s="45">
        <f>_xlfn.IFNA(INDEX(SAM!$B$8:$HA$215,MATCH($AL53,SAM!$A$8:$A$215,0),MATCH(AX$48,SAM!$B$7:$HA$7,0)),0)</f>
        <v>11.049412288351721</v>
      </c>
      <c r="AY53" s="45">
        <f>_xlfn.IFNA(INDEX(SAM!$B$8:$HA$215,MATCH($AL53,SAM!$A$8:$A$215,0),MATCH(AY$48,SAM!$B$7:$HA$7,0)),0)</f>
        <v>20.394041512298561</v>
      </c>
      <c r="AZ53" s="45">
        <f>_xlfn.IFNA(INDEX(SAM!$B$8:$HA$215,MATCH($AL53,SAM!$A$8:$A$215,0),MATCH(AZ$48,SAM!$B$7:$HA$7,0)),0)</f>
        <v>47.235829926717244</v>
      </c>
      <c r="BA53" s="45">
        <f>_xlfn.IFNA(INDEX(SAM!$B$8:$HA$215,MATCH($AL53,SAM!$A$8:$A$215,0),MATCH(BA$48,SAM!$B$7:$HA$7,0)),0)</f>
        <v>154.68962510412317</v>
      </c>
      <c r="BB53" s="45"/>
      <c r="BC53" s="26" t="str">
        <f t="shared" si="115"/>
        <v>avege</v>
      </c>
      <c r="BD53" s="45">
        <f>_xlfn.IFNA(INDEX(SAM!$B$8:$HA$215,MATCH($BC53,SAM!$A$8:$A$215,0),MATCH(BD$48,SAM!$B$7:$HA$7,0)),0)</f>
        <v>10.779758305574198</v>
      </c>
      <c r="BE53" s="45">
        <f>_xlfn.IFNA(INDEX(SAM!$B$8:$HA$215,MATCH($BC53,SAM!$A$8:$A$215,0),MATCH(BE$48,SAM!$B$7:$HA$7,0)),0)</f>
        <v>15.886754415489861</v>
      </c>
      <c r="BF53" s="45">
        <f>_xlfn.IFNA(INDEX(SAM!$B$8:$HA$215,MATCH($BC53,SAM!$A$8:$A$215,0),MATCH(BF$48,SAM!$B$7:$HA$7,0)),0)</f>
        <v>18.581015021798258</v>
      </c>
      <c r="BG53" s="45">
        <f>_xlfn.IFNA(INDEX(SAM!$B$8:$HA$215,MATCH($BC53,SAM!$A$8:$A$215,0),MATCH(BG$48,SAM!$B$7:$HA$7,0)),0)</f>
        <v>16.898542778478131</v>
      </c>
      <c r="BH53" s="45">
        <f>_xlfn.IFNA(INDEX(SAM!$B$8:$HA$215,MATCH($BC53,SAM!$A$8:$A$215,0),MATCH(BH$48,SAM!$B$7:$HA$7,0)),0)</f>
        <v>10.041954874653547</v>
      </c>
      <c r="BI53" s="45">
        <f>_xlfn.IFNA(INDEX(SAM!$B$8:$HA$215,MATCH($BC53,SAM!$A$8:$A$215,0),MATCH(BI$48,SAM!$B$7:$HA$7,0)),0)</f>
        <v>0</v>
      </c>
      <c r="BJ53" s="45">
        <f>_xlfn.IFNA(INDEX(SAM!$B$8:$HA$215,MATCH($BC53,SAM!$A$8:$A$215,0),MATCH(BJ$48,SAM!$B$7:$HA$7,0)),0)</f>
        <v>0</v>
      </c>
      <c r="BK53" s="45">
        <f>_xlfn.IFNA(INDEX(SAM!$B$8:$HA$215,MATCH($BC53,SAM!$A$8:$A$215,0),MATCH(BK$48,SAM!$B$7:$HA$7,0)),0)</f>
        <v>0</v>
      </c>
      <c r="BL53" s="45">
        <f>_xlfn.IFNA(INDEX(SAM!$B$8:$HA$215,MATCH($BC53,SAM!$A$8:$A$215,0),MATCH(BL$48,SAM!$B$7:$HA$7,0)),0)</f>
        <v>0</v>
      </c>
      <c r="BM53" s="45">
        <f>_xlfn.IFNA(INDEX(SAM!$B$8:$HA$215,MATCH($BC53,SAM!$A$8:$A$215,0),MATCH(BM$48,SAM!$B$7:$HA$7,0)),0)</f>
        <v>0</v>
      </c>
      <c r="BN53" s="45">
        <f>_xlfn.IFNA(INDEX(SAM!$B$8:$HA$215,MATCH($BC53,SAM!$A$8:$A$215,0),MATCH(BN$48,SAM!$B$7:$HA$7,0)),0)</f>
        <v>0.88416989835775839</v>
      </c>
      <c r="BO53" s="45">
        <f>_xlfn.IFNA(INDEX(SAM!$B$8:$HA$215,MATCH($BC53,SAM!$A$8:$A$215,0),MATCH(BO$48,SAM!$B$7:$HA$7,0)),0)</f>
        <v>2.031754343740209</v>
      </c>
      <c r="BP53" s="45">
        <f>_xlfn.IFNA(INDEX(SAM!$B$8:$HA$215,MATCH($BC53,SAM!$A$8:$A$215,0),MATCH(BP$48,SAM!$B$7:$HA$7,0)),0)</f>
        <v>3.2014839704635127</v>
      </c>
      <c r="BQ53" s="45">
        <f>_xlfn.IFNA(INDEX(SAM!$B$8:$HA$215,MATCH($BC53,SAM!$A$8:$A$215,0),MATCH(BQ$48,SAM!$B$7:$HA$7,0)),0)</f>
        <v>3.7204156700797624</v>
      </c>
      <c r="BR53" s="45">
        <f>_xlfn.IFNA(INDEX(SAM!$B$8:$HA$215,MATCH($BC53,SAM!$A$8:$A$215,0),MATCH(BR$48,SAM!$B$7:$HA$7,0)),0)</f>
        <v>6.5393571273386772</v>
      </c>
      <c r="BT53" t="str">
        <f t="shared" si="109"/>
        <v>cvege</v>
      </c>
      <c r="BU53" s="7">
        <f t="shared" si="110"/>
        <v>490.20607606849921</v>
      </c>
      <c r="BW53" s="51" t="s">
        <v>180</v>
      </c>
      <c r="BX53" s="43">
        <f t="shared" si="116"/>
        <v>6.1363877638899647</v>
      </c>
    </row>
    <row r="54" spans="1:76" x14ac:dyDescent="0.35">
      <c r="A54" t="str">
        <f t="shared" si="78"/>
        <v>fruits</v>
      </c>
      <c r="B54" t="s">
        <v>28</v>
      </c>
      <c r="C54" s="18">
        <f t="shared" si="79"/>
        <v>2.3074567070896701</v>
      </c>
      <c r="D54" s="18">
        <f t="shared" si="80"/>
        <v>3.2416964764936202</v>
      </c>
      <c r="E54" s="18">
        <f t="shared" si="81"/>
        <v>3.5463561903697931</v>
      </c>
      <c r="F54" s="18">
        <f t="shared" si="82"/>
        <v>3.5102522822311433</v>
      </c>
      <c r="G54" s="18">
        <f t="shared" si="83"/>
        <v>2.9017295312583906</v>
      </c>
      <c r="H54" s="18">
        <f t="shared" si="84"/>
        <v>1.8667665169307406</v>
      </c>
      <c r="I54" s="18">
        <f t="shared" si="85"/>
        <v>2.4789861462693894</v>
      </c>
      <c r="J54" s="18">
        <f t="shared" si="86"/>
        <v>2.8403075621576259</v>
      </c>
      <c r="K54" s="18">
        <f t="shared" si="87"/>
        <v>1.9157521316373776</v>
      </c>
      <c r="L54" s="18">
        <f t="shared" si="88"/>
        <v>2.6242743389459999</v>
      </c>
      <c r="M54" s="18">
        <f t="shared" si="89"/>
        <v>2.7547312428041497</v>
      </c>
      <c r="N54" s="18">
        <f t="shared" si="90"/>
        <v>2.8332906734361489</v>
      </c>
      <c r="O54" s="18">
        <f t="shared" si="91"/>
        <v>2.7466076633804759</v>
      </c>
      <c r="P54" s="18">
        <f t="shared" si="92"/>
        <v>3.1411367936633163</v>
      </c>
      <c r="Q54" s="18">
        <f t="shared" si="93"/>
        <v>1.7755665055051368</v>
      </c>
      <c r="R54" s="18">
        <f t="shared" si="94"/>
        <v>2.3622190551616953</v>
      </c>
      <c r="T54" t="str">
        <f t="shared" si="111"/>
        <v>frui</v>
      </c>
      <c r="U54" s="18">
        <f t="shared" si="112"/>
        <v>5.7188669979977842</v>
      </c>
      <c r="V54" s="18">
        <f t="shared" si="95"/>
        <v>11.857222685015824</v>
      </c>
      <c r="W54" s="18">
        <f t="shared" si="96"/>
        <v>17.385168713058345</v>
      </c>
      <c r="X54" s="18">
        <f t="shared" si="97"/>
        <v>17.90255699280122</v>
      </c>
      <c r="Y54" s="18">
        <f t="shared" si="98"/>
        <v>13.388311739006809</v>
      </c>
      <c r="Z54" s="18">
        <f t="shared" si="99"/>
        <v>1.5964629032989781</v>
      </c>
      <c r="AA54" s="18">
        <f t="shared" si="100"/>
        <v>2.6819662882701842</v>
      </c>
      <c r="AB54" s="18">
        <f t="shared" si="101"/>
        <v>3.8983380949257422</v>
      </c>
      <c r="AC54" s="18">
        <f t="shared" si="102"/>
        <v>6.9754178910771589</v>
      </c>
      <c r="AD54" s="18">
        <f t="shared" si="103"/>
        <v>8.8580507170055274</v>
      </c>
      <c r="AE54" s="18">
        <f t="shared" si="104"/>
        <v>1.1986162822973847</v>
      </c>
      <c r="AF54" s="18">
        <f t="shared" si="105"/>
        <v>3.1326990294285402</v>
      </c>
      <c r="AG54" s="18">
        <f t="shared" si="106"/>
        <v>6.462889862779635</v>
      </c>
      <c r="AH54" s="18">
        <f t="shared" si="107"/>
        <v>18.180946809258423</v>
      </c>
      <c r="AI54" s="18">
        <f t="shared" si="108"/>
        <v>69.468638907199306</v>
      </c>
      <c r="AJ54" s="18">
        <f t="shared" si="113"/>
        <v>188.70615391342088</v>
      </c>
      <c r="AL54" t="str">
        <f t="shared" si="114"/>
        <v>cfrui</v>
      </c>
      <c r="AM54" s="18">
        <f>_xlfn.IFNA(INDEX(SAM!$B$8:$HA$215,MATCH($AL54,SAM!$A$8:$A$215,0),MATCH(AM$48,SAM!$B$7:$HA$7,0)),0)</f>
        <v>2.6682449048370001</v>
      </c>
      <c r="AN54" s="18">
        <f>_xlfn.IFNA(INDEX(SAM!$B$8:$HA$215,MATCH($AL54,SAM!$A$8:$A$215,0),MATCH(AN$48,SAM!$B$7:$HA$7,0)),0)</f>
        <v>4.674912594004911</v>
      </c>
      <c r="AO54" s="18">
        <f>_xlfn.IFNA(INDEX(SAM!$B$8:$HA$215,MATCH($AL54,SAM!$A$8:$A$215,0),MATCH(AO$48,SAM!$B$7:$HA$7,0)),0)</f>
        <v>6.4574936255554061</v>
      </c>
      <c r="AP54" s="18">
        <f>_xlfn.IFNA(INDEX(SAM!$B$8:$HA$215,MATCH($AL54,SAM!$A$8:$A$215,0),MATCH(AP$48,SAM!$B$7:$HA$7,0)),0)</f>
        <v>7.4493181140928115</v>
      </c>
      <c r="AQ54" s="18">
        <f>_xlfn.IFNA(INDEX(SAM!$B$8:$HA$215,MATCH($AL54,SAM!$A$8:$A$215,0),MATCH(AQ$48,SAM!$B$7:$HA$7,0)),0)</f>
        <v>6.3589618230854477</v>
      </c>
      <c r="AR54" s="18">
        <f>_xlfn.IFNA(INDEX(SAM!$B$8:$HA$215,MATCH($AL54,SAM!$A$8:$A$215,0),MATCH(AR$48,SAM!$B$7:$HA$7,0)),0)</f>
        <v>1.5964629032989781</v>
      </c>
      <c r="AS54" s="18">
        <f>_xlfn.IFNA(INDEX(SAM!$B$8:$HA$215,MATCH($AL54,SAM!$A$8:$A$215,0),MATCH(AS$48,SAM!$B$7:$HA$7,0)),0)</f>
        <v>2.6819662882701842</v>
      </c>
      <c r="AT54" s="18">
        <f>_xlfn.IFNA(INDEX(SAM!$B$8:$HA$215,MATCH($AL54,SAM!$A$8:$A$215,0),MATCH(AT$48,SAM!$B$7:$HA$7,0)),0)</f>
        <v>3.8983380949257422</v>
      </c>
      <c r="AU54" s="18">
        <f>_xlfn.IFNA(INDEX(SAM!$B$8:$HA$215,MATCH($AL54,SAM!$A$8:$A$215,0),MATCH(AU$48,SAM!$B$7:$HA$7,0)),0)</f>
        <v>6.9754178910771589</v>
      </c>
      <c r="AV54" s="18">
        <f>_xlfn.IFNA(INDEX(SAM!$B$8:$HA$215,MATCH($AL54,SAM!$A$8:$A$215,0),MATCH(AV$48,SAM!$B$7:$HA$7,0)),0)</f>
        <v>8.8580507170055274</v>
      </c>
      <c r="AW54" s="18">
        <f>_xlfn.IFNA(INDEX(SAM!$B$8:$HA$215,MATCH($AL54,SAM!$A$8:$A$215,0),MATCH(AW$48,SAM!$B$7:$HA$7,0)),0)</f>
        <v>0.73168632126025257</v>
      </c>
      <c r="AX54" s="18">
        <f>_xlfn.IFNA(INDEX(SAM!$B$8:$HA$215,MATCH($AL54,SAM!$A$8:$A$215,0),MATCH(AX$48,SAM!$B$7:$HA$7,0)),0)</f>
        <v>2.0497071988403976</v>
      </c>
      <c r="AY54" s="18">
        <f>_xlfn.IFNA(INDEX(SAM!$B$8:$HA$215,MATCH($AL54,SAM!$A$8:$A$215,0),MATCH(AY$48,SAM!$B$7:$HA$7,0)),0)</f>
        <v>5.0503353386444756</v>
      </c>
      <c r="AZ54" s="18">
        <f>_xlfn.IFNA(INDEX(SAM!$B$8:$HA$215,MATCH($AL54,SAM!$A$8:$A$215,0),MATCH(AZ$48,SAM!$B$7:$HA$7,0)),0)</f>
        <v>15.870094375309044</v>
      </c>
      <c r="BA54" s="18">
        <f>_xlfn.IFNA(INDEX(SAM!$B$8:$HA$215,MATCH($AL54,SAM!$A$8:$A$215,0),MATCH(BA$48,SAM!$B$7:$HA$7,0)),0)</f>
        <v>66.563639200139846</v>
      </c>
      <c r="BB54" s="18"/>
      <c r="BC54" t="str">
        <f t="shared" si="115"/>
        <v>afrui</v>
      </c>
      <c r="BD54" s="18">
        <f>_xlfn.IFNA(INDEX(SAM!$B$8:$HA$215,MATCH($BC54,SAM!$A$8:$A$215,0),MATCH(BD$48,SAM!$B$7:$HA$7,0)),0)</f>
        <v>3.0506220931607837</v>
      </c>
      <c r="BE54" s="18">
        <f>_xlfn.IFNA(INDEX(SAM!$B$8:$HA$215,MATCH($BC54,SAM!$A$8:$A$215,0),MATCH(BE$48,SAM!$B$7:$HA$7,0)),0)</f>
        <v>7.1823100910109128</v>
      </c>
      <c r="BF54" s="18">
        <f>_xlfn.IFNA(INDEX(SAM!$B$8:$HA$215,MATCH($BC54,SAM!$A$8:$A$215,0),MATCH(BF$48,SAM!$B$7:$HA$7,0)),0)</f>
        <v>10.927675087502939</v>
      </c>
      <c r="BG54" s="18">
        <f>_xlfn.IFNA(INDEX(SAM!$B$8:$HA$215,MATCH($BC54,SAM!$A$8:$A$215,0),MATCH(BG$48,SAM!$B$7:$HA$7,0)),0)</f>
        <v>10.453238878708408</v>
      </c>
      <c r="BH54" s="18">
        <f>_xlfn.IFNA(INDEX(SAM!$B$8:$HA$215,MATCH($BC54,SAM!$A$8:$A$215,0),MATCH(BH$48,SAM!$B$7:$HA$7,0)),0)</f>
        <v>7.0293499159213626</v>
      </c>
      <c r="BI54" s="18">
        <f>_xlfn.IFNA(INDEX(SAM!$B$8:$HA$215,MATCH($BC54,SAM!$A$8:$A$215,0),MATCH(BI$48,SAM!$B$7:$HA$7,0)),0)</f>
        <v>0</v>
      </c>
      <c r="BJ54" s="18">
        <f>_xlfn.IFNA(INDEX(SAM!$B$8:$HA$215,MATCH($BC54,SAM!$A$8:$A$215,0),MATCH(BJ$48,SAM!$B$7:$HA$7,0)),0)</f>
        <v>0</v>
      </c>
      <c r="BK54" s="18">
        <f>_xlfn.IFNA(INDEX(SAM!$B$8:$HA$215,MATCH($BC54,SAM!$A$8:$A$215,0),MATCH(BK$48,SAM!$B$7:$HA$7,0)),0)</f>
        <v>0</v>
      </c>
      <c r="BL54" s="18">
        <f>_xlfn.IFNA(INDEX(SAM!$B$8:$HA$215,MATCH($BC54,SAM!$A$8:$A$215,0),MATCH(BL$48,SAM!$B$7:$HA$7,0)),0)</f>
        <v>0</v>
      </c>
      <c r="BM54" s="18">
        <f>_xlfn.IFNA(INDEX(SAM!$B$8:$HA$215,MATCH($BC54,SAM!$A$8:$A$215,0),MATCH(BM$48,SAM!$B$7:$HA$7,0)),0)</f>
        <v>0</v>
      </c>
      <c r="BN54" s="18">
        <f>_xlfn.IFNA(INDEX(SAM!$B$8:$HA$215,MATCH($BC54,SAM!$A$8:$A$215,0),MATCH(BN$48,SAM!$B$7:$HA$7,0)),0)</f>
        <v>0.46692996103713214</v>
      </c>
      <c r="BO54" s="18">
        <f>_xlfn.IFNA(INDEX(SAM!$B$8:$HA$215,MATCH($BC54,SAM!$A$8:$A$215,0),MATCH(BO$48,SAM!$B$7:$HA$7,0)),0)</f>
        <v>1.0829918305881423</v>
      </c>
      <c r="BP54" s="18">
        <f>_xlfn.IFNA(INDEX(SAM!$B$8:$HA$215,MATCH($BC54,SAM!$A$8:$A$215,0),MATCH(BP$48,SAM!$B$7:$HA$7,0)),0)</f>
        <v>1.4125545241351591</v>
      </c>
      <c r="BQ54" s="18">
        <f>_xlfn.IFNA(INDEX(SAM!$B$8:$HA$215,MATCH($BC54,SAM!$A$8:$A$215,0),MATCH(BQ$48,SAM!$B$7:$HA$7,0)),0)</f>
        <v>2.3108524339493801</v>
      </c>
      <c r="BR54" s="18">
        <f>_xlfn.IFNA(INDEX(SAM!$B$8:$HA$215,MATCH($BC54,SAM!$A$8:$A$215,0),MATCH(BR$48,SAM!$B$7:$HA$7,0)),0)</f>
        <v>2.9049997070594591</v>
      </c>
      <c r="BT54" t="str">
        <f t="shared" si="109"/>
        <v>cfrui</v>
      </c>
      <c r="BU54" s="7">
        <f t="shared" si="110"/>
        <v>188.70615391342088</v>
      </c>
      <c r="BW54" s="51" t="s">
        <v>181</v>
      </c>
      <c r="BX54" s="43">
        <f t="shared" si="116"/>
        <v>2.3622190551616953</v>
      </c>
    </row>
    <row r="55" spans="1:76" x14ac:dyDescent="0.35">
      <c r="A55" s="26" t="str">
        <f t="shared" si="78"/>
        <v>fruits</v>
      </c>
      <c r="B55" s="26" t="s">
        <v>33</v>
      </c>
      <c r="C55" s="45">
        <f t="shared" si="79"/>
        <v>0.21912999581875695</v>
      </c>
      <c r="D55" s="45">
        <f t="shared" si="80"/>
        <v>8.0132084592203445E-2</v>
      </c>
      <c r="E55" s="45">
        <f t="shared" si="81"/>
        <v>0.24782297634558142</v>
      </c>
      <c r="F55" s="45">
        <f t="shared" si="82"/>
        <v>1.5564299183364961E-2</v>
      </c>
      <c r="G55" s="45">
        <f t="shared" si="83"/>
        <v>0.20128970842987354</v>
      </c>
      <c r="H55" s="45">
        <f t="shared" si="84"/>
        <v>0.81932672064020073</v>
      </c>
      <c r="I55" s="45">
        <f t="shared" si="85"/>
        <v>13.402042445433116</v>
      </c>
      <c r="J55" s="45">
        <f t="shared" si="86"/>
        <v>1.7651741511518761</v>
      </c>
      <c r="K55" s="45">
        <f t="shared" si="87"/>
        <v>0.15146142002905652</v>
      </c>
      <c r="L55" s="45">
        <f t="shared" si="88"/>
        <v>0.69536590402659038</v>
      </c>
      <c r="M55" s="45">
        <f t="shared" si="89"/>
        <v>0</v>
      </c>
      <c r="N55" s="45">
        <f t="shared" si="90"/>
        <v>0</v>
      </c>
      <c r="O55" s="45">
        <f t="shared" si="91"/>
        <v>0.26753216109166672</v>
      </c>
      <c r="P55" s="45">
        <f t="shared" si="92"/>
        <v>0.12757849372825486</v>
      </c>
      <c r="Q55" s="45">
        <f t="shared" si="93"/>
        <v>0.21346435847453485</v>
      </c>
      <c r="R55" s="45">
        <f t="shared" si="94"/>
        <v>0.41685283334526863</v>
      </c>
      <c r="S55" s="26"/>
      <c r="T55" s="26" t="str">
        <f t="shared" si="111"/>
        <v>fveg</v>
      </c>
      <c r="U55" s="45">
        <f t="shared" si="112"/>
        <v>0.54309807742389937</v>
      </c>
      <c r="V55" s="45">
        <f t="shared" si="95"/>
        <v>0.2931008433744558</v>
      </c>
      <c r="W55" s="45">
        <f t="shared" si="96"/>
        <v>1.2148932660627474</v>
      </c>
      <c r="X55" s="45">
        <f t="shared" si="97"/>
        <v>7.9379124569956674E-2</v>
      </c>
      <c r="Y55" s="45">
        <f t="shared" si="98"/>
        <v>0.92873210176284959</v>
      </c>
      <c r="Z55" s="45">
        <f t="shared" si="99"/>
        <v>0.70069004523087619</v>
      </c>
      <c r="AA55" s="45">
        <f t="shared" si="100"/>
        <v>14.499405769858518</v>
      </c>
      <c r="AB55" s="45">
        <f t="shared" si="101"/>
        <v>2.4227114448078519</v>
      </c>
      <c r="AC55" s="45">
        <f t="shared" si="102"/>
        <v>0.55148402636809057</v>
      </c>
      <c r="AD55" s="45">
        <f t="shared" si="103"/>
        <v>2.3471579755711973</v>
      </c>
      <c r="AE55" s="45">
        <f t="shared" si="104"/>
        <v>0</v>
      </c>
      <c r="AF55" s="45">
        <f t="shared" si="105"/>
        <v>0</v>
      </c>
      <c r="AG55" s="45">
        <f t="shared" si="106"/>
        <v>0.62951506141172009</v>
      </c>
      <c r="AH55" s="45">
        <f t="shared" si="107"/>
        <v>0.73842623255309492</v>
      </c>
      <c r="AI55" s="45">
        <f t="shared" si="108"/>
        <v>8.351744861398835</v>
      </c>
      <c r="AJ55" s="45">
        <f t="shared" si="113"/>
        <v>33.300338830394097</v>
      </c>
      <c r="AK55" s="26"/>
      <c r="AL55" s="26" t="str">
        <f t="shared" si="114"/>
        <v>cfveg</v>
      </c>
      <c r="AM55" s="45">
        <f>_xlfn.IFNA(INDEX(SAM!$B$8:$HA$215,MATCH($AL55,SAM!$A$8:$A$215,0),MATCH(AM$48,SAM!$B$7:$HA$7,0)),0)</f>
        <v>0.54309807742389937</v>
      </c>
      <c r="AN55" s="45">
        <f>_xlfn.IFNA(INDEX(SAM!$B$8:$HA$215,MATCH($AL55,SAM!$A$8:$A$215,0),MATCH(AN$48,SAM!$B$7:$HA$7,0)),0)</f>
        <v>0.2931008433744558</v>
      </c>
      <c r="AO55" s="45">
        <f>_xlfn.IFNA(INDEX(SAM!$B$8:$HA$215,MATCH($AL55,SAM!$A$8:$A$215,0),MATCH(AO$48,SAM!$B$7:$HA$7,0)),0)</f>
        <v>1.2148932660627474</v>
      </c>
      <c r="AP55" s="45">
        <f>_xlfn.IFNA(INDEX(SAM!$B$8:$HA$215,MATCH($AL55,SAM!$A$8:$A$215,0),MATCH(AP$48,SAM!$B$7:$HA$7,0)),0)</f>
        <v>7.9379124569956674E-2</v>
      </c>
      <c r="AQ55" s="45">
        <f>_xlfn.IFNA(INDEX(SAM!$B$8:$HA$215,MATCH($AL55,SAM!$A$8:$A$215,0),MATCH(AQ$48,SAM!$B$7:$HA$7,0)),0)</f>
        <v>0.92873210176284959</v>
      </c>
      <c r="AR55" s="45">
        <f>_xlfn.IFNA(INDEX(SAM!$B$8:$HA$215,MATCH($AL55,SAM!$A$8:$A$215,0),MATCH(AR$48,SAM!$B$7:$HA$7,0)),0)</f>
        <v>0.70069004523087619</v>
      </c>
      <c r="AS55" s="45">
        <f>_xlfn.IFNA(INDEX(SAM!$B$8:$HA$215,MATCH($AL55,SAM!$A$8:$A$215,0),MATCH(AS$48,SAM!$B$7:$HA$7,0)),0)</f>
        <v>14.499405769858518</v>
      </c>
      <c r="AT55" s="45">
        <f>_xlfn.IFNA(INDEX(SAM!$B$8:$HA$215,MATCH($AL55,SAM!$A$8:$A$215,0),MATCH(AT$48,SAM!$B$7:$HA$7,0)),0)</f>
        <v>2.4227114448078519</v>
      </c>
      <c r="AU55" s="45">
        <f>_xlfn.IFNA(INDEX(SAM!$B$8:$HA$215,MATCH($AL55,SAM!$A$8:$A$215,0),MATCH(AU$48,SAM!$B$7:$HA$7,0)),0)</f>
        <v>0.55148402636809057</v>
      </c>
      <c r="AV55" s="45">
        <f>_xlfn.IFNA(INDEX(SAM!$B$8:$HA$215,MATCH($AL55,SAM!$A$8:$A$215,0),MATCH(AV$48,SAM!$B$7:$HA$7,0)),0)</f>
        <v>2.3471579755711973</v>
      </c>
      <c r="AW55" s="45">
        <f>_xlfn.IFNA(INDEX(SAM!$B$8:$HA$215,MATCH($AL55,SAM!$A$8:$A$215,0),MATCH(AW$48,SAM!$B$7:$HA$7,0)),0)</f>
        <v>0</v>
      </c>
      <c r="AX55" s="45">
        <f>_xlfn.IFNA(INDEX(SAM!$B$8:$HA$215,MATCH($AL55,SAM!$A$8:$A$215,0),MATCH(AX$48,SAM!$B$7:$HA$7,0)),0)</f>
        <v>0</v>
      </c>
      <c r="AY55" s="45">
        <f>_xlfn.IFNA(INDEX(SAM!$B$8:$HA$215,MATCH($AL55,SAM!$A$8:$A$215,0),MATCH(AY$48,SAM!$B$7:$HA$7,0)),0)</f>
        <v>0.62951506141172009</v>
      </c>
      <c r="AZ55" s="45">
        <f>_xlfn.IFNA(INDEX(SAM!$B$8:$HA$215,MATCH($AL55,SAM!$A$8:$A$215,0),MATCH(AZ$48,SAM!$B$7:$HA$7,0)),0)</f>
        <v>0.73842623255309492</v>
      </c>
      <c r="BA55" s="45">
        <f>_xlfn.IFNA(INDEX(SAM!$B$8:$HA$215,MATCH($AL55,SAM!$A$8:$A$215,0),MATCH(BA$48,SAM!$B$7:$HA$7,0)),0)</f>
        <v>8.351744861398835</v>
      </c>
      <c r="BB55" s="45"/>
      <c r="BC55" s="26" t="str">
        <f t="shared" si="115"/>
        <v>afveg</v>
      </c>
      <c r="BD55" s="45">
        <f>_xlfn.IFNA(INDEX(SAM!$B$8:$HA$215,MATCH($BC55,SAM!$A$8:$A$215,0),MATCH(BD$48,SAM!$B$7:$HA$7,0)),0)</f>
        <v>0</v>
      </c>
      <c r="BE55" s="45">
        <f>_xlfn.IFNA(INDEX(SAM!$B$8:$HA$215,MATCH($BC55,SAM!$A$8:$A$215,0),MATCH(BE$48,SAM!$B$7:$HA$7,0)),0)</f>
        <v>0</v>
      </c>
      <c r="BF55" s="45">
        <f>_xlfn.IFNA(INDEX(SAM!$B$8:$HA$215,MATCH($BC55,SAM!$A$8:$A$215,0),MATCH(BF$48,SAM!$B$7:$HA$7,0)),0)</f>
        <v>0</v>
      </c>
      <c r="BG55" s="45">
        <f>_xlfn.IFNA(INDEX(SAM!$B$8:$HA$215,MATCH($BC55,SAM!$A$8:$A$215,0),MATCH(BG$48,SAM!$B$7:$HA$7,0)),0)</f>
        <v>0</v>
      </c>
      <c r="BH55" s="45">
        <f>_xlfn.IFNA(INDEX(SAM!$B$8:$HA$215,MATCH($BC55,SAM!$A$8:$A$215,0),MATCH(BH$48,SAM!$B$7:$HA$7,0)),0)</f>
        <v>0</v>
      </c>
      <c r="BI55" s="45">
        <f>_xlfn.IFNA(INDEX(SAM!$B$8:$HA$215,MATCH($BC55,SAM!$A$8:$A$215,0),MATCH(BI$48,SAM!$B$7:$HA$7,0)),0)</f>
        <v>0</v>
      </c>
      <c r="BJ55" s="45">
        <f>_xlfn.IFNA(INDEX(SAM!$B$8:$HA$215,MATCH($BC55,SAM!$A$8:$A$215,0),MATCH(BJ$48,SAM!$B$7:$HA$7,0)),0)</f>
        <v>0</v>
      </c>
      <c r="BK55" s="45">
        <f>_xlfn.IFNA(INDEX(SAM!$B$8:$HA$215,MATCH($BC55,SAM!$A$8:$A$215,0),MATCH(BK$48,SAM!$B$7:$HA$7,0)),0)</f>
        <v>0</v>
      </c>
      <c r="BL55" s="45">
        <f>_xlfn.IFNA(INDEX(SAM!$B$8:$HA$215,MATCH($BC55,SAM!$A$8:$A$215,0),MATCH(BL$48,SAM!$B$7:$HA$7,0)),0)</f>
        <v>0</v>
      </c>
      <c r="BM55" s="45">
        <f>_xlfn.IFNA(INDEX(SAM!$B$8:$HA$215,MATCH($BC55,SAM!$A$8:$A$215,0),MATCH(BM$48,SAM!$B$7:$HA$7,0)),0)</f>
        <v>0</v>
      </c>
      <c r="BN55" s="45">
        <f>_xlfn.IFNA(INDEX(SAM!$B$8:$HA$215,MATCH($BC55,SAM!$A$8:$A$215,0),MATCH(BN$48,SAM!$B$7:$HA$7,0)),0)</f>
        <v>0</v>
      </c>
      <c r="BO55" s="45">
        <f>_xlfn.IFNA(INDEX(SAM!$B$8:$HA$215,MATCH($BC55,SAM!$A$8:$A$215,0),MATCH(BO$48,SAM!$B$7:$HA$7,0)),0)</f>
        <v>0</v>
      </c>
      <c r="BP55" s="45">
        <f>_xlfn.IFNA(INDEX(SAM!$B$8:$HA$215,MATCH($BC55,SAM!$A$8:$A$215,0),MATCH(BP$48,SAM!$B$7:$HA$7,0)),0)</f>
        <v>0</v>
      </c>
      <c r="BQ55" s="45">
        <f>_xlfn.IFNA(INDEX(SAM!$B$8:$HA$215,MATCH($BC55,SAM!$A$8:$A$215,0),MATCH(BQ$48,SAM!$B$7:$HA$7,0)),0)</f>
        <v>0</v>
      </c>
      <c r="BR55" s="45">
        <f>_xlfn.IFNA(INDEX(SAM!$B$8:$HA$215,MATCH($BC55,SAM!$A$8:$A$215,0),MATCH(BR$48,SAM!$B$7:$HA$7,0)),0)</f>
        <v>0</v>
      </c>
      <c r="BT55" t="str">
        <f t="shared" si="109"/>
        <v>cfveg</v>
      </c>
      <c r="BU55" s="7">
        <f t="shared" si="110"/>
        <v>33.300338830394097</v>
      </c>
      <c r="BW55" s="51" t="s">
        <v>727</v>
      </c>
      <c r="BX55" s="43">
        <f t="shared" si="116"/>
        <v>6.5341863701955119E-2</v>
      </c>
    </row>
    <row r="56" spans="1:76" x14ac:dyDescent="0.35">
      <c r="A56" t="s">
        <v>621</v>
      </c>
      <c r="B56" t="s">
        <v>700</v>
      </c>
      <c r="C56" s="18">
        <f t="shared" si="79"/>
        <v>0.85160248201198585</v>
      </c>
      <c r="D56" s="18">
        <f t="shared" si="80"/>
        <v>1.4047121300552292</v>
      </c>
      <c r="E56" s="18">
        <f t="shared" si="81"/>
        <v>1.6609050477223499</v>
      </c>
      <c r="F56" s="18">
        <f t="shared" si="82"/>
        <v>2.2843278496593213</v>
      </c>
      <c r="G56" s="18">
        <f t="shared" si="83"/>
        <v>2.3761817195939163</v>
      </c>
      <c r="H56" s="18">
        <f t="shared" si="84"/>
        <v>1.0543450553710267</v>
      </c>
      <c r="I56" s="18">
        <f t="shared" si="85"/>
        <v>0.88877151381013808</v>
      </c>
      <c r="J56" s="18">
        <f t="shared" si="86"/>
        <v>2.1731412239966774</v>
      </c>
      <c r="K56" s="18">
        <f t="shared" si="87"/>
        <v>1.2429773210609349</v>
      </c>
      <c r="L56" s="18">
        <f t="shared" si="88"/>
        <v>2.1253672245601716</v>
      </c>
      <c r="M56" s="18">
        <f t="shared" si="89"/>
        <v>0.92359740723769157</v>
      </c>
      <c r="N56" s="18">
        <f t="shared" si="90"/>
        <v>1.1720753802221096</v>
      </c>
      <c r="O56" s="18">
        <f t="shared" si="91"/>
        <v>1.3930142308319431</v>
      </c>
      <c r="P56" s="18">
        <f t="shared" si="92"/>
        <v>1.5675274360285445</v>
      </c>
      <c r="Q56" s="18">
        <f t="shared" si="93"/>
        <v>1.1067501341653698</v>
      </c>
      <c r="R56" s="18">
        <f t="shared" si="94"/>
        <v>1.4007632020168028</v>
      </c>
      <c r="T56" t="str">
        <f t="shared" si="111"/>
        <v>live</v>
      </c>
      <c r="U56" s="18">
        <f t="shared" si="112"/>
        <v>2.1106360586647774</v>
      </c>
      <c r="V56" s="18">
        <f t="shared" si="95"/>
        <v>5.1380456668860326</v>
      </c>
      <c r="W56" s="18">
        <f t="shared" si="96"/>
        <v>8.1421924141275692</v>
      </c>
      <c r="X56" s="18">
        <f t="shared" si="97"/>
        <v>11.650247968153355</v>
      </c>
      <c r="Y56" s="18">
        <f t="shared" si="98"/>
        <v>10.963482732539951</v>
      </c>
      <c r="Z56" s="18">
        <f t="shared" si="99"/>
        <v>0.90167825108843058</v>
      </c>
      <c r="AA56" s="18">
        <f t="shared" si="100"/>
        <v>0.96154439652710288</v>
      </c>
      <c r="AB56" s="18">
        <f t="shared" si="101"/>
        <v>2.9826485455414424</v>
      </c>
      <c r="AC56" s="18">
        <f t="shared" si="102"/>
        <v>4.5257870787914412</v>
      </c>
      <c r="AD56" s="18">
        <f t="shared" si="103"/>
        <v>7.1740253631320803</v>
      </c>
      <c r="AE56" s="18">
        <f t="shared" si="104"/>
        <v>0.4018682016601543</v>
      </c>
      <c r="AF56" s="18">
        <f t="shared" si="105"/>
        <v>1.2959345966384259</v>
      </c>
      <c r="AG56" s="18">
        <f t="shared" si="106"/>
        <v>3.277824376296588</v>
      </c>
      <c r="AH56" s="18">
        <f t="shared" si="107"/>
        <v>9.0728722779536781</v>
      </c>
      <c r="AI56" s="18">
        <f t="shared" si="108"/>
        <v>43.301349283425104</v>
      </c>
      <c r="AJ56" s="18">
        <f t="shared" si="113"/>
        <v>111.90013721142614</v>
      </c>
      <c r="AL56" t="str">
        <f t="shared" si="114"/>
        <v>clive</v>
      </c>
      <c r="AM56" s="18">
        <f>_xlfn.IFNA(INDEX(SAM!$B$8:$HA$215,MATCH($AL56,SAM!$A$8:$A$215,0),MATCH(AM$48,SAM!$B$7:$HA$7,0)),0)</f>
        <v>1.0841802309992929</v>
      </c>
      <c r="AN56" s="18">
        <f>_xlfn.IFNA(INDEX(SAM!$B$8:$HA$215,MATCH($AL56,SAM!$A$8:$A$215,0),MATCH(AN$48,SAM!$B$7:$HA$7,0)),0)</f>
        <v>2.1031620808873721</v>
      </c>
      <c r="AO56" s="18">
        <f>_xlfn.IFNA(INDEX(SAM!$B$8:$HA$215,MATCH($AL56,SAM!$A$8:$A$215,0),MATCH(AO$48,SAM!$B$7:$HA$7,0)),0)</f>
        <v>2.844733826778072</v>
      </c>
      <c r="AP56" s="18">
        <f>_xlfn.IFNA(INDEX(SAM!$B$8:$HA$215,MATCH($AL56,SAM!$A$8:$A$215,0),MATCH(AP$48,SAM!$B$7:$HA$7,0)),0)</f>
        <v>4.2791574931057283</v>
      </c>
      <c r="AQ56" s="18">
        <f>_xlfn.IFNA(INDEX(SAM!$B$8:$HA$215,MATCH($AL56,SAM!$A$8:$A$215,0),MATCH(AQ$48,SAM!$B$7:$HA$7,0)),0)</f>
        <v>4.2121176911080163</v>
      </c>
      <c r="AR56" s="18">
        <f>_xlfn.IFNA(INDEX(SAM!$B$8:$HA$215,MATCH($AL56,SAM!$A$8:$A$215,0),MATCH(AR$48,SAM!$B$7:$HA$7,0)),0)</f>
        <v>0.90167825108843058</v>
      </c>
      <c r="AS56" s="18">
        <f>_xlfn.IFNA(INDEX(SAM!$B$8:$HA$215,MATCH($AL56,SAM!$A$8:$A$215,0),MATCH(AS$48,SAM!$B$7:$HA$7,0)),0)</f>
        <v>0.96154439652710288</v>
      </c>
      <c r="AT56" s="18">
        <f>_xlfn.IFNA(INDEX(SAM!$B$8:$HA$215,MATCH($AL56,SAM!$A$8:$A$215,0),MATCH(AT$48,SAM!$B$7:$HA$7,0)),0)</f>
        <v>2.9826485455414424</v>
      </c>
      <c r="AU56" s="18">
        <f>_xlfn.IFNA(INDEX(SAM!$B$8:$HA$215,MATCH($AL56,SAM!$A$8:$A$215,0),MATCH(AU$48,SAM!$B$7:$HA$7,0)),0)</f>
        <v>4.5257870787914412</v>
      </c>
      <c r="AV56" s="18">
        <f>_xlfn.IFNA(INDEX(SAM!$B$8:$HA$215,MATCH($AL56,SAM!$A$8:$A$215,0),MATCH(AV$48,SAM!$B$7:$HA$7,0)),0)</f>
        <v>7.1740253631320803</v>
      </c>
      <c r="AW56" s="18">
        <f>_xlfn.IFNA(INDEX(SAM!$B$8:$HA$215,MATCH($AL56,SAM!$A$8:$A$215,0),MATCH(AW$48,SAM!$B$7:$HA$7,0)),0)</f>
        <v>0.36685503299179312</v>
      </c>
      <c r="AX56" s="18">
        <f>_xlfn.IFNA(INDEX(SAM!$B$8:$HA$215,MATCH($AL56,SAM!$A$8:$A$215,0),MATCH(AX$48,SAM!$B$7:$HA$7,0)),0)</f>
        <v>0.93632471276266871</v>
      </c>
      <c r="AY56" s="18">
        <f>_xlfn.IFNA(INDEX(SAM!$B$8:$HA$215,MATCH($AL56,SAM!$A$8:$A$215,0),MATCH(AY$48,SAM!$B$7:$HA$7,0)),0)</f>
        <v>2.6503329088453795</v>
      </c>
      <c r="AZ56" s="18">
        <f>_xlfn.IFNA(INDEX(SAM!$B$8:$HA$215,MATCH($AL56,SAM!$A$8:$A$215,0),MATCH(AZ$48,SAM!$B$7:$HA$7,0)),0)</f>
        <v>7.7297578813420902</v>
      </c>
      <c r="BA56" s="18">
        <f>_xlfn.IFNA(INDEX(SAM!$B$8:$HA$215,MATCH($AL56,SAM!$A$8:$A$215,0),MATCH(BA$48,SAM!$B$7:$HA$7,0)),0)</f>
        <v>39.962762786465149</v>
      </c>
      <c r="BB56" s="18"/>
      <c r="BC56" t="str">
        <f t="shared" si="115"/>
        <v>alive</v>
      </c>
      <c r="BD56" s="18">
        <f>_xlfn.IFNA(INDEX(SAM!$B$8:$HA$215,MATCH($BC56,SAM!$A$8:$A$215,0),MATCH(BD$48,SAM!$B$7:$HA$7,0)),0)</f>
        <v>1.0264558276654845</v>
      </c>
      <c r="BE56" s="18">
        <f>_xlfn.IFNA(INDEX(SAM!$B$8:$HA$215,MATCH($BC56,SAM!$A$8:$A$215,0),MATCH(BE$48,SAM!$B$7:$HA$7,0)),0)</f>
        <v>3.0348835859986609</v>
      </c>
      <c r="BF56" s="18">
        <f>_xlfn.IFNA(INDEX(SAM!$B$8:$HA$215,MATCH($BC56,SAM!$A$8:$A$215,0),MATCH(BF$48,SAM!$B$7:$HA$7,0)),0)</f>
        <v>5.2974585873494968</v>
      </c>
      <c r="BG56" s="18">
        <f>_xlfn.IFNA(INDEX(SAM!$B$8:$HA$215,MATCH($BC56,SAM!$A$8:$A$215,0),MATCH(BG$48,SAM!$B$7:$HA$7,0)),0)</f>
        <v>7.3710904750476276</v>
      </c>
      <c r="BH56" s="18">
        <f>_xlfn.IFNA(INDEX(SAM!$B$8:$HA$215,MATCH($BC56,SAM!$A$8:$A$215,0),MATCH(BH$48,SAM!$B$7:$HA$7,0)),0)</f>
        <v>6.7513650414319342</v>
      </c>
      <c r="BI56" s="18">
        <f>_xlfn.IFNA(INDEX(SAM!$B$8:$HA$215,MATCH($BC56,SAM!$A$8:$A$215,0),MATCH(BI$48,SAM!$B$7:$HA$7,0)),0)</f>
        <v>0</v>
      </c>
      <c r="BJ56" s="18">
        <f>_xlfn.IFNA(INDEX(SAM!$B$8:$HA$215,MATCH($BC56,SAM!$A$8:$A$215,0),MATCH(BJ$48,SAM!$B$7:$HA$7,0)),0)</f>
        <v>0</v>
      </c>
      <c r="BK56" s="18">
        <f>_xlfn.IFNA(INDEX(SAM!$B$8:$HA$215,MATCH($BC56,SAM!$A$8:$A$215,0),MATCH(BK$48,SAM!$B$7:$HA$7,0)),0)</f>
        <v>0</v>
      </c>
      <c r="BL56" s="18">
        <f>_xlfn.IFNA(INDEX(SAM!$B$8:$HA$215,MATCH($BC56,SAM!$A$8:$A$215,0),MATCH(BL$48,SAM!$B$7:$HA$7,0)),0)</f>
        <v>0</v>
      </c>
      <c r="BM56" s="18">
        <f>_xlfn.IFNA(INDEX(SAM!$B$8:$HA$215,MATCH($BC56,SAM!$A$8:$A$215,0),MATCH(BM$48,SAM!$B$7:$HA$7,0)),0)</f>
        <v>0</v>
      </c>
      <c r="BN56" s="18">
        <f>_xlfn.IFNA(INDEX(SAM!$B$8:$HA$215,MATCH($BC56,SAM!$A$8:$A$215,0),MATCH(BN$48,SAM!$B$7:$HA$7,0)),0)</f>
        <v>3.5013168668361197E-2</v>
      </c>
      <c r="BO56" s="18">
        <f>_xlfn.IFNA(INDEX(SAM!$B$8:$HA$215,MATCH($BC56,SAM!$A$8:$A$215,0),MATCH(BO$48,SAM!$B$7:$HA$7,0)),0)</f>
        <v>0.35960988387575721</v>
      </c>
      <c r="BP56" s="18">
        <f>_xlfn.IFNA(INDEX(SAM!$B$8:$HA$215,MATCH($BC56,SAM!$A$8:$A$215,0),MATCH(BP$48,SAM!$B$7:$HA$7,0)),0)</f>
        <v>0.62749146745120832</v>
      </c>
      <c r="BQ56" s="18">
        <f>_xlfn.IFNA(INDEX(SAM!$B$8:$HA$215,MATCH($BC56,SAM!$A$8:$A$215,0),MATCH(BQ$48,SAM!$B$7:$HA$7,0)),0)</f>
        <v>1.343114396611587</v>
      </c>
      <c r="BR56" s="18">
        <f>_xlfn.IFNA(INDEX(SAM!$B$8:$HA$215,MATCH($BC56,SAM!$A$8:$A$215,0),MATCH(BR$48,SAM!$B$7:$HA$7,0)),0)</f>
        <v>3.3385864969599566</v>
      </c>
      <c r="BT56" t="str">
        <f t="shared" si="109"/>
        <v>clive</v>
      </c>
      <c r="BU56" s="7">
        <f t="shared" si="110"/>
        <v>111.90013721142614</v>
      </c>
      <c r="BW56" s="51" t="s">
        <v>182</v>
      </c>
      <c r="BX56" s="43">
        <f t="shared" si="116"/>
        <v>0.17822971215165434</v>
      </c>
    </row>
    <row r="57" spans="1:76" x14ac:dyDescent="0.35">
      <c r="A57" t="str">
        <f t="shared" ref="A57:A63" si="117">HLOOKUP(B57,$B$6:$BR$9,4,FALSE)</f>
        <v>fish-meat-egg</v>
      </c>
      <c r="B57" t="s">
        <v>31</v>
      </c>
      <c r="C57" s="18">
        <f t="shared" si="79"/>
        <v>1.1803121407784969</v>
      </c>
      <c r="D57" s="18">
        <f t="shared" si="80"/>
        <v>1.0932063855659024</v>
      </c>
      <c r="E57" s="18">
        <f t="shared" si="81"/>
        <v>1.1244391932189672</v>
      </c>
      <c r="F57" s="18">
        <f t="shared" si="82"/>
        <v>0.94223644101377968</v>
      </c>
      <c r="G57" s="18">
        <f t="shared" si="83"/>
        <v>0.69419821662321157</v>
      </c>
      <c r="H57" s="18">
        <f t="shared" si="84"/>
        <v>1.1465816865519198</v>
      </c>
      <c r="I57" s="18">
        <f t="shared" si="85"/>
        <v>1.3745496579164973</v>
      </c>
      <c r="J57" s="18">
        <f t="shared" si="86"/>
        <v>1.4172832482399937</v>
      </c>
      <c r="K57" s="18">
        <f t="shared" si="87"/>
        <v>0.85274759217313978</v>
      </c>
      <c r="L57" s="18">
        <f t="shared" si="88"/>
        <v>0.96029348562088668</v>
      </c>
      <c r="M57" s="18">
        <f t="shared" si="89"/>
        <v>1.3458740863720919</v>
      </c>
      <c r="N57" s="18">
        <f t="shared" si="90"/>
        <v>1.501712984630857</v>
      </c>
      <c r="O57" s="18">
        <f t="shared" si="91"/>
        <v>2.011088159514713</v>
      </c>
      <c r="P57" s="18">
        <f t="shared" si="92"/>
        <v>1.8002941542403577</v>
      </c>
      <c r="Q57" s="18">
        <f t="shared" si="93"/>
        <v>0.67327343837234888</v>
      </c>
      <c r="R57" s="18">
        <f t="shared" si="94"/>
        <v>0.93814609502950208</v>
      </c>
      <c r="T57" t="str">
        <f t="shared" si="111"/>
        <v>fish</v>
      </c>
      <c r="U57" s="18">
        <f t="shared" si="112"/>
        <v>2.9253195210530754</v>
      </c>
      <c r="V57" s="18">
        <f t="shared" si="95"/>
        <v>3.9986444284126628</v>
      </c>
      <c r="W57" s="18">
        <f t="shared" si="96"/>
        <v>5.5122960109792425</v>
      </c>
      <c r="X57" s="18">
        <f t="shared" si="97"/>
        <v>4.8054784185544817</v>
      </c>
      <c r="Y57" s="18">
        <f t="shared" si="98"/>
        <v>3.2029663801172923</v>
      </c>
      <c r="Z57" s="18">
        <f t="shared" si="99"/>
        <v>0.98055922450961219</v>
      </c>
      <c r="AA57" s="18">
        <f t="shared" si="100"/>
        <v>1.4870982032848969</v>
      </c>
      <c r="AB57" s="18">
        <f t="shared" si="101"/>
        <v>1.9452292250058258</v>
      </c>
      <c r="AC57" s="18">
        <f t="shared" si="102"/>
        <v>3.1049271525192301</v>
      </c>
      <c r="AD57" s="18">
        <f t="shared" si="103"/>
        <v>3.2414021173778162</v>
      </c>
      <c r="AE57" s="18">
        <f t="shared" si="104"/>
        <v>0.58560580022520803</v>
      </c>
      <c r="AF57" s="18">
        <f t="shared" si="105"/>
        <v>1.6604066972514038</v>
      </c>
      <c r="AG57" s="18">
        <f t="shared" si="106"/>
        <v>4.7321797913018173</v>
      </c>
      <c r="AH57" s="18">
        <f t="shared" si="107"/>
        <v>10.420129529313046</v>
      </c>
      <c r="AI57" s="18">
        <f t="shared" si="108"/>
        <v>26.341671365776904</v>
      </c>
      <c r="AJ57" s="18">
        <f t="shared" si="113"/>
        <v>74.943913865682518</v>
      </c>
      <c r="AL57" t="str">
        <f t="shared" si="114"/>
        <v>cfish</v>
      </c>
      <c r="AM57" s="18">
        <f>_xlfn.IFNA(INDEX(SAM!$B$8:$HA$215,MATCH($AL57,SAM!$A$8:$A$215,0),MATCH(AM$48,SAM!$B$7:$HA$7,0)),0)</f>
        <v>2.661006109022062</v>
      </c>
      <c r="AN57" s="18">
        <f>_xlfn.IFNA(INDEX(SAM!$B$8:$HA$215,MATCH($AL57,SAM!$A$8:$A$215,0),MATCH(AN$48,SAM!$B$7:$HA$7,0)),0)</f>
        <v>3.930466458499585</v>
      </c>
      <c r="AO57" s="18">
        <f>_xlfn.IFNA(INDEX(SAM!$B$8:$HA$215,MATCH($AL57,SAM!$A$8:$A$215,0),MATCH(AO$48,SAM!$B$7:$HA$7,0)),0)</f>
        <v>5.4486788445431236</v>
      </c>
      <c r="AP57" s="18">
        <f>_xlfn.IFNA(INDEX(SAM!$B$8:$HA$215,MATCH($AL57,SAM!$A$8:$A$215,0),MATCH(AP$48,SAM!$B$7:$HA$7,0)),0)</f>
        <v>4.5664166464866822</v>
      </c>
      <c r="AQ57" s="18">
        <f>_xlfn.IFNA(INDEX(SAM!$B$8:$HA$215,MATCH($AL57,SAM!$A$8:$A$215,0),MATCH(AQ$48,SAM!$B$7:$HA$7,0)),0)</f>
        <v>3.0835354545419631</v>
      </c>
      <c r="AR57" s="18">
        <f>_xlfn.IFNA(INDEX(SAM!$B$8:$HA$215,MATCH($AL57,SAM!$A$8:$A$215,0),MATCH(AR$48,SAM!$B$7:$HA$7,0)),0)</f>
        <v>0.98055922450961219</v>
      </c>
      <c r="AS57" s="18">
        <f>_xlfn.IFNA(INDEX(SAM!$B$8:$HA$215,MATCH($AL57,SAM!$A$8:$A$215,0),MATCH(AS$48,SAM!$B$7:$HA$7,0)),0)</f>
        <v>1.4870982032848969</v>
      </c>
      <c r="AT57" s="18">
        <f>_xlfn.IFNA(INDEX(SAM!$B$8:$HA$215,MATCH($AL57,SAM!$A$8:$A$215,0),MATCH(AT$48,SAM!$B$7:$HA$7,0)),0)</f>
        <v>1.9452292250058258</v>
      </c>
      <c r="AU57" s="18">
        <f>_xlfn.IFNA(INDEX(SAM!$B$8:$HA$215,MATCH($AL57,SAM!$A$8:$A$215,0),MATCH(AU$48,SAM!$B$7:$HA$7,0)),0)</f>
        <v>3.1049271525192301</v>
      </c>
      <c r="AV57" s="18">
        <f>_xlfn.IFNA(INDEX(SAM!$B$8:$HA$215,MATCH($AL57,SAM!$A$8:$A$215,0),MATCH(AV$48,SAM!$B$7:$HA$7,0)),0)</f>
        <v>3.2414021173778162</v>
      </c>
      <c r="AW57" s="18">
        <f>_xlfn.IFNA(INDEX(SAM!$B$8:$HA$215,MATCH($AL57,SAM!$A$8:$A$215,0),MATCH(AW$48,SAM!$B$7:$HA$7,0)),0)</f>
        <v>0.57144009674691132</v>
      </c>
      <c r="AX57" s="18">
        <f>_xlfn.IFNA(INDEX(SAM!$B$8:$HA$215,MATCH($AL57,SAM!$A$8:$A$215,0),MATCH(AX$48,SAM!$B$7:$HA$7,0)),0)</f>
        <v>1.6604066972514038</v>
      </c>
      <c r="AY57" s="18">
        <f>_xlfn.IFNA(INDEX(SAM!$B$8:$HA$215,MATCH($AL57,SAM!$A$8:$A$215,0),MATCH(AY$48,SAM!$B$7:$HA$7,0)),0)</f>
        <v>4.6706476815607898</v>
      </c>
      <c r="AZ57" s="18">
        <f>_xlfn.IFNA(INDEX(SAM!$B$8:$HA$215,MATCH($AL57,SAM!$A$8:$A$215,0),MATCH(AZ$48,SAM!$B$7:$HA$7,0)),0)</f>
        <v>10.391291360822128</v>
      </c>
      <c r="BA57" s="18">
        <f>_xlfn.IFNA(INDEX(SAM!$B$8:$HA$215,MATCH($AL57,SAM!$A$8:$A$215,0),MATCH(BA$48,SAM!$B$7:$HA$7,0)),0)</f>
        <v>26.111592229473562</v>
      </c>
      <c r="BB57" s="18"/>
      <c r="BC57" t="str">
        <f t="shared" si="115"/>
        <v>afish</v>
      </c>
      <c r="BD57" s="18">
        <f>_xlfn.IFNA(INDEX(SAM!$B$8:$HA$215,MATCH($BC57,SAM!$A$8:$A$215,0),MATCH(BD$48,SAM!$B$7:$HA$7,0)),0)</f>
        <v>0.26431341203101316</v>
      </c>
      <c r="BE57" s="18">
        <f>_xlfn.IFNA(INDEX(SAM!$B$8:$HA$215,MATCH($BC57,SAM!$A$8:$A$215,0),MATCH(BE$48,SAM!$B$7:$HA$7,0)),0)</f>
        <v>6.817796991307784E-2</v>
      </c>
      <c r="BF57" s="18">
        <f>_xlfn.IFNA(INDEX(SAM!$B$8:$HA$215,MATCH($BC57,SAM!$A$8:$A$215,0),MATCH(BF$48,SAM!$B$7:$HA$7,0)),0)</f>
        <v>6.3617166436118644E-2</v>
      </c>
      <c r="BG57" s="18">
        <f>_xlfn.IFNA(INDEX(SAM!$B$8:$HA$215,MATCH($BC57,SAM!$A$8:$A$215,0),MATCH(BG$48,SAM!$B$7:$HA$7,0)),0)</f>
        <v>0.23906177206779949</v>
      </c>
      <c r="BH57" s="18">
        <f>_xlfn.IFNA(INDEX(SAM!$B$8:$HA$215,MATCH($BC57,SAM!$A$8:$A$215,0),MATCH(BH$48,SAM!$B$7:$HA$7,0)),0)</f>
        <v>0.11943092557532932</v>
      </c>
      <c r="BI57" s="18">
        <f>_xlfn.IFNA(INDEX(SAM!$B$8:$HA$215,MATCH($BC57,SAM!$A$8:$A$215,0),MATCH(BI$48,SAM!$B$7:$HA$7,0)),0)</f>
        <v>0</v>
      </c>
      <c r="BJ57" s="18">
        <f>_xlfn.IFNA(INDEX(SAM!$B$8:$HA$215,MATCH($BC57,SAM!$A$8:$A$215,0),MATCH(BJ$48,SAM!$B$7:$HA$7,0)),0)</f>
        <v>0</v>
      </c>
      <c r="BK57" s="18">
        <f>_xlfn.IFNA(INDEX(SAM!$B$8:$HA$215,MATCH($BC57,SAM!$A$8:$A$215,0),MATCH(BK$48,SAM!$B$7:$HA$7,0)),0)</f>
        <v>0</v>
      </c>
      <c r="BL57" s="18">
        <f>_xlfn.IFNA(INDEX(SAM!$B$8:$HA$215,MATCH($BC57,SAM!$A$8:$A$215,0),MATCH(BL$48,SAM!$B$7:$HA$7,0)),0)</f>
        <v>0</v>
      </c>
      <c r="BM57" s="18">
        <f>_xlfn.IFNA(INDEX(SAM!$B$8:$HA$215,MATCH($BC57,SAM!$A$8:$A$215,0),MATCH(BM$48,SAM!$B$7:$HA$7,0)),0)</f>
        <v>0</v>
      </c>
      <c r="BN57" s="18">
        <f>_xlfn.IFNA(INDEX(SAM!$B$8:$HA$215,MATCH($BC57,SAM!$A$8:$A$215,0),MATCH(BN$48,SAM!$B$7:$HA$7,0)),0)</f>
        <v>1.4165703478296716E-2</v>
      </c>
      <c r="BO57" s="18">
        <f>_xlfn.IFNA(INDEX(SAM!$B$8:$HA$215,MATCH($BC57,SAM!$A$8:$A$215,0),MATCH(BO$48,SAM!$B$7:$HA$7,0)),0)</f>
        <v>0</v>
      </c>
      <c r="BP57" s="18">
        <f>_xlfn.IFNA(INDEX(SAM!$B$8:$HA$215,MATCH($BC57,SAM!$A$8:$A$215,0),MATCH(BP$48,SAM!$B$7:$HA$7,0)),0)</f>
        <v>6.153210974102756E-2</v>
      </c>
      <c r="BQ57" s="18">
        <f>_xlfn.IFNA(INDEX(SAM!$B$8:$HA$215,MATCH($BC57,SAM!$A$8:$A$215,0),MATCH(BQ$48,SAM!$B$7:$HA$7,0)),0)</f>
        <v>2.8838168490917877E-2</v>
      </c>
      <c r="BR57" s="18">
        <f>_xlfn.IFNA(INDEX(SAM!$B$8:$HA$215,MATCH($BC57,SAM!$A$8:$A$215,0),MATCH(BR$48,SAM!$B$7:$HA$7,0)),0)</f>
        <v>0.23007913630334237</v>
      </c>
      <c r="BT57" t="str">
        <f t="shared" si="109"/>
        <v>cfish</v>
      </c>
      <c r="BU57" s="7">
        <f t="shared" si="110"/>
        <v>74.943913865682518</v>
      </c>
      <c r="BW57" s="51" t="s">
        <v>681</v>
      </c>
      <c r="BX57" s="43">
        <f t="shared" si="116"/>
        <v>1.4007632020168028</v>
      </c>
    </row>
    <row r="58" spans="1:76" x14ac:dyDescent="0.35">
      <c r="A58" t="str">
        <f t="shared" si="117"/>
        <v>fish-meat-egg</v>
      </c>
      <c r="B58" t="s">
        <v>32</v>
      </c>
      <c r="C58" s="18">
        <f t="shared" si="79"/>
        <v>2.6360428395564544</v>
      </c>
      <c r="D58" s="18">
        <f t="shared" si="80"/>
        <v>0.51148430151302471</v>
      </c>
      <c r="E58" s="18">
        <f t="shared" si="81"/>
        <v>0.80082293419270789</v>
      </c>
      <c r="F58" s="18">
        <f t="shared" si="82"/>
        <v>1.079799838046491</v>
      </c>
      <c r="G58" s="18">
        <f t="shared" si="83"/>
        <v>1.8337884290106237</v>
      </c>
      <c r="H58" s="18">
        <f t="shared" si="84"/>
        <v>0.29231826177372067</v>
      </c>
      <c r="I58" s="18">
        <f t="shared" si="85"/>
        <v>0.64310244396229732</v>
      </c>
      <c r="J58" s="18">
        <f t="shared" si="86"/>
        <v>0.21894660759095153</v>
      </c>
      <c r="K58" s="18">
        <f t="shared" si="87"/>
        <v>2.1402381861277542</v>
      </c>
      <c r="L58" s="18">
        <f t="shared" si="88"/>
        <v>4.6605778420684851</v>
      </c>
      <c r="M58" s="18">
        <f t="shared" si="89"/>
        <v>0</v>
      </c>
      <c r="N58" s="18">
        <f t="shared" si="90"/>
        <v>3.6662204566039601E-2</v>
      </c>
      <c r="O58" s="18">
        <f t="shared" si="91"/>
        <v>0.6923969327915761</v>
      </c>
      <c r="P58" s="18">
        <f t="shared" si="92"/>
        <v>1.398751585781459</v>
      </c>
      <c r="Q58" s="18">
        <f t="shared" si="93"/>
        <v>9.384416715621736</v>
      </c>
      <c r="R58" s="18">
        <f t="shared" si="94"/>
        <v>5.3576610965521549</v>
      </c>
      <c r="T58" t="str">
        <f t="shared" si="111"/>
        <v>meat</v>
      </c>
      <c r="U58" s="18">
        <f t="shared" si="112"/>
        <v>6.533244309255827</v>
      </c>
      <c r="V58" s="18">
        <f t="shared" si="95"/>
        <v>1.870867092865425</v>
      </c>
      <c r="W58" s="18">
        <f t="shared" si="96"/>
        <v>3.9258441828357058</v>
      </c>
      <c r="X58" s="18">
        <f t="shared" si="97"/>
        <v>5.5070623383108481</v>
      </c>
      <c r="Y58" s="18">
        <f t="shared" si="98"/>
        <v>8.4609302440157581</v>
      </c>
      <c r="Z58" s="18">
        <f t="shared" si="99"/>
        <v>0.24999123170790138</v>
      </c>
      <c r="AA58" s="18">
        <f t="shared" si="100"/>
        <v>0.6957598682859345</v>
      </c>
      <c r="AB58" s="18">
        <f t="shared" si="101"/>
        <v>0.30050544965566534</v>
      </c>
      <c r="AC58" s="18">
        <f t="shared" si="102"/>
        <v>7.7927908773471248</v>
      </c>
      <c r="AD58" s="18">
        <f t="shared" si="103"/>
        <v>15.73144784556929</v>
      </c>
      <c r="AE58" s="18">
        <f t="shared" si="104"/>
        <v>0</v>
      </c>
      <c r="AF58" s="18">
        <f t="shared" si="105"/>
        <v>4.0536487744638437E-2</v>
      </c>
      <c r="AG58" s="18">
        <f t="shared" si="106"/>
        <v>1.6292407458190739</v>
      </c>
      <c r="AH58" s="18">
        <f t="shared" si="107"/>
        <v>8.0959951288209862</v>
      </c>
      <c r="AI58" s="18">
        <f t="shared" si="108"/>
        <v>367.16318659477309</v>
      </c>
      <c r="AJ58" s="18">
        <f t="shared" si="113"/>
        <v>427.99740239700725</v>
      </c>
      <c r="AL58" t="str">
        <f t="shared" si="114"/>
        <v>cmeat</v>
      </c>
      <c r="AM58" s="18">
        <f>_xlfn.IFNA(INDEX(SAM!$B$8:$HA$215,MATCH($AL58,SAM!$A$8:$A$215,0),MATCH(AM$48,SAM!$B$7:$HA$7,0)),0)</f>
        <v>6.533244309255827</v>
      </c>
      <c r="AN58" s="18">
        <f>_xlfn.IFNA(INDEX(SAM!$B$8:$HA$215,MATCH($AL58,SAM!$A$8:$A$215,0),MATCH(AN$48,SAM!$B$7:$HA$7,0)),0)</f>
        <v>1.870867092865425</v>
      </c>
      <c r="AO58" s="18">
        <f>_xlfn.IFNA(INDEX(SAM!$B$8:$HA$215,MATCH($AL58,SAM!$A$8:$A$215,0),MATCH(AO$48,SAM!$B$7:$HA$7,0)),0)</f>
        <v>3.9258441828357058</v>
      </c>
      <c r="AP58" s="18">
        <f>_xlfn.IFNA(INDEX(SAM!$B$8:$HA$215,MATCH($AL58,SAM!$A$8:$A$215,0),MATCH(AP$48,SAM!$B$7:$HA$7,0)),0)</f>
        <v>5.5070623383108481</v>
      </c>
      <c r="AQ58" s="18">
        <f>_xlfn.IFNA(INDEX(SAM!$B$8:$HA$215,MATCH($AL58,SAM!$A$8:$A$215,0),MATCH(AQ$48,SAM!$B$7:$HA$7,0)),0)</f>
        <v>8.4609302440157581</v>
      </c>
      <c r="AR58" s="18">
        <f>_xlfn.IFNA(INDEX(SAM!$B$8:$HA$215,MATCH($AL58,SAM!$A$8:$A$215,0),MATCH(AR$48,SAM!$B$7:$HA$7,0)),0)</f>
        <v>0.24999123170790138</v>
      </c>
      <c r="AS58" s="18">
        <f>_xlfn.IFNA(INDEX(SAM!$B$8:$HA$215,MATCH($AL58,SAM!$A$8:$A$215,0),MATCH(AS$48,SAM!$B$7:$HA$7,0)),0)</f>
        <v>0.6957598682859345</v>
      </c>
      <c r="AT58" s="18">
        <f>_xlfn.IFNA(INDEX(SAM!$B$8:$HA$215,MATCH($AL58,SAM!$A$8:$A$215,0),MATCH(AT$48,SAM!$B$7:$HA$7,0)),0)</f>
        <v>0.30050544965566534</v>
      </c>
      <c r="AU58" s="18">
        <f>_xlfn.IFNA(INDEX(SAM!$B$8:$HA$215,MATCH($AL58,SAM!$A$8:$A$215,0),MATCH(AU$48,SAM!$B$7:$HA$7,0)),0)</f>
        <v>7.7927908773471248</v>
      </c>
      <c r="AV58" s="18">
        <f>_xlfn.IFNA(INDEX(SAM!$B$8:$HA$215,MATCH($AL58,SAM!$A$8:$A$215,0),MATCH(AV$48,SAM!$B$7:$HA$7,0)),0)</f>
        <v>15.73144784556929</v>
      </c>
      <c r="AW58" s="18">
        <f>_xlfn.IFNA(INDEX(SAM!$B$8:$HA$215,MATCH($AL58,SAM!$A$8:$A$215,0),MATCH(AW$48,SAM!$B$7:$HA$7,0)),0)</f>
        <v>0</v>
      </c>
      <c r="AX58" s="18">
        <f>_xlfn.IFNA(INDEX(SAM!$B$8:$HA$215,MATCH($AL58,SAM!$A$8:$A$215,0),MATCH(AX$48,SAM!$B$7:$HA$7,0)),0)</f>
        <v>4.0536487744638437E-2</v>
      </c>
      <c r="AY58" s="18">
        <f>_xlfn.IFNA(INDEX(SAM!$B$8:$HA$215,MATCH($AL58,SAM!$A$8:$A$215,0),MATCH(AY$48,SAM!$B$7:$HA$7,0)),0)</f>
        <v>1.6292407458190739</v>
      </c>
      <c r="AZ58" s="18">
        <f>_xlfn.IFNA(INDEX(SAM!$B$8:$HA$215,MATCH($AL58,SAM!$A$8:$A$215,0),MATCH(AZ$48,SAM!$B$7:$HA$7,0)),0)</f>
        <v>8.0959951288209862</v>
      </c>
      <c r="BA58" s="18">
        <f>_xlfn.IFNA(INDEX(SAM!$B$8:$HA$215,MATCH($AL58,SAM!$A$8:$A$215,0),MATCH(BA$48,SAM!$B$7:$HA$7,0)),0)</f>
        <v>367.16318659477309</v>
      </c>
      <c r="BB58" s="18"/>
      <c r="BC58" t="str">
        <f t="shared" si="115"/>
        <v>ameat</v>
      </c>
      <c r="BD58" s="18">
        <f>_xlfn.IFNA(INDEX(SAM!$B$8:$HA$215,MATCH($BC58,SAM!$A$8:$A$215,0),MATCH(BD$48,SAM!$B$7:$HA$7,0)),0)</f>
        <v>0</v>
      </c>
      <c r="BE58" s="18">
        <f>_xlfn.IFNA(INDEX(SAM!$B$8:$HA$215,MATCH($BC58,SAM!$A$8:$A$215,0),MATCH(BE$48,SAM!$B$7:$HA$7,0)),0)</f>
        <v>0</v>
      </c>
      <c r="BF58" s="18">
        <f>_xlfn.IFNA(INDEX(SAM!$B$8:$HA$215,MATCH($BC58,SAM!$A$8:$A$215,0),MATCH(BF$48,SAM!$B$7:$HA$7,0)),0)</f>
        <v>0</v>
      </c>
      <c r="BG58" s="18">
        <f>_xlfn.IFNA(INDEX(SAM!$B$8:$HA$215,MATCH($BC58,SAM!$A$8:$A$215,0),MATCH(BG$48,SAM!$B$7:$HA$7,0)),0)</f>
        <v>0</v>
      </c>
      <c r="BH58" s="18">
        <f>_xlfn.IFNA(INDEX(SAM!$B$8:$HA$215,MATCH($BC58,SAM!$A$8:$A$215,0),MATCH(BH$48,SAM!$B$7:$HA$7,0)),0)</f>
        <v>0</v>
      </c>
      <c r="BI58" s="18">
        <f>_xlfn.IFNA(INDEX(SAM!$B$8:$HA$215,MATCH($BC58,SAM!$A$8:$A$215,0),MATCH(BI$48,SAM!$B$7:$HA$7,0)),0)</f>
        <v>0</v>
      </c>
      <c r="BJ58" s="18">
        <f>_xlfn.IFNA(INDEX(SAM!$B$8:$HA$215,MATCH($BC58,SAM!$A$8:$A$215,0),MATCH(BJ$48,SAM!$B$7:$HA$7,0)),0)</f>
        <v>0</v>
      </c>
      <c r="BK58" s="18">
        <f>_xlfn.IFNA(INDEX(SAM!$B$8:$HA$215,MATCH($BC58,SAM!$A$8:$A$215,0),MATCH(BK$48,SAM!$B$7:$HA$7,0)),0)</f>
        <v>0</v>
      </c>
      <c r="BL58" s="18">
        <f>_xlfn.IFNA(INDEX(SAM!$B$8:$HA$215,MATCH($BC58,SAM!$A$8:$A$215,0),MATCH(BL$48,SAM!$B$7:$HA$7,0)),0)</f>
        <v>0</v>
      </c>
      <c r="BM58" s="18">
        <f>_xlfn.IFNA(INDEX(SAM!$B$8:$HA$215,MATCH($BC58,SAM!$A$8:$A$215,0),MATCH(BM$48,SAM!$B$7:$HA$7,0)),0)</f>
        <v>0</v>
      </c>
      <c r="BN58" s="18">
        <f>_xlfn.IFNA(INDEX(SAM!$B$8:$HA$215,MATCH($BC58,SAM!$A$8:$A$215,0),MATCH(BN$48,SAM!$B$7:$HA$7,0)),0)</f>
        <v>0</v>
      </c>
      <c r="BO58" s="18">
        <f>_xlfn.IFNA(INDEX(SAM!$B$8:$HA$215,MATCH($BC58,SAM!$A$8:$A$215,0),MATCH(BO$48,SAM!$B$7:$HA$7,0)),0)</f>
        <v>0</v>
      </c>
      <c r="BP58" s="18">
        <f>_xlfn.IFNA(INDEX(SAM!$B$8:$HA$215,MATCH($BC58,SAM!$A$8:$A$215,0),MATCH(BP$48,SAM!$B$7:$HA$7,0)),0)</f>
        <v>0</v>
      </c>
      <c r="BQ58" s="18">
        <f>_xlfn.IFNA(INDEX(SAM!$B$8:$HA$215,MATCH($BC58,SAM!$A$8:$A$215,0),MATCH(BQ$48,SAM!$B$7:$HA$7,0)),0)</f>
        <v>0</v>
      </c>
      <c r="BR58" s="18">
        <f>_xlfn.IFNA(INDEX(SAM!$B$8:$HA$215,MATCH($BC58,SAM!$A$8:$A$215,0),MATCH(BR$48,SAM!$B$7:$HA$7,0)),0)</f>
        <v>0</v>
      </c>
      <c r="BT58" t="str">
        <f t="shared" si="109"/>
        <v>cmeat</v>
      </c>
      <c r="BU58" s="7">
        <f t="shared" si="110"/>
        <v>427.99740239700725</v>
      </c>
      <c r="BW58" s="51" t="s">
        <v>289</v>
      </c>
      <c r="BX58" s="43">
        <f t="shared" si="116"/>
        <v>1.523755653884844</v>
      </c>
    </row>
    <row r="59" spans="1:76" x14ac:dyDescent="0.35">
      <c r="A59" s="26" t="str">
        <f t="shared" si="117"/>
        <v>fish-meat-egg</v>
      </c>
      <c r="B59" s="26" t="s">
        <v>498</v>
      </c>
      <c r="C59" s="45">
        <f t="shared" si="79"/>
        <v>0.26981016930797108</v>
      </c>
      <c r="D59" s="45">
        <f t="shared" si="80"/>
        <v>0.29726418843302027</v>
      </c>
      <c r="E59" s="45">
        <f t="shared" si="81"/>
        <v>0.2661845326427264</v>
      </c>
      <c r="F59" s="45">
        <f t="shared" si="82"/>
        <v>0.1959268885223881</v>
      </c>
      <c r="G59" s="45">
        <f t="shared" si="83"/>
        <v>0.14142510935092301</v>
      </c>
      <c r="H59" s="45">
        <f t="shared" si="84"/>
        <v>0.18203764756232049</v>
      </c>
      <c r="I59" s="45">
        <f t="shared" si="85"/>
        <v>0.21584222923110236</v>
      </c>
      <c r="J59" s="45">
        <f t="shared" si="86"/>
        <v>0.34496525032367992</v>
      </c>
      <c r="K59" s="45">
        <f t="shared" si="87"/>
        <v>0.13981310951481257</v>
      </c>
      <c r="L59" s="45">
        <f t="shared" si="88"/>
        <v>0.1575640259845566</v>
      </c>
      <c r="M59" s="45">
        <f t="shared" si="89"/>
        <v>0.2005399812540189</v>
      </c>
      <c r="N59" s="45">
        <f t="shared" si="90"/>
        <v>0.2226815280277365</v>
      </c>
      <c r="O59" s="45">
        <f t="shared" si="91"/>
        <v>0.1966777087854874</v>
      </c>
      <c r="P59" s="45">
        <f t="shared" si="92"/>
        <v>0.20754259661080954</v>
      </c>
      <c r="Q59" s="45">
        <f t="shared" si="93"/>
        <v>0.11433128545113436</v>
      </c>
      <c r="R59" s="45">
        <f t="shared" si="94"/>
        <v>0.16382240171693888</v>
      </c>
      <c r="S59" s="26"/>
      <c r="T59" s="26" t="str">
        <f t="shared" si="111"/>
        <v>fsea</v>
      </c>
      <c r="U59" s="45">
        <f t="shared" si="112"/>
        <v>0.6687052754830245</v>
      </c>
      <c r="V59" s="45">
        <f t="shared" si="95"/>
        <v>1.087309593630847</v>
      </c>
      <c r="W59" s="45">
        <f t="shared" si="96"/>
        <v>1.3049064336421998</v>
      </c>
      <c r="X59" s="45">
        <f t="shared" si="97"/>
        <v>0.99924222140660812</v>
      </c>
      <c r="Y59" s="45">
        <f t="shared" si="98"/>
        <v>0.65252237719487116</v>
      </c>
      <c r="Z59" s="45">
        <f t="shared" si="99"/>
        <v>0.15567900361469819</v>
      </c>
      <c r="AA59" s="45">
        <f t="shared" si="100"/>
        <v>0.23351545681449531</v>
      </c>
      <c r="AB59" s="45">
        <f t="shared" si="101"/>
        <v>0.47346674517911441</v>
      </c>
      <c r="AC59" s="45">
        <f t="shared" si="102"/>
        <v>0.50907152831050828</v>
      </c>
      <c r="AD59" s="45">
        <f t="shared" si="103"/>
        <v>0.53184612318670355</v>
      </c>
      <c r="AE59" s="45">
        <f t="shared" si="104"/>
        <v>8.7257327701411883E-2</v>
      </c>
      <c r="AF59" s="45">
        <f t="shared" si="105"/>
        <v>0.24621342711657904</v>
      </c>
      <c r="AG59" s="45">
        <f t="shared" si="106"/>
        <v>0.46279138709603562</v>
      </c>
      <c r="AH59" s="45">
        <f t="shared" si="107"/>
        <v>1.2012596577291725</v>
      </c>
      <c r="AI59" s="45">
        <f t="shared" si="108"/>
        <v>4.4731857467322591</v>
      </c>
      <c r="AJ59" s="45">
        <f t="shared" si="113"/>
        <v>13.086972304838527</v>
      </c>
      <c r="AK59" s="26"/>
      <c r="AL59" s="26" t="str">
        <f t="shared" si="114"/>
        <v>cfsea</v>
      </c>
      <c r="AM59" s="45">
        <f>_xlfn.IFNA(INDEX(SAM!$B$8:$HA$215,MATCH($AL59,SAM!$A$8:$A$215,0),MATCH(AM$48,SAM!$B$7:$HA$7,0)),0)</f>
        <v>0.6687052754830245</v>
      </c>
      <c r="AN59" s="45">
        <f>_xlfn.IFNA(INDEX(SAM!$B$8:$HA$215,MATCH($AL59,SAM!$A$8:$A$215,0),MATCH(AN$48,SAM!$B$7:$HA$7,0)),0)</f>
        <v>1.087309593630847</v>
      </c>
      <c r="AO59" s="45">
        <f>_xlfn.IFNA(INDEX(SAM!$B$8:$HA$215,MATCH($AL59,SAM!$A$8:$A$215,0),MATCH(AO$48,SAM!$B$7:$HA$7,0)),0)</f>
        <v>1.3049064336421998</v>
      </c>
      <c r="AP59" s="45">
        <f>_xlfn.IFNA(INDEX(SAM!$B$8:$HA$215,MATCH($AL59,SAM!$A$8:$A$215,0),MATCH(AP$48,SAM!$B$7:$HA$7,0)),0)</f>
        <v>0.99924222140660812</v>
      </c>
      <c r="AQ59" s="45">
        <f>_xlfn.IFNA(INDEX(SAM!$B$8:$HA$215,MATCH($AL59,SAM!$A$8:$A$215,0),MATCH(AQ$48,SAM!$B$7:$HA$7,0)),0)</f>
        <v>0.65252237719487116</v>
      </c>
      <c r="AR59" s="45">
        <f>_xlfn.IFNA(INDEX(SAM!$B$8:$HA$215,MATCH($AL59,SAM!$A$8:$A$215,0),MATCH(AR$48,SAM!$B$7:$HA$7,0)),0)</f>
        <v>0.15567900361469819</v>
      </c>
      <c r="AS59" s="45">
        <f>_xlfn.IFNA(INDEX(SAM!$B$8:$HA$215,MATCH($AL59,SAM!$A$8:$A$215,0),MATCH(AS$48,SAM!$B$7:$HA$7,0)),0)</f>
        <v>0.23351545681449531</v>
      </c>
      <c r="AT59" s="45">
        <f>_xlfn.IFNA(INDEX(SAM!$B$8:$HA$215,MATCH($AL59,SAM!$A$8:$A$215,0),MATCH(AT$48,SAM!$B$7:$HA$7,0)),0)</f>
        <v>0.47346674517911441</v>
      </c>
      <c r="AU59" s="45">
        <f>_xlfn.IFNA(INDEX(SAM!$B$8:$HA$215,MATCH($AL59,SAM!$A$8:$A$215,0),MATCH(AU$48,SAM!$B$7:$HA$7,0)),0)</f>
        <v>0.50907152831050828</v>
      </c>
      <c r="AV59" s="45">
        <f>_xlfn.IFNA(INDEX(SAM!$B$8:$HA$215,MATCH($AL59,SAM!$A$8:$A$215,0),MATCH(AV$48,SAM!$B$7:$HA$7,0)),0)</f>
        <v>0.53184612318670355</v>
      </c>
      <c r="AW59" s="45">
        <f>_xlfn.IFNA(INDEX(SAM!$B$8:$HA$215,MATCH($AL59,SAM!$A$8:$A$215,0),MATCH(AW$48,SAM!$B$7:$HA$7,0)),0)</f>
        <v>8.7257327701411883E-2</v>
      </c>
      <c r="AX59" s="45">
        <f>_xlfn.IFNA(INDEX(SAM!$B$8:$HA$215,MATCH($AL59,SAM!$A$8:$A$215,0),MATCH(AX$48,SAM!$B$7:$HA$7,0)),0)</f>
        <v>0.24621342711657904</v>
      </c>
      <c r="AY59" s="45">
        <f>_xlfn.IFNA(INDEX(SAM!$B$8:$HA$215,MATCH($AL59,SAM!$A$8:$A$215,0),MATCH(AY$48,SAM!$B$7:$HA$7,0)),0)</f>
        <v>0.46279138709603562</v>
      </c>
      <c r="AZ59" s="45">
        <f>_xlfn.IFNA(INDEX(SAM!$B$8:$HA$215,MATCH($AL59,SAM!$A$8:$A$215,0),MATCH(AZ$48,SAM!$B$7:$HA$7,0)),0)</f>
        <v>1.2012596577291725</v>
      </c>
      <c r="BA59" s="45">
        <f>_xlfn.IFNA(INDEX(SAM!$B$8:$HA$215,MATCH($AL59,SAM!$A$8:$A$215,0),MATCH(BA$48,SAM!$B$7:$HA$7,0)),0)</f>
        <v>4.4731857467322591</v>
      </c>
      <c r="BB59" s="45"/>
      <c r="BC59" s="26" t="str">
        <f t="shared" si="115"/>
        <v>afsea</v>
      </c>
      <c r="BD59" s="45">
        <f>_xlfn.IFNA(INDEX(SAM!$B$8:$HA$215,MATCH($BC59,SAM!$A$8:$A$215,0),MATCH(BD$48,SAM!$B$7:$HA$7,0)),0)</f>
        <v>0</v>
      </c>
      <c r="BE59" s="45">
        <f>_xlfn.IFNA(INDEX(SAM!$B$8:$HA$215,MATCH($BC59,SAM!$A$8:$A$215,0),MATCH(BE$48,SAM!$B$7:$HA$7,0)),0)</f>
        <v>0</v>
      </c>
      <c r="BF59" s="45">
        <f>_xlfn.IFNA(INDEX(SAM!$B$8:$HA$215,MATCH($BC59,SAM!$A$8:$A$215,0),MATCH(BF$48,SAM!$B$7:$HA$7,0)),0)</f>
        <v>0</v>
      </c>
      <c r="BG59" s="45">
        <f>_xlfn.IFNA(INDEX(SAM!$B$8:$HA$215,MATCH($BC59,SAM!$A$8:$A$215,0),MATCH(BG$48,SAM!$B$7:$HA$7,0)),0)</f>
        <v>0</v>
      </c>
      <c r="BH59" s="45">
        <f>_xlfn.IFNA(INDEX(SAM!$B$8:$HA$215,MATCH($BC59,SAM!$A$8:$A$215,0),MATCH(BH$48,SAM!$B$7:$HA$7,0)),0)</f>
        <v>0</v>
      </c>
      <c r="BI59" s="45">
        <f>_xlfn.IFNA(INDEX(SAM!$B$8:$HA$215,MATCH($BC59,SAM!$A$8:$A$215,0),MATCH(BI$48,SAM!$B$7:$HA$7,0)),0)</f>
        <v>0</v>
      </c>
      <c r="BJ59" s="45">
        <f>_xlfn.IFNA(INDEX(SAM!$B$8:$HA$215,MATCH($BC59,SAM!$A$8:$A$215,0),MATCH(BJ$48,SAM!$B$7:$HA$7,0)),0)</f>
        <v>0</v>
      </c>
      <c r="BK59" s="45">
        <f>_xlfn.IFNA(INDEX(SAM!$B$8:$HA$215,MATCH($BC59,SAM!$A$8:$A$215,0),MATCH(BK$48,SAM!$B$7:$HA$7,0)),0)</f>
        <v>0</v>
      </c>
      <c r="BL59" s="45">
        <f>_xlfn.IFNA(INDEX(SAM!$B$8:$HA$215,MATCH($BC59,SAM!$A$8:$A$215,0),MATCH(BL$48,SAM!$B$7:$HA$7,0)),0)</f>
        <v>0</v>
      </c>
      <c r="BM59" s="45">
        <f>_xlfn.IFNA(INDEX(SAM!$B$8:$HA$215,MATCH($BC59,SAM!$A$8:$A$215,0),MATCH(BM$48,SAM!$B$7:$HA$7,0)),0)</f>
        <v>0</v>
      </c>
      <c r="BN59" s="45">
        <f>_xlfn.IFNA(INDEX(SAM!$B$8:$HA$215,MATCH($BC59,SAM!$A$8:$A$215,0),MATCH(BN$48,SAM!$B$7:$HA$7,0)),0)</f>
        <v>0</v>
      </c>
      <c r="BO59" s="45">
        <f>_xlfn.IFNA(INDEX(SAM!$B$8:$HA$215,MATCH($BC59,SAM!$A$8:$A$215,0),MATCH(BO$48,SAM!$B$7:$HA$7,0)),0)</f>
        <v>0</v>
      </c>
      <c r="BP59" s="45">
        <f>_xlfn.IFNA(INDEX(SAM!$B$8:$HA$215,MATCH($BC59,SAM!$A$8:$A$215,0),MATCH(BP$48,SAM!$B$7:$HA$7,0)),0)</f>
        <v>0</v>
      </c>
      <c r="BQ59" s="45">
        <f>_xlfn.IFNA(INDEX(SAM!$B$8:$HA$215,MATCH($BC59,SAM!$A$8:$A$215,0),MATCH(BQ$48,SAM!$B$7:$HA$7,0)),0)</f>
        <v>0</v>
      </c>
      <c r="BR59" s="45">
        <f>_xlfn.IFNA(INDEX(SAM!$B$8:$HA$215,MATCH($BC59,SAM!$A$8:$A$215,0),MATCH(BR$48,SAM!$B$7:$HA$7,0)),0)</f>
        <v>0</v>
      </c>
      <c r="BT59" t="str">
        <f t="shared" si="109"/>
        <v>cfsea</v>
      </c>
      <c r="BU59" s="7">
        <f t="shared" si="110"/>
        <v>13.086972304838527</v>
      </c>
      <c r="BW59" s="51" t="s">
        <v>183</v>
      </c>
      <c r="BX59" s="43">
        <f t="shared" si="116"/>
        <v>2.008542414035376</v>
      </c>
    </row>
    <row r="60" spans="1:76" x14ac:dyDescent="0.35">
      <c r="A60" t="str">
        <f t="shared" si="117"/>
        <v>diary</v>
      </c>
      <c r="B60" t="s">
        <v>496</v>
      </c>
      <c r="C60" s="18">
        <f t="shared" si="79"/>
        <v>2.9986938570078703</v>
      </c>
      <c r="D60" s="18">
        <f t="shared" si="80"/>
        <v>2.5590917410547851</v>
      </c>
      <c r="E60" s="18">
        <f t="shared" si="81"/>
        <v>2.3452900632136342</v>
      </c>
      <c r="F60" s="18">
        <f t="shared" si="82"/>
        <v>2.2360387835510163</v>
      </c>
      <c r="G60" s="18">
        <f t="shared" si="83"/>
        <v>1.5218461937531633</v>
      </c>
      <c r="H60" s="18">
        <f t="shared" si="84"/>
        <v>2.1192685962627111</v>
      </c>
      <c r="I60" s="18">
        <f t="shared" si="85"/>
        <v>2.4293827669984398</v>
      </c>
      <c r="J60" s="18">
        <f t="shared" si="86"/>
        <v>2.3440456367097746</v>
      </c>
      <c r="K60" s="18">
        <f t="shared" si="87"/>
        <v>1.238774695393648</v>
      </c>
      <c r="L60" s="18">
        <f t="shared" si="88"/>
        <v>1.4085193899835919</v>
      </c>
      <c r="M60" s="18">
        <f t="shared" si="89"/>
        <v>1.8749749701685918</v>
      </c>
      <c r="N60" s="18">
        <f t="shared" si="90"/>
        <v>2.142539324290492</v>
      </c>
      <c r="O60" s="18">
        <f t="shared" si="91"/>
        <v>2.3553429166365301</v>
      </c>
      <c r="P60" s="18">
        <f t="shared" si="92"/>
        <v>2.0611798303925437</v>
      </c>
      <c r="Q60" s="18">
        <f t="shared" si="93"/>
        <v>0.95668668530419498</v>
      </c>
      <c r="R60" s="18">
        <f t="shared" si="94"/>
        <v>1.5237556538848442</v>
      </c>
      <c r="T60" t="str">
        <f t="shared" si="111"/>
        <v>milk</v>
      </c>
      <c r="U60" s="18">
        <f t="shared" si="112"/>
        <v>7.4320490101722045</v>
      </c>
      <c r="V60" s="18">
        <f t="shared" si="95"/>
        <v>9.3604447131622628</v>
      </c>
      <c r="W60" s="18">
        <f t="shared" si="96"/>
        <v>11.497227362764342</v>
      </c>
      <c r="X60" s="18">
        <f t="shared" si="97"/>
        <v>11.403970011862533</v>
      </c>
      <c r="Y60" s="18">
        <f t="shared" si="98"/>
        <v>7.021657615329957</v>
      </c>
      <c r="Z60" s="18">
        <f t="shared" si="99"/>
        <v>1.8124032466698907</v>
      </c>
      <c r="AA60" s="18">
        <f t="shared" si="100"/>
        <v>2.6283013691704262</v>
      </c>
      <c r="AB60" s="18">
        <f t="shared" si="101"/>
        <v>3.2172158126736932</v>
      </c>
      <c r="AC60" s="18">
        <f t="shared" si="102"/>
        <v>4.5104849581334641</v>
      </c>
      <c r="AD60" s="18">
        <f t="shared" si="103"/>
        <v>4.7543566643156057</v>
      </c>
      <c r="AE60" s="18">
        <f t="shared" si="104"/>
        <v>0.81582387901348774</v>
      </c>
      <c r="AF60" s="18">
        <f t="shared" si="105"/>
        <v>2.3689524427005688</v>
      </c>
      <c r="AG60" s="18">
        <f t="shared" si="106"/>
        <v>5.5422265299313587</v>
      </c>
      <c r="AH60" s="18">
        <f t="shared" si="107"/>
        <v>11.930139730393361</v>
      </c>
      <c r="AI60" s="18">
        <f t="shared" si="108"/>
        <v>37.430150705515359</v>
      </c>
      <c r="AJ60" s="18">
        <f t="shared" si="113"/>
        <v>121.72540405180852</v>
      </c>
      <c r="AL60" t="str">
        <f t="shared" si="114"/>
        <v>cmilk</v>
      </c>
      <c r="AM60" s="18">
        <f>_xlfn.IFNA(INDEX(SAM!$B$8:$HA$215,MATCH($AL60,SAM!$A$8:$A$215,0),MATCH(AM$48,SAM!$B$7:$HA$7,0)),0)</f>
        <v>2.715153700686785</v>
      </c>
      <c r="AN60" s="18">
        <f>_xlfn.IFNA(INDEX(SAM!$B$8:$HA$215,MATCH($AL60,SAM!$A$8:$A$215,0),MATCH(AN$48,SAM!$B$7:$HA$7,0)),0)</f>
        <v>3.8109821446885053</v>
      </c>
      <c r="AO60" s="18">
        <f>_xlfn.IFNA(INDEX(SAM!$B$8:$HA$215,MATCH($AL60,SAM!$A$8:$A$215,0),MATCH(AO$48,SAM!$B$7:$HA$7,0)),0)</f>
        <v>4.7225074426026898</v>
      </c>
      <c r="AP60" s="18">
        <f>_xlfn.IFNA(INDEX(SAM!$B$8:$HA$215,MATCH($AL60,SAM!$A$8:$A$215,0),MATCH(AP$48,SAM!$B$7:$HA$7,0)),0)</f>
        <v>4.2883771834237541</v>
      </c>
      <c r="AQ60" s="18">
        <f>_xlfn.IFNA(INDEX(SAM!$B$8:$HA$215,MATCH($AL60,SAM!$A$8:$A$215,0),MATCH(AQ$48,SAM!$B$7:$HA$7,0)),0)</f>
        <v>2.5279718839626275</v>
      </c>
      <c r="AR60" s="18">
        <f>_xlfn.IFNA(INDEX(SAM!$B$8:$HA$215,MATCH($AL60,SAM!$A$8:$A$215,0),MATCH(AR$48,SAM!$B$7:$HA$7,0)),0)</f>
        <v>1.8124032466698907</v>
      </c>
      <c r="AS60" s="18">
        <f>_xlfn.IFNA(INDEX(SAM!$B$8:$HA$215,MATCH($AL60,SAM!$A$8:$A$215,0),MATCH(AS$48,SAM!$B$7:$HA$7,0)),0)</f>
        <v>2.6283013691704262</v>
      </c>
      <c r="AT60" s="18">
        <f>_xlfn.IFNA(INDEX(SAM!$B$8:$HA$215,MATCH($AL60,SAM!$A$8:$A$215,0),MATCH(AT$48,SAM!$B$7:$HA$7,0)),0)</f>
        <v>3.2172158126736932</v>
      </c>
      <c r="AU60" s="18">
        <f>_xlfn.IFNA(INDEX(SAM!$B$8:$HA$215,MATCH($AL60,SAM!$A$8:$A$215,0),MATCH(AU$48,SAM!$B$7:$HA$7,0)),0)</f>
        <v>4.5104849581334641</v>
      </c>
      <c r="AV60" s="18">
        <f>_xlfn.IFNA(INDEX(SAM!$B$8:$HA$215,MATCH($AL60,SAM!$A$8:$A$215,0),MATCH(AV$48,SAM!$B$7:$HA$7,0)),0)</f>
        <v>4.7543566643156057</v>
      </c>
      <c r="AW60" s="18">
        <f>_xlfn.IFNA(INDEX(SAM!$B$8:$HA$215,MATCH($AL60,SAM!$A$8:$A$215,0),MATCH(AW$48,SAM!$B$7:$HA$7,0)),0)</f>
        <v>0.63869591371446066</v>
      </c>
      <c r="AX60" s="18">
        <f>_xlfn.IFNA(INDEX(SAM!$B$8:$HA$215,MATCH($AL60,SAM!$A$8:$A$215,0),MATCH(AX$48,SAM!$B$7:$HA$7,0)),0)</f>
        <v>1.9226708453795012</v>
      </c>
      <c r="AY60" s="18">
        <f>_xlfn.IFNA(INDEX(SAM!$B$8:$HA$215,MATCH($AL60,SAM!$A$8:$A$215,0),MATCH(AY$48,SAM!$B$7:$HA$7,0)),0)</f>
        <v>4.6563830124844374</v>
      </c>
      <c r="AZ60" s="18">
        <f>_xlfn.IFNA(INDEX(SAM!$B$8:$HA$215,MATCH($AL60,SAM!$A$8:$A$215,0),MATCH(AZ$48,SAM!$B$7:$HA$7,0)),0)</f>
        <v>10.91224636582446</v>
      </c>
      <c r="BA60" s="18">
        <f>_xlfn.IFNA(INDEX(SAM!$B$8:$HA$215,MATCH($AL60,SAM!$A$8:$A$215,0),MATCH(BA$48,SAM!$B$7:$HA$7,0)),0)</f>
        <v>35.607596022043211</v>
      </c>
      <c r="BB60" s="18"/>
      <c r="BC60" t="str">
        <f t="shared" si="115"/>
        <v>amilk</v>
      </c>
      <c r="BD60" s="18">
        <f>_xlfn.IFNA(INDEX(SAM!$B$8:$HA$215,MATCH($BC60,SAM!$A$8:$A$215,0),MATCH(BD$48,SAM!$B$7:$HA$7,0)),0)</f>
        <v>4.7168953094854196</v>
      </c>
      <c r="BE60" s="18">
        <f>_xlfn.IFNA(INDEX(SAM!$B$8:$HA$215,MATCH($BC60,SAM!$A$8:$A$215,0),MATCH(BE$48,SAM!$B$7:$HA$7,0)),0)</f>
        <v>5.549462568473758</v>
      </c>
      <c r="BF60" s="18">
        <f>_xlfn.IFNA(INDEX(SAM!$B$8:$HA$215,MATCH($BC60,SAM!$A$8:$A$215,0),MATCH(BF$48,SAM!$B$7:$HA$7,0)),0)</f>
        <v>6.7747199201616519</v>
      </c>
      <c r="BG60" s="18">
        <f>_xlfn.IFNA(INDEX(SAM!$B$8:$HA$215,MATCH($BC60,SAM!$A$8:$A$215,0),MATCH(BG$48,SAM!$B$7:$HA$7,0)),0)</f>
        <v>7.1155928284387793</v>
      </c>
      <c r="BH60" s="18">
        <f>_xlfn.IFNA(INDEX(SAM!$B$8:$HA$215,MATCH($BC60,SAM!$A$8:$A$215,0),MATCH(BH$48,SAM!$B$7:$HA$7,0)),0)</f>
        <v>4.4936857313673295</v>
      </c>
      <c r="BI60" s="18">
        <f>_xlfn.IFNA(INDEX(SAM!$B$8:$HA$215,MATCH($BC60,SAM!$A$8:$A$215,0),MATCH(BI$48,SAM!$B$7:$HA$7,0)),0)</f>
        <v>0</v>
      </c>
      <c r="BJ60" s="18">
        <f>_xlfn.IFNA(INDEX(SAM!$B$8:$HA$215,MATCH($BC60,SAM!$A$8:$A$215,0),MATCH(BJ$48,SAM!$B$7:$HA$7,0)),0)</f>
        <v>0</v>
      </c>
      <c r="BK60" s="18">
        <f>_xlfn.IFNA(INDEX(SAM!$B$8:$HA$215,MATCH($BC60,SAM!$A$8:$A$215,0),MATCH(BK$48,SAM!$B$7:$HA$7,0)),0)</f>
        <v>0</v>
      </c>
      <c r="BL60" s="18">
        <f>_xlfn.IFNA(INDEX(SAM!$B$8:$HA$215,MATCH($BC60,SAM!$A$8:$A$215,0),MATCH(BL$48,SAM!$B$7:$HA$7,0)),0)</f>
        <v>0</v>
      </c>
      <c r="BM60" s="18">
        <f>_xlfn.IFNA(INDEX(SAM!$B$8:$HA$215,MATCH($BC60,SAM!$A$8:$A$215,0),MATCH(BM$48,SAM!$B$7:$HA$7,0)),0)</f>
        <v>0</v>
      </c>
      <c r="BN60" s="18">
        <f>_xlfn.IFNA(INDEX(SAM!$B$8:$HA$215,MATCH($BC60,SAM!$A$8:$A$215,0),MATCH(BN$48,SAM!$B$7:$HA$7,0)),0)</f>
        <v>0.17712796529902708</v>
      </c>
      <c r="BO60" s="18">
        <f>_xlfn.IFNA(INDEX(SAM!$B$8:$HA$215,MATCH($BC60,SAM!$A$8:$A$215,0),MATCH(BO$48,SAM!$B$7:$HA$7,0)),0)</f>
        <v>0.44628159732106781</v>
      </c>
      <c r="BP60" s="18">
        <f>_xlfn.IFNA(INDEX(SAM!$B$8:$HA$215,MATCH($BC60,SAM!$A$8:$A$215,0),MATCH(BP$48,SAM!$B$7:$HA$7,0)),0)</f>
        <v>0.88584351744692114</v>
      </c>
      <c r="BQ60" s="18">
        <f>_xlfn.IFNA(INDEX(SAM!$B$8:$HA$215,MATCH($BC60,SAM!$A$8:$A$215,0),MATCH(BQ$48,SAM!$B$7:$HA$7,0)),0)</f>
        <v>1.0178933645689006</v>
      </c>
      <c r="BR60" s="18">
        <f>_xlfn.IFNA(INDEX(SAM!$B$8:$HA$215,MATCH($BC60,SAM!$A$8:$A$215,0),MATCH(BR$48,SAM!$B$7:$HA$7,0)),0)</f>
        <v>1.8225546834721491</v>
      </c>
      <c r="BT60" t="str">
        <f t="shared" si="109"/>
        <v>cmilk</v>
      </c>
      <c r="BU60" s="7">
        <f t="shared" si="110"/>
        <v>121.72540405180851</v>
      </c>
      <c r="BW60" s="51" t="s">
        <v>184</v>
      </c>
      <c r="BX60" s="43">
        <f t="shared" si="116"/>
        <v>0.93814609502950208</v>
      </c>
    </row>
    <row r="61" spans="1:76" x14ac:dyDescent="0.35">
      <c r="A61" s="26" t="str">
        <f t="shared" si="117"/>
        <v>diary</v>
      </c>
      <c r="B61" s="26" t="s">
        <v>500</v>
      </c>
      <c r="C61" s="45">
        <f t="shared" si="79"/>
        <v>1.3566691989563571</v>
      </c>
      <c r="D61" s="45">
        <f t="shared" si="80"/>
        <v>1.5407716488782603</v>
      </c>
      <c r="E61" s="45">
        <f t="shared" si="81"/>
        <v>1.2548739276232108</v>
      </c>
      <c r="F61" s="45">
        <f t="shared" si="82"/>
        <v>1.5683642895590733</v>
      </c>
      <c r="G61" s="45">
        <f t="shared" si="83"/>
        <v>1.1775144544737395</v>
      </c>
      <c r="H61" s="45">
        <f t="shared" si="84"/>
        <v>1.9983023641756512</v>
      </c>
      <c r="I61" s="45">
        <f t="shared" si="85"/>
        <v>1.1938104029256067</v>
      </c>
      <c r="J61" s="45">
        <f t="shared" si="86"/>
        <v>1.9347034613730287</v>
      </c>
      <c r="K61" s="45">
        <f t="shared" si="87"/>
        <v>0.8234432203055555</v>
      </c>
      <c r="L61" s="45">
        <f t="shared" si="88"/>
        <v>1.9050592790447676</v>
      </c>
      <c r="M61" s="45">
        <f t="shared" si="89"/>
        <v>1.9977528743809418</v>
      </c>
      <c r="N61" s="45">
        <f t="shared" si="90"/>
        <v>1.8096748256016892</v>
      </c>
      <c r="O61" s="45">
        <f t="shared" si="91"/>
        <v>1.78561144155664</v>
      </c>
      <c r="P61" s="45">
        <f t="shared" si="92"/>
        <v>1.5942865374699855</v>
      </c>
      <c r="Q61" s="45">
        <f t="shared" si="93"/>
        <v>1.2796983770063923</v>
      </c>
      <c r="R61" s="45">
        <f t="shared" si="94"/>
        <v>1.3773971001907148</v>
      </c>
      <c r="S61" s="26"/>
      <c r="T61" s="26" t="str">
        <f t="shared" si="111"/>
        <v>dair</v>
      </c>
      <c r="U61" s="45">
        <f t="shared" si="112"/>
        <v>3.3624079209257696</v>
      </c>
      <c r="V61" s="45">
        <f t="shared" si="95"/>
        <v>5.6357134852025066</v>
      </c>
      <c r="W61" s="45">
        <f t="shared" si="96"/>
        <v>6.1517213089283116</v>
      </c>
      <c r="X61" s="45">
        <f t="shared" si="97"/>
        <v>7.9987786693949756</v>
      </c>
      <c r="Y61" s="45">
        <f t="shared" si="98"/>
        <v>5.4329428100916761</v>
      </c>
      <c r="Z61" s="45">
        <f t="shared" si="99"/>
        <v>1.7089526542538866</v>
      </c>
      <c r="AA61" s="45">
        <f t="shared" si="100"/>
        <v>1.2915599629513983</v>
      </c>
      <c r="AB61" s="45">
        <f t="shared" si="101"/>
        <v>2.655391376040217</v>
      </c>
      <c r="AC61" s="45">
        <f t="shared" si="102"/>
        <v>2.9982274201080137</v>
      </c>
      <c r="AD61" s="45">
        <f t="shared" si="103"/>
        <v>6.4303916180722824</v>
      </c>
      <c r="AE61" s="45">
        <f t="shared" si="104"/>
        <v>0.8692460033966517</v>
      </c>
      <c r="AF61" s="45">
        <f t="shared" si="105"/>
        <v>2.0009124453398357</v>
      </c>
      <c r="AG61" s="45">
        <f t="shared" si="106"/>
        <v>4.2016230560924948</v>
      </c>
      <c r="AH61" s="45">
        <f t="shared" si="107"/>
        <v>9.227754357891051</v>
      </c>
      <c r="AI61" s="45">
        <f t="shared" si="108"/>
        <v>50.067910262305233</v>
      </c>
      <c r="AJ61" s="45">
        <f t="shared" si="113"/>
        <v>110.0335333509943</v>
      </c>
      <c r="AK61" s="26"/>
      <c r="AL61" s="26" t="str">
        <f t="shared" si="114"/>
        <v>cdair</v>
      </c>
      <c r="AM61" s="45">
        <f>_xlfn.IFNA(INDEX(SAM!$B$8:$HA$215,MATCH($AL61,SAM!$A$8:$A$215,0),MATCH(AM$48,SAM!$B$7:$HA$7,0)),0)</f>
        <v>3.3624079209257696</v>
      </c>
      <c r="AN61" s="45">
        <f>_xlfn.IFNA(INDEX(SAM!$B$8:$HA$215,MATCH($AL61,SAM!$A$8:$A$215,0),MATCH(AN$48,SAM!$B$7:$HA$7,0)),0)</f>
        <v>5.6357134852025066</v>
      </c>
      <c r="AO61" s="45">
        <f>_xlfn.IFNA(INDEX(SAM!$B$8:$HA$215,MATCH($AL61,SAM!$A$8:$A$215,0),MATCH(AO$48,SAM!$B$7:$HA$7,0)),0)</f>
        <v>6.1517213089283116</v>
      </c>
      <c r="AP61" s="45">
        <f>_xlfn.IFNA(INDEX(SAM!$B$8:$HA$215,MATCH($AL61,SAM!$A$8:$A$215,0),MATCH(AP$48,SAM!$B$7:$HA$7,0)),0)</f>
        <v>7.9987786693949756</v>
      </c>
      <c r="AQ61" s="45">
        <f>_xlfn.IFNA(INDEX(SAM!$B$8:$HA$215,MATCH($AL61,SAM!$A$8:$A$215,0),MATCH(AQ$48,SAM!$B$7:$HA$7,0)),0)</f>
        <v>5.4329428100916761</v>
      </c>
      <c r="AR61" s="45">
        <f>_xlfn.IFNA(INDEX(SAM!$B$8:$HA$215,MATCH($AL61,SAM!$A$8:$A$215,0),MATCH(AR$48,SAM!$B$7:$HA$7,0)),0)</f>
        <v>1.7089526542538866</v>
      </c>
      <c r="AS61" s="45">
        <f>_xlfn.IFNA(INDEX(SAM!$B$8:$HA$215,MATCH($AL61,SAM!$A$8:$A$215,0),MATCH(AS$48,SAM!$B$7:$HA$7,0)),0)</f>
        <v>1.2915599629513983</v>
      </c>
      <c r="AT61" s="45">
        <f>_xlfn.IFNA(INDEX(SAM!$B$8:$HA$215,MATCH($AL61,SAM!$A$8:$A$215,0),MATCH(AT$48,SAM!$B$7:$HA$7,0)),0)</f>
        <v>2.655391376040217</v>
      </c>
      <c r="AU61" s="45">
        <f>_xlfn.IFNA(INDEX(SAM!$B$8:$HA$215,MATCH($AL61,SAM!$A$8:$A$215,0),MATCH(AU$48,SAM!$B$7:$HA$7,0)),0)</f>
        <v>2.9982274201080137</v>
      </c>
      <c r="AV61" s="45">
        <f>_xlfn.IFNA(INDEX(SAM!$B$8:$HA$215,MATCH($AL61,SAM!$A$8:$A$215,0),MATCH(AV$48,SAM!$B$7:$HA$7,0)),0)</f>
        <v>6.4303916180722824</v>
      </c>
      <c r="AW61" s="45">
        <f>_xlfn.IFNA(INDEX(SAM!$B$8:$HA$215,MATCH($AL61,SAM!$A$8:$A$215,0),MATCH(AW$48,SAM!$B$7:$HA$7,0)),0)</f>
        <v>0.8692460033966517</v>
      </c>
      <c r="AX61" s="45">
        <f>_xlfn.IFNA(INDEX(SAM!$B$8:$HA$215,MATCH($AL61,SAM!$A$8:$A$215,0),MATCH(AX$48,SAM!$B$7:$HA$7,0)),0)</f>
        <v>2.0009124453398357</v>
      </c>
      <c r="AY61" s="45">
        <f>_xlfn.IFNA(INDEX(SAM!$B$8:$HA$215,MATCH($AL61,SAM!$A$8:$A$215,0),MATCH(AY$48,SAM!$B$7:$HA$7,0)),0)</f>
        <v>4.2016230560924948</v>
      </c>
      <c r="AZ61" s="45">
        <f>_xlfn.IFNA(INDEX(SAM!$B$8:$HA$215,MATCH($AL61,SAM!$A$8:$A$215,0),MATCH(AZ$48,SAM!$B$7:$HA$7,0)),0)</f>
        <v>9.227754357891051</v>
      </c>
      <c r="BA61" s="45">
        <f>_xlfn.IFNA(INDEX(SAM!$B$8:$HA$215,MATCH($AL61,SAM!$A$8:$A$215,0),MATCH(BA$48,SAM!$B$7:$HA$7,0)),0)</f>
        <v>50.067910262305233</v>
      </c>
      <c r="BB61" s="45"/>
      <c r="BC61" s="26" t="str">
        <f t="shared" si="115"/>
        <v>adair</v>
      </c>
      <c r="BD61" s="45">
        <f>_xlfn.IFNA(INDEX(SAM!$B$8:$HA$215,MATCH($BC61,SAM!$A$8:$A$215,0),MATCH(BD$48,SAM!$B$7:$HA$7,0)),0)</f>
        <v>0</v>
      </c>
      <c r="BE61" s="45">
        <f>_xlfn.IFNA(INDEX(SAM!$B$8:$HA$215,MATCH($BC61,SAM!$A$8:$A$215,0),MATCH(BE$48,SAM!$B$7:$HA$7,0)),0)</f>
        <v>0</v>
      </c>
      <c r="BF61" s="45">
        <f>_xlfn.IFNA(INDEX(SAM!$B$8:$HA$215,MATCH($BC61,SAM!$A$8:$A$215,0),MATCH(BF$48,SAM!$B$7:$HA$7,0)),0)</f>
        <v>0</v>
      </c>
      <c r="BG61" s="45">
        <f>_xlfn.IFNA(INDEX(SAM!$B$8:$HA$215,MATCH($BC61,SAM!$A$8:$A$215,0),MATCH(BG$48,SAM!$B$7:$HA$7,0)),0)</f>
        <v>0</v>
      </c>
      <c r="BH61" s="45">
        <f>_xlfn.IFNA(INDEX(SAM!$B$8:$HA$215,MATCH($BC61,SAM!$A$8:$A$215,0),MATCH(BH$48,SAM!$B$7:$HA$7,0)),0)</f>
        <v>0</v>
      </c>
      <c r="BI61" s="45">
        <f>_xlfn.IFNA(INDEX(SAM!$B$8:$HA$215,MATCH($BC61,SAM!$A$8:$A$215,0),MATCH(BI$48,SAM!$B$7:$HA$7,0)),0)</f>
        <v>0</v>
      </c>
      <c r="BJ61" s="45">
        <f>_xlfn.IFNA(INDEX(SAM!$B$8:$HA$215,MATCH($BC61,SAM!$A$8:$A$215,0),MATCH(BJ$48,SAM!$B$7:$HA$7,0)),0)</f>
        <v>0</v>
      </c>
      <c r="BK61" s="45">
        <f>_xlfn.IFNA(INDEX(SAM!$B$8:$HA$215,MATCH($BC61,SAM!$A$8:$A$215,0),MATCH(BK$48,SAM!$B$7:$HA$7,0)),0)</f>
        <v>0</v>
      </c>
      <c r="BL61" s="45">
        <f>_xlfn.IFNA(INDEX(SAM!$B$8:$HA$215,MATCH($BC61,SAM!$A$8:$A$215,0),MATCH(BL$48,SAM!$B$7:$HA$7,0)),0)</f>
        <v>0</v>
      </c>
      <c r="BM61" s="45">
        <f>_xlfn.IFNA(INDEX(SAM!$B$8:$HA$215,MATCH($BC61,SAM!$A$8:$A$215,0),MATCH(BM$48,SAM!$B$7:$HA$7,0)),0)</f>
        <v>0</v>
      </c>
      <c r="BN61" s="45">
        <f>_xlfn.IFNA(INDEX(SAM!$B$8:$HA$215,MATCH($BC61,SAM!$A$8:$A$215,0),MATCH(BN$48,SAM!$B$7:$HA$7,0)),0)</f>
        <v>0</v>
      </c>
      <c r="BO61" s="45">
        <f>_xlfn.IFNA(INDEX(SAM!$B$8:$HA$215,MATCH($BC61,SAM!$A$8:$A$215,0),MATCH(BO$48,SAM!$B$7:$HA$7,0)),0)</f>
        <v>0</v>
      </c>
      <c r="BP61" s="45">
        <f>_xlfn.IFNA(INDEX(SAM!$B$8:$HA$215,MATCH($BC61,SAM!$A$8:$A$215,0),MATCH(BP$48,SAM!$B$7:$HA$7,0)),0)</f>
        <v>0</v>
      </c>
      <c r="BQ61" s="45">
        <f>_xlfn.IFNA(INDEX(SAM!$B$8:$HA$215,MATCH($BC61,SAM!$A$8:$A$215,0),MATCH(BQ$48,SAM!$B$7:$HA$7,0)),0)</f>
        <v>0</v>
      </c>
      <c r="BR61" s="45">
        <f>_xlfn.IFNA(INDEX(SAM!$B$8:$HA$215,MATCH($BC61,SAM!$A$8:$A$215,0),MATCH(BR$48,SAM!$B$7:$HA$7,0)),0)</f>
        <v>0</v>
      </c>
      <c r="BT61" t="str">
        <f t="shared" si="109"/>
        <v>cdair</v>
      </c>
      <c r="BU61" s="7">
        <f t="shared" si="110"/>
        <v>110.0335333509943</v>
      </c>
      <c r="BW61" s="51" t="s">
        <v>682</v>
      </c>
      <c r="BX61" s="43">
        <f t="shared" si="116"/>
        <v>0</v>
      </c>
    </row>
    <row r="62" spans="1:76" x14ac:dyDescent="0.35">
      <c r="A62" t="str">
        <f t="shared" si="117"/>
        <v>fats &amp; oils</v>
      </c>
      <c r="B62" t="s">
        <v>25</v>
      </c>
      <c r="C62" s="18">
        <f t="shared" si="79"/>
        <v>0.17501174224253352</v>
      </c>
      <c r="D62" s="18">
        <f t="shared" si="80"/>
        <v>0.20841442966351256</v>
      </c>
      <c r="E62" s="18">
        <f t="shared" si="81"/>
        <v>0.20278491381318564</v>
      </c>
      <c r="F62" s="18">
        <f t="shared" si="82"/>
        <v>0.25593900614811421</v>
      </c>
      <c r="G62" s="18">
        <f t="shared" si="83"/>
        <v>0.16597517915597332</v>
      </c>
      <c r="H62" s="18">
        <f t="shared" si="84"/>
        <v>0.1297260546512656</v>
      </c>
      <c r="I62" s="18">
        <f t="shared" si="85"/>
        <v>0.14008799975087877</v>
      </c>
      <c r="J62" s="18">
        <f t="shared" si="86"/>
        <v>0.20991759304650626</v>
      </c>
      <c r="K62" s="18">
        <f t="shared" si="87"/>
        <v>0.13394633614407747</v>
      </c>
      <c r="L62" s="18">
        <f t="shared" si="88"/>
        <v>0.17302903190742111</v>
      </c>
      <c r="M62" s="18">
        <f t="shared" si="89"/>
        <v>0.1690531323184167</v>
      </c>
      <c r="N62" s="18">
        <f t="shared" si="90"/>
        <v>0.15283044039461033</v>
      </c>
      <c r="O62" s="18">
        <f t="shared" si="91"/>
        <v>0.18535648030857785</v>
      </c>
      <c r="P62" s="18">
        <f t="shared" si="92"/>
        <v>0.2070292654689625</v>
      </c>
      <c r="Q62" s="18">
        <f t="shared" si="93"/>
        <v>0.11227779898563328</v>
      </c>
      <c r="R62" s="18">
        <f t="shared" si="94"/>
        <v>0.15213692260384756</v>
      </c>
      <c r="T62" t="str">
        <f t="shared" si="111"/>
        <v>oils</v>
      </c>
      <c r="U62" s="18">
        <f t="shared" si="112"/>
        <v>0.43375413020653686</v>
      </c>
      <c r="V62" s="18">
        <f t="shared" si="95"/>
        <v>0.76232192656230002</v>
      </c>
      <c r="W62" s="18">
        <f t="shared" si="96"/>
        <v>0.99410486422053801</v>
      </c>
      <c r="X62" s="18">
        <f t="shared" si="97"/>
        <v>1.3053086433249708</v>
      </c>
      <c r="Y62" s="18">
        <f t="shared" si="98"/>
        <v>0.76579412917027034</v>
      </c>
      <c r="Z62" s="18">
        <f t="shared" si="99"/>
        <v>0.11094201227831706</v>
      </c>
      <c r="AA62" s="18">
        <f t="shared" si="100"/>
        <v>0.15155844791164497</v>
      </c>
      <c r="AB62" s="18">
        <f t="shared" si="101"/>
        <v>0.28811307643974804</v>
      </c>
      <c r="AC62" s="18">
        <f t="shared" si="102"/>
        <v>0.48771010307323392</v>
      </c>
      <c r="AD62" s="18">
        <f t="shared" si="103"/>
        <v>0.58404714682607828</v>
      </c>
      <c r="AE62" s="18">
        <f t="shared" si="104"/>
        <v>7.355702575325046E-2</v>
      </c>
      <c r="AF62" s="18">
        <f t="shared" si="105"/>
        <v>0.16898081682197785</v>
      </c>
      <c r="AG62" s="18">
        <f t="shared" si="106"/>
        <v>0.43615203349153242</v>
      </c>
      <c r="AH62" s="18">
        <f t="shared" si="107"/>
        <v>1.1982884893915553</v>
      </c>
      <c r="AI62" s="18">
        <f t="shared" si="108"/>
        <v>4.3928435520972391</v>
      </c>
      <c r="AJ62" s="18">
        <f t="shared" si="113"/>
        <v>12.153476397569193</v>
      </c>
      <c r="AL62" t="str">
        <f t="shared" si="114"/>
        <v>coils</v>
      </c>
      <c r="AM62" s="18">
        <f>_xlfn.IFNA(INDEX(SAM!$B$8:$HA$215,MATCH($AL62,SAM!$A$8:$A$215,0),MATCH(AM$48,SAM!$B$7:$HA$7,0)),0)</f>
        <v>0.28601491822410968</v>
      </c>
      <c r="AN62" s="18">
        <f>_xlfn.IFNA(INDEX(SAM!$B$8:$HA$215,MATCH($AL62,SAM!$A$8:$A$215,0),MATCH(AN$48,SAM!$B$7:$HA$7,0)),0)</f>
        <v>0.41840204591139296</v>
      </c>
      <c r="AO62" s="18">
        <f>_xlfn.IFNA(INDEX(SAM!$B$8:$HA$215,MATCH($AL62,SAM!$A$8:$A$215,0),MATCH(AO$48,SAM!$B$7:$HA$7,0)),0)</f>
        <v>0.47052482907879734</v>
      </c>
      <c r="AP62" s="18">
        <f>_xlfn.IFNA(INDEX(SAM!$B$8:$HA$215,MATCH($AL62,SAM!$A$8:$A$215,0),MATCH(AP$48,SAM!$B$7:$HA$7,0)),0)</f>
        <v>0.52109738633179103</v>
      </c>
      <c r="AQ62" s="18">
        <f>_xlfn.IFNA(INDEX(SAM!$B$8:$HA$215,MATCH($AL62,SAM!$A$8:$A$215,0),MATCH(AQ$48,SAM!$B$7:$HA$7,0)),0)</f>
        <v>0.50854674774889896</v>
      </c>
      <c r="AR62" s="18">
        <f>_xlfn.IFNA(INDEX(SAM!$B$8:$HA$215,MATCH($AL62,SAM!$A$8:$A$215,0),MATCH(AR$48,SAM!$B$7:$HA$7,0)),0)</f>
        <v>0.11094201227831706</v>
      </c>
      <c r="AS62" s="18">
        <f>_xlfn.IFNA(INDEX(SAM!$B$8:$HA$215,MATCH($AL62,SAM!$A$8:$A$215,0),MATCH(AS$48,SAM!$B$7:$HA$7,0)),0)</f>
        <v>0.15155844791164497</v>
      </c>
      <c r="AT62" s="18">
        <f>_xlfn.IFNA(INDEX(SAM!$B$8:$HA$215,MATCH($AL62,SAM!$A$8:$A$215,0),MATCH(AT$48,SAM!$B$7:$HA$7,0)),0)</f>
        <v>0.28811307643974804</v>
      </c>
      <c r="AU62" s="18">
        <f>_xlfn.IFNA(INDEX(SAM!$B$8:$HA$215,MATCH($AL62,SAM!$A$8:$A$215,0),MATCH(AU$48,SAM!$B$7:$HA$7,0)),0)</f>
        <v>0.48771010307323392</v>
      </c>
      <c r="AV62" s="18">
        <f>_xlfn.IFNA(INDEX(SAM!$B$8:$HA$215,MATCH($AL62,SAM!$A$8:$A$215,0),MATCH(AV$48,SAM!$B$7:$HA$7,0)),0)</f>
        <v>0.58404714682607828</v>
      </c>
      <c r="AW62" s="18">
        <f>_xlfn.IFNA(INDEX(SAM!$B$8:$HA$215,MATCH($AL62,SAM!$A$8:$A$215,0),MATCH(AW$48,SAM!$B$7:$HA$7,0)),0)</f>
        <v>5.7484255177766133E-2</v>
      </c>
      <c r="AX62" s="18">
        <f>_xlfn.IFNA(INDEX(SAM!$B$8:$HA$215,MATCH($AL62,SAM!$A$8:$A$215,0),MATCH(AX$48,SAM!$B$7:$HA$7,0)),0)</f>
        <v>0.13448362596257574</v>
      </c>
      <c r="AY62" s="18">
        <f>_xlfn.IFNA(INDEX(SAM!$B$8:$HA$215,MATCH($AL62,SAM!$A$8:$A$215,0),MATCH(AY$48,SAM!$B$7:$HA$7,0)),0)</f>
        <v>0.30225925120627695</v>
      </c>
      <c r="AZ62" s="18">
        <f>_xlfn.IFNA(INDEX(SAM!$B$8:$HA$215,MATCH($AL62,SAM!$A$8:$A$215,0),MATCH(AZ$48,SAM!$B$7:$HA$7,0)),0)</f>
        <v>1.0048053804098449</v>
      </c>
      <c r="BA62" s="18">
        <f>_xlfn.IFNA(INDEX(SAM!$B$8:$HA$215,MATCH($AL62,SAM!$A$8:$A$215,0),MATCH(BA$48,SAM!$B$7:$HA$7,0)),0)</f>
        <v>4.2349364404379752</v>
      </c>
      <c r="BB62" s="18"/>
      <c r="BC62" t="str">
        <f t="shared" si="115"/>
        <v>aoils</v>
      </c>
      <c r="BD62" s="18">
        <f>_xlfn.IFNA(INDEX(SAM!$B$8:$HA$215,MATCH($BC62,SAM!$A$8:$A$215,0),MATCH(BD$48,SAM!$B$7:$HA$7,0)),0)</f>
        <v>0.14773921198242718</v>
      </c>
      <c r="BE62" s="18">
        <f>_xlfn.IFNA(INDEX(SAM!$B$8:$HA$215,MATCH($BC62,SAM!$A$8:$A$215,0),MATCH(BE$48,SAM!$B$7:$HA$7,0)),0)</f>
        <v>0.34391988065090706</v>
      </c>
      <c r="BF62" s="18">
        <f>_xlfn.IFNA(INDEX(SAM!$B$8:$HA$215,MATCH($BC62,SAM!$A$8:$A$215,0),MATCH(BF$48,SAM!$B$7:$HA$7,0)),0)</f>
        <v>0.52358003514174067</v>
      </c>
      <c r="BG62" s="18">
        <f>_xlfn.IFNA(INDEX(SAM!$B$8:$HA$215,MATCH($BC62,SAM!$A$8:$A$215,0),MATCH(BG$48,SAM!$B$7:$HA$7,0)),0)</f>
        <v>0.78421125699317973</v>
      </c>
      <c r="BH62" s="18">
        <f>_xlfn.IFNA(INDEX(SAM!$B$8:$HA$215,MATCH($BC62,SAM!$A$8:$A$215,0),MATCH(BH$48,SAM!$B$7:$HA$7,0)),0)</f>
        <v>0.25724738142137138</v>
      </c>
      <c r="BI62" s="18">
        <f>_xlfn.IFNA(INDEX(SAM!$B$8:$HA$215,MATCH($BC62,SAM!$A$8:$A$215,0),MATCH(BI$48,SAM!$B$7:$HA$7,0)),0)</f>
        <v>0</v>
      </c>
      <c r="BJ62" s="18">
        <f>_xlfn.IFNA(INDEX(SAM!$B$8:$HA$215,MATCH($BC62,SAM!$A$8:$A$215,0),MATCH(BJ$48,SAM!$B$7:$HA$7,0)),0)</f>
        <v>0</v>
      </c>
      <c r="BK62" s="18">
        <f>_xlfn.IFNA(INDEX(SAM!$B$8:$HA$215,MATCH($BC62,SAM!$A$8:$A$215,0),MATCH(BK$48,SAM!$B$7:$HA$7,0)),0)</f>
        <v>0</v>
      </c>
      <c r="BL62" s="18">
        <f>_xlfn.IFNA(INDEX(SAM!$B$8:$HA$215,MATCH($BC62,SAM!$A$8:$A$215,0),MATCH(BL$48,SAM!$B$7:$HA$7,0)),0)</f>
        <v>0</v>
      </c>
      <c r="BM62" s="18">
        <f>_xlfn.IFNA(INDEX(SAM!$B$8:$HA$215,MATCH($BC62,SAM!$A$8:$A$215,0),MATCH(BM$48,SAM!$B$7:$HA$7,0)),0)</f>
        <v>0</v>
      </c>
      <c r="BN62" s="18">
        <f>_xlfn.IFNA(INDEX(SAM!$B$8:$HA$215,MATCH($BC62,SAM!$A$8:$A$215,0),MATCH(BN$48,SAM!$B$7:$HA$7,0)),0)</f>
        <v>1.607277057548432E-2</v>
      </c>
      <c r="BO62" s="18">
        <f>_xlfn.IFNA(INDEX(SAM!$B$8:$HA$215,MATCH($BC62,SAM!$A$8:$A$215,0),MATCH(BO$48,SAM!$B$7:$HA$7,0)),0)</f>
        <v>3.449719085940213E-2</v>
      </c>
      <c r="BP62" s="18">
        <f>_xlfn.IFNA(INDEX(SAM!$B$8:$HA$215,MATCH($BC62,SAM!$A$8:$A$215,0),MATCH(BP$48,SAM!$B$7:$HA$7,0)),0)</f>
        <v>0.1338927822852555</v>
      </c>
      <c r="BQ62" s="18">
        <f>_xlfn.IFNA(INDEX(SAM!$B$8:$HA$215,MATCH($BC62,SAM!$A$8:$A$215,0),MATCH(BQ$48,SAM!$B$7:$HA$7,0)),0)</f>
        <v>0.19348310898171034</v>
      </c>
      <c r="BR62" s="18">
        <f>_xlfn.IFNA(INDEX(SAM!$B$8:$HA$215,MATCH($BC62,SAM!$A$8:$A$215,0),MATCH(BR$48,SAM!$B$7:$HA$7,0)),0)</f>
        <v>0.15790711165926408</v>
      </c>
      <c r="BT62" t="str">
        <f t="shared" si="109"/>
        <v>coils</v>
      </c>
      <c r="BU62" s="7">
        <f t="shared" si="110"/>
        <v>12.153476397569195</v>
      </c>
      <c r="BW62" s="51" t="s">
        <v>683</v>
      </c>
      <c r="BX62" s="43">
        <f t="shared" si="116"/>
        <v>0</v>
      </c>
    </row>
    <row r="63" spans="1:76" x14ac:dyDescent="0.35">
      <c r="A63" s="26" t="str">
        <f t="shared" si="117"/>
        <v>fats &amp; oils</v>
      </c>
      <c r="B63" s="26" t="s">
        <v>34</v>
      </c>
      <c r="C63" s="45">
        <f t="shared" si="79"/>
        <v>2.5716245758221157</v>
      </c>
      <c r="D63" s="45">
        <f t="shared" si="80"/>
        <v>2.096114778178658</v>
      </c>
      <c r="E63" s="45">
        <f t="shared" si="81"/>
        <v>1.6821830045018504</v>
      </c>
      <c r="F63" s="45">
        <f t="shared" si="82"/>
        <v>1.6759614209801743</v>
      </c>
      <c r="G63" s="45">
        <f t="shared" si="83"/>
        <v>1.2277370120231033</v>
      </c>
      <c r="H63" s="45">
        <f t="shared" si="84"/>
        <v>2.4881636053364096</v>
      </c>
      <c r="I63" s="45">
        <f t="shared" si="85"/>
        <v>2.1696573386958211</v>
      </c>
      <c r="J63" s="45">
        <f t="shared" si="86"/>
        <v>2.008716795567608</v>
      </c>
      <c r="K63" s="45">
        <f t="shared" si="87"/>
        <v>1.0552728202025061</v>
      </c>
      <c r="L63" s="45">
        <f t="shared" si="88"/>
        <v>1.1500322864838131</v>
      </c>
      <c r="M63" s="45">
        <f t="shared" si="89"/>
        <v>3.1025047146993834</v>
      </c>
      <c r="N63" s="45">
        <f t="shared" si="90"/>
        <v>2.5904961037632743</v>
      </c>
      <c r="O63" s="45">
        <f t="shared" si="91"/>
        <v>2.1683935390287186</v>
      </c>
      <c r="P63" s="45">
        <f t="shared" si="92"/>
        <v>1.7874985172066455</v>
      </c>
      <c r="Q63" s="45">
        <f t="shared" si="93"/>
        <v>0.82587464264479249</v>
      </c>
      <c r="R63" s="45">
        <f t="shared" si="94"/>
        <v>1.2947390862775676</v>
      </c>
      <c r="S63" s="26"/>
      <c r="T63" s="26" t="str">
        <f t="shared" si="111"/>
        <v>foil</v>
      </c>
      <c r="U63" s="45">
        <f t="shared" si="112"/>
        <v>6.3735882336264469</v>
      </c>
      <c r="V63" s="45">
        <f t="shared" si="95"/>
        <v>7.6670039525416414</v>
      </c>
      <c r="W63" s="45">
        <f t="shared" si="96"/>
        <v>8.2465025422205418</v>
      </c>
      <c r="X63" s="45">
        <f t="shared" si="97"/>
        <v>8.5475323265833527</v>
      </c>
      <c r="Y63" s="45">
        <f t="shared" si="98"/>
        <v>5.6646650466260704</v>
      </c>
      <c r="Z63" s="45">
        <f t="shared" si="99"/>
        <v>2.1278830840555476</v>
      </c>
      <c r="AA63" s="45">
        <f t="shared" si="100"/>
        <v>2.3473095435555762</v>
      </c>
      <c r="AB63" s="45">
        <f t="shared" si="101"/>
        <v>2.7569750932641424</v>
      </c>
      <c r="AC63" s="45">
        <f t="shared" si="102"/>
        <v>3.8423388853111446</v>
      </c>
      <c r="AD63" s="45">
        <f t="shared" si="103"/>
        <v>3.8818518966118911</v>
      </c>
      <c r="AE63" s="45">
        <f t="shared" si="104"/>
        <v>1.349936650501578</v>
      </c>
      <c r="AF63" s="45">
        <f t="shared" si="105"/>
        <v>2.8642471124064532</v>
      </c>
      <c r="AG63" s="45">
        <f t="shared" si="106"/>
        <v>5.1023263383228432</v>
      </c>
      <c r="AH63" s="45">
        <f t="shared" si="107"/>
        <v>10.346068190510545</v>
      </c>
      <c r="AI63" s="45">
        <f t="shared" si="108"/>
        <v>32.31215905155932</v>
      </c>
      <c r="AJ63" s="45">
        <f t="shared" si="113"/>
        <v>103.4303879476971</v>
      </c>
      <c r="AK63" s="26"/>
      <c r="AL63" s="26" t="str">
        <f t="shared" si="114"/>
        <v>cfoil</v>
      </c>
      <c r="AM63" s="45">
        <f>_xlfn.IFNA(INDEX(SAM!$B$8:$HA$215,MATCH($AL63,SAM!$A$8:$A$215,0),MATCH(AM$48,SAM!$B$7:$HA$7,0)),0)</f>
        <v>6.3735882336264469</v>
      </c>
      <c r="AN63" s="45">
        <f>_xlfn.IFNA(INDEX(SAM!$B$8:$HA$215,MATCH($AL63,SAM!$A$8:$A$215,0),MATCH(AN$48,SAM!$B$7:$HA$7,0)),0)</f>
        <v>7.6670039525416414</v>
      </c>
      <c r="AO63" s="45">
        <f>_xlfn.IFNA(INDEX(SAM!$B$8:$HA$215,MATCH($AL63,SAM!$A$8:$A$215,0),MATCH(AO$48,SAM!$B$7:$HA$7,0)),0)</f>
        <v>8.2465025422205418</v>
      </c>
      <c r="AP63" s="45">
        <f>_xlfn.IFNA(INDEX(SAM!$B$8:$HA$215,MATCH($AL63,SAM!$A$8:$A$215,0),MATCH(AP$48,SAM!$B$7:$HA$7,0)),0)</f>
        <v>8.5475323265833527</v>
      </c>
      <c r="AQ63" s="45">
        <f>_xlfn.IFNA(INDEX(SAM!$B$8:$HA$215,MATCH($AL63,SAM!$A$8:$A$215,0),MATCH(AQ$48,SAM!$B$7:$HA$7,0)),0)</f>
        <v>5.6646650466260704</v>
      </c>
      <c r="AR63" s="45">
        <f>_xlfn.IFNA(INDEX(SAM!$B$8:$HA$215,MATCH($AL63,SAM!$A$8:$A$215,0),MATCH(AR$48,SAM!$B$7:$HA$7,0)),0)</f>
        <v>2.1278830840555476</v>
      </c>
      <c r="AS63" s="45">
        <f>_xlfn.IFNA(INDEX(SAM!$B$8:$HA$215,MATCH($AL63,SAM!$A$8:$A$215,0),MATCH(AS$48,SAM!$B$7:$HA$7,0)),0)</f>
        <v>2.3473095435555762</v>
      </c>
      <c r="AT63" s="45">
        <f>_xlfn.IFNA(INDEX(SAM!$B$8:$HA$215,MATCH($AL63,SAM!$A$8:$A$215,0),MATCH(AT$48,SAM!$B$7:$HA$7,0)),0)</f>
        <v>2.7569750932641424</v>
      </c>
      <c r="AU63" s="45">
        <f>_xlfn.IFNA(INDEX(SAM!$B$8:$HA$215,MATCH($AL63,SAM!$A$8:$A$215,0),MATCH(AU$48,SAM!$B$7:$HA$7,0)),0)</f>
        <v>3.8423388853111446</v>
      </c>
      <c r="AV63" s="45">
        <f>_xlfn.IFNA(INDEX(SAM!$B$8:$HA$215,MATCH($AL63,SAM!$A$8:$A$215,0),MATCH(AV$48,SAM!$B$7:$HA$7,0)),0)</f>
        <v>3.8818518966118911</v>
      </c>
      <c r="AW63" s="45">
        <f>_xlfn.IFNA(INDEX(SAM!$B$8:$HA$215,MATCH($AL63,SAM!$A$8:$A$215,0),MATCH(AW$48,SAM!$B$7:$HA$7,0)),0)</f>
        <v>1.349936650501578</v>
      </c>
      <c r="AX63" s="45">
        <f>_xlfn.IFNA(INDEX(SAM!$B$8:$HA$215,MATCH($AL63,SAM!$A$8:$A$215,0),MATCH(AX$48,SAM!$B$7:$HA$7,0)),0)</f>
        <v>2.8642471124064532</v>
      </c>
      <c r="AY63" s="45">
        <f>_xlfn.IFNA(INDEX(SAM!$B$8:$HA$215,MATCH($AL63,SAM!$A$8:$A$215,0),MATCH(AY$48,SAM!$B$7:$HA$7,0)),0)</f>
        <v>5.1023263383228432</v>
      </c>
      <c r="AZ63" s="45">
        <f>_xlfn.IFNA(INDEX(SAM!$B$8:$HA$215,MATCH($AL63,SAM!$A$8:$A$215,0),MATCH(AZ$48,SAM!$B$7:$HA$7,0)),0)</f>
        <v>10.346068190510545</v>
      </c>
      <c r="BA63" s="45">
        <f>_xlfn.IFNA(INDEX(SAM!$B$8:$HA$215,MATCH($AL63,SAM!$A$8:$A$215,0),MATCH(BA$48,SAM!$B$7:$HA$7,0)),0)</f>
        <v>32.31215905155932</v>
      </c>
      <c r="BB63" s="45"/>
      <c r="BC63" s="26" t="str">
        <f t="shared" si="115"/>
        <v>afoil</v>
      </c>
      <c r="BD63" s="45">
        <f>_xlfn.IFNA(INDEX(SAM!$B$8:$HA$215,MATCH($BC63,SAM!$A$8:$A$215,0),MATCH(BD$48,SAM!$B$7:$HA$7,0)),0)</f>
        <v>0</v>
      </c>
      <c r="BE63" s="45">
        <f>_xlfn.IFNA(INDEX(SAM!$B$8:$HA$215,MATCH($BC63,SAM!$A$8:$A$215,0),MATCH(BE$48,SAM!$B$7:$HA$7,0)),0)</f>
        <v>0</v>
      </c>
      <c r="BF63" s="45">
        <f>_xlfn.IFNA(INDEX(SAM!$B$8:$HA$215,MATCH($BC63,SAM!$A$8:$A$215,0),MATCH(BF$48,SAM!$B$7:$HA$7,0)),0)</f>
        <v>0</v>
      </c>
      <c r="BG63" s="45">
        <f>_xlfn.IFNA(INDEX(SAM!$B$8:$HA$215,MATCH($BC63,SAM!$A$8:$A$215,0),MATCH(BG$48,SAM!$B$7:$HA$7,0)),0)</f>
        <v>0</v>
      </c>
      <c r="BH63" s="45">
        <f>_xlfn.IFNA(INDEX(SAM!$B$8:$HA$215,MATCH($BC63,SAM!$A$8:$A$215,0),MATCH(BH$48,SAM!$B$7:$HA$7,0)),0)</f>
        <v>0</v>
      </c>
      <c r="BI63" s="45">
        <f>_xlfn.IFNA(INDEX(SAM!$B$8:$HA$215,MATCH($BC63,SAM!$A$8:$A$215,0),MATCH(BI$48,SAM!$B$7:$HA$7,0)),0)</f>
        <v>0</v>
      </c>
      <c r="BJ63" s="45">
        <f>_xlfn.IFNA(INDEX(SAM!$B$8:$HA$215,MATCH($BC63,SAM!$A$8:$A$215,0),MATCH(BJ$48,SAM!$B$7:$HA$7,0)),0)</f>
        <v>0</v>
      </c>
      <c r="BK63" s="45">
        <f>_xlfn.IFNA(INDEX(SAM!$B$8:$HA$215,MATCH($BC63,SAM!$A$8:$A$215,0),MATCH(BK$48,SAM!$B$7:$HA$7,0)),0)</f>
        <v>0</v>
      </c>
      <c r="BL63" s="45">
        <f>_xlfn.IFNA(INDEX(SAM!$B$8:$HA$215,MATCH($BC63,SAM!$A$8:$A$215,0),MATCH(BL$48,SAM!$B$7:$HA$7,0)),0)</f>
        <v>0</v>
      </c>
      <c r="BM63" s="45">
        <f>_xlfn.IFNA(INDEX(SAM!$B$8:$HA$215,MATCH($BC63,SAM!$A$8:$A$215,0),MATCH(BM$48,SAM!$B$7:$HA$7,0)),0)</f>
        <v>0</v>
      </c>
      <c r="BN63" s="45">
        <f>_xlfn.IFNA(INDEX(SAM!$B$8:$HA$215,MATCH($BC63,SAM!$A$8:$A$215,0),MATCH(BN$48,SAM!$B$7:$HA$7,0)),0)</f>
        <v>0</v>
      </c>
      <c r="BO63" s="45">
        <f>_xlfn.IFNA(INDEX(SAM!$B$8:$HA$215,MATCH($BC63,SAM!$A$8:$A$215,0),MATCH(BO$48,SAM!$B$7:$HA$7,0)),0)</f>
        <v>0</v>
      </c>
      <c r="BP63" s="45">
        <f>_xlfn.IFNA(INDEX(SAM!$B$8:$HA$215,MATCH($BC63,SAM!$A$8:$A$215,0),MATCH(BP$48,SAM!$B$7:$HA$7,0)),0)</f>
        <v>0</v>
      </c>
      <c r="BQ63" s="45">
        <f>_xlfn.IFNA(INDEX(SAM!$B$8:$HA$215,MATCH($BC63,SAM!$A$8:$A$215,0),MATCH(BQ$48,SAM!$B$7:$HA$7,0)),0)</f>
        <v>0</v>
      </c>
      <c r="BR63" s="45">
        <f>_xlfn.IFNA(INDEX(SAM!$B$8:$HA$215,MATCH($BC63,SAM!$A$8:$A$215,0),MATCH(BR$48,SAM!$B$7:$HA$7,0)),0)</f>
        <v>0</v>
      </c>
      <c r="BT63" t="str">
        <f t="shared" si="109"/>
        <v>cfoil</v>
      </c>
      <c r="BU63" s="7">
        <f t="shared" si="110"/>
        <v>103.4303879476971</v>
      </c>
      <c r="BW63" s="51" t="s">
        <v>186</v>
      </c>
      <c r="BX63" s="43">
        <f t="shared" si="116"/>
        <v>3.2305467498719813</v>
      </c>
    </row>
    <row r="64" spans="1:76" x14ac:dyDescent="0.35">
      <c r="A64" s="47" t="s">
        <v>624</v>
      </c>
      <c r="B64" s="47" t="s">
        <v>707</v>
      </c>
      <c r="C64" s="48">
        <f t="shared" si="79"/>
        <v>9.4501535405059087</v>
      </c>
      <c r="D64" s="48">
        <f t="shared" si="80"/>
        <v>8.6746871303564337</v>
      </c>
      <c r="E64" s="48">
        <f t="shared" si="81"/>
        <v>8.1258397078050866</v>
      </c>
      <c r="F64" s="48">
        <f t="shared" si="82"/>
        <v>8.0585950791086489</v>
      </c>
      <c r="G64" s="48">
        <f t="shared" si="83"/>
        <v>11.545604432328282</v>
      </c>
      <c r="H64" s="48">
        <f t="shared" si="84"/>
        <v>7.6339882078669863</v>
      </c>
      <c r="I64" s="48">
        <f t="shared" si="85"/>
        <v>7.916322745469146</v>
      </c>
      <c r="J64" s="48">
        <f t="shared" si="86"/>
        <v>8.5055096394304783</v>
      </c>
      <c r="K64" s="48">
        <f t="shared" si="87"/>
        <v>5.4674579134391825</v>
      </c>
      <c r="L64" s="48">
        <f t="shared" si="88"/>
        <v>10.355592652460327</v>
      </c>
      <c r="M64" s="48">
        <f t="shared" si="89"/>
        <v>8.633646024867085</v>
      </c>
      <c r="N64" s="48">
        <f t="shared" si="90"/>
        <v>8.7879192127045105</v>
      </c>
      <c r="O64" s="48">
        <f t="shared" si="91"/>
        <v>8.0680244013137852</v>
      </c>
      <c r="P64" s="48">
        <f t="shared" si="92"/>
        <v>8.4832435181165327</v>
      </c>
      <c r="Q64" s="48">
        <f t="shared" si="93"/>
        <v>8.4383980267906775</v>
      </c>
      <c r="R64" s="48">
        <f t="shared" si="94"/>
        <v>8.5459483765236346</v>
      </c>
      <c r="S64" s="47"/>
      <c r="T64" s="47" t="str">
        <f t="shared" si="111"/>
        <v>fobe</v>
      </c>
      <c r="U64" s="48">
        <f t="shared" si="112"/>
        <v>23.421532045546172</v>
      </c>
      <c r="V64" s="48">
        <f t="shared" si="95"/>
        <v>31.729589051080168</v>
      </c>
      <c r="W64" s="48">
        <f t="shared" si="96"/>
        <v>39.834998706300127</v>
      </c>
      <c r="X64" s="48">
        <f t="shared" si="97"/>
        <v>41.099455562194308</v>
      </c>
      <c r="Y64" s="48">
        <f t="shared" si="98"/>
        <v>53.270351247462706</v>
      </c>
      <c r="Z64" s="48">
        <f t="shared" si="99"/>
        <v>6.5286038010363887</v>
      </c>
      <c r="AA64" s="48">
        <f t="shared" si="100"/>
        <v>8.56451366715606</v>
      </c>
      <c r="AB64" s="48">
        <f t="shared" si="101"/>
        <v>11.673859791072106</v>
      </c>
      <c r="AC64" s="48">
        <f t="shared" si="102"/>
        <v>19.907483394273456</v>
      </c>
      <c r="AD64" s="48">
        <f t="shared" si="103"/>
        <v>34.954563842203129</v>
      </c>
      <c r="AE64" s="48">
        <f t="shared" si="104"/>
        <v>3.7566019291463455</v>
      </c>
      <c r="AF64" s="48">
        <f t="shared" si="105"/>
        <v>9.716583704752118</v>
      </c>
      <c r="AG64" s="48">
        <f t="shared" si="106"/>
        <v>18.984419875874529</v>
      </c>
      <c r="AH64" s="48">
        <f t="shared" si="107"/>
        <v>49.101140543767904</v>
      </c>
      <c r="AI64" s="48">
        <f t="shared" si="108"/>
        <v>330.15041884425142</v>
      </c>
      <c r="AJ64" s="48">
        <f t="shared" si="113"/>
        <v>682.69411600611693</v>
      </c>
      <c r="AK64" s="47"/>
      <c r="AL64" s="47" t="str">
        <f t="shared" si="114"/>
        <v>cfobe</v>
      </c>
      <c r="AM64" s="48">
        <f>_xlfn.IFNA(INDEX(SAM!$B$8:$HA$215,MATCH($AL64,SAM!$A$8:$A$215,0),MATCH(AM$48,SAM!$B$7:$HA$7,0)),0)</f>
        <v>23.421532045546172</v>
      </c>
      <c r="AN64" s="48">
        <f>_xlfn.IFNA(INDEX(SAM!$B$8:$HA$215,MATCH($AL64,SAM!$A$8:$A$215,0),MATCH(AN$48,SAM!$B$7:$HA$7,0)),0)</f>
        <v>31.729589051080168</v>
      </c>
      <c r="AO64" s="48">
        <f>_xlfn.IFNA(INDEX(SAM!$B$8:$HA$215,MATCH($AL64,SAM!$A$8:$A$215,0),MATCH(AO$48,SAM!$B$7:$HA$7,0)),0)</f>
        <v>39.834998706300127</v>
      </c>
      <c r="AP64" s="48">
        <f>_xlfn.IFNA(INDEX(SAM!$B$8:$HA$215,MATCH($AL64,SAM!$A$8:$A$215,0),MATCH(AP$48,SAM!$B$7:$HA$7,0)),0)</f>
        <v>41.099455562194308</v>
      </c>
      <c r="AQ64" s="48">
        <f>_xlfn.IFNA(INDEX(SAM!$B$8:$HA$215,MATCH($AL64,SAM!$A$8:$A$215,0),MATCH(AQ$48,SAM!$B$7:$HA$7,0)),0)</f>
        <v>53.270351247462706</v>
      </c>
      <c r="AR64" s="48">
        <f>_xlfn.IFNA(INDEX(SAM!$B$8:$HA$215,MATCH($AL64,SAM!$A$8:$A$215,0),MATCH(AR$48,SAM!$B$7:$HA$7,0)),0)</f>
        <v>6.5286038010363887</v>
      </c>
      <c r="AS64" s="48">
        <f>_xlfn.IFNA(INDEX(SAM!$B$8:$HA$215,MATCH($AL64,SAM!$A$8:$A$215,0),MATCH(AS$48,SAM!$B$7:$HA$7,0)),0)</f>
        <v>8.56451366715606</v>
      </c>
      <c r="AT64" s="48">
        <f>_xlfn.IFNA(INDEX(SAM!$B$8:$HA$215,MATCH($AL64,SAM!$A$8:$A$215,0),MATCH(AT$48,SAM!$B$7:$HA$7,0)),0)</f>
        <v>11.673859791072106</v>
      </c>
      <c r="AU64" s="48">
        <f>_xlfn.IFNA(INDEX(SAM!$B$8:$HA$215,MATCH($AL64,SAM!$A$8:$A$215,0),MATCH(AU$48,SAM!$B$7:$HA$7,0)),0)</f>
        <v>19.907483394273456</v>
      </c>
      <c r="AV64" s="48">
        <f>_xlfn.IFNA(INDEX(SAM!$B$8:$HA$215,MATCH($AL64,SAM!$A$8:$A$215,0),MATCH(AV$48,SAM!$B$7:$HA$7,0)),0)</f>
        <v>34.954563842203129</v>
      </c>
      <c r="AW64" s="48">
        <f>_xlfn.IFNA(INDEX(SAM!$B$8:$HA$215,MATCH($AL64,SAM!$A$8:$A$215,0),MATCH(AW$48,SAM!$B$7:$HA$7,0)),0)</f>
        <v>3.7566019291463455</v>
      </c>
      <c r="AX64" s="48">
        <f>_xlfn.IFNA(INDEX(SAM!$B$8:$HA$215,MATCH($AL64,SAM!$A$8:$A$215,0),MATCH(AX$48,SAM!$B$7:$HA$7,0)),0)</f>
        <v>9.716583704752118</v>
      </c>
      <c r="AY64" s="48">
        <f>_xlfn.IFNA(INDEX(SAM!$B$8:$HA$215,MATCH($AL64,SAM!$A$8:$A$215,0),MATCH(AY$48,SAM!$B$7:$HA$7,0)),0)</f>
        <v>18.984419875874529</v>
      </c>
      <c r="AZ64" s="48">
        <f>_xlfn.IFNA(INDEX(SAM!$B$8:$HA$215,MATCH($AL64,SAM!$A$8:$A$215,0),MATCH(AZ$48,SAM!$B$7:$HA$7,0)),0)</f>
        <v>49.101140543767904</v>
      </c>
      <c r="BA64" s="48">
        <f>_xlfn.IFNA(INDEX(SAM!$B$8:$HA$215,MATCH($AL64,SAM!$A$8:$A$215,0),MATCH(BA$48,SAM!$B$7:$HA$7,0)),0)</f>
        <v>330.15041884425142</v>
      </c>
      <c r="BB64" s="48"/>
      <c r="BC64" s="47" t="str">
        <f t="shared" si="115"/>
        <v>afobe</v>
      </c>
      <c r="BD64" s="48">
        <f>_xlfn.IFNA(INDEX(SAM!$B$8:$HA$215,MATCH($BC64,SAM!$A$8:$A$215,0),MATCH(BD$48,SAM!$B$7:$HA$7,0)),0)</f>
        <v>0</v>
      </c>
      <c r="BE64" s="48">
        <f>_xlfn.IFNA(INDEX(SAM!$B$8:$HA$215,MATCH($BC64,SAM!$A$8:$A$215,0),MATCH(BE$48,SAM!$B$7:$HA$7,0)),0)</f>
        <v>0</v>
      </c>
      <c r="BF64" s="48">
        <f>_xlfn.IFNA(INDEX(SAM!$B$8:$HA$215,MATCH($BC64,SAM!$A$8:$A$215,0),MATCH(BF$48,SAM!$B$7:$HA$7,0)),0)</f>
        <v>0</v>
      </c>
      <c r="BG64" s="48">
        <f>_xlfn.IFNA(INDEX(SAM!$B$8:$HA$215,MATCH($BC64,SAM!$A$8:$A$215,0),MATCH(BG$48,SAM!$B$7:$HA$7,0)),0)</f>
        <v>0</v>
      </c>
      <c r="BH64" s="48">
        <f>_xlfn.IFNA(INDEX(SAM!$B$8:$HA$215,MATCH($BC64,SAM!$A$8:$A$215,0),MATCH(BH$48,SAM!$B$7:$HA$7,0)),0)</f>
        <v>0</v>
      </c>
      <c r="BI64" s="48">
        <f>_xlfn.IFNA(INDEX(SAM!$B$8:$HA$215,MATCH($BC64,SAM!$A$8:$A$215,0),MATCH(BI$48,SAM!$B$7:$HA$7,0)),0)</f>
        <v>0</v>
      </c>
      <c r="BJ64" s="48">
        <f>_xlfn.IFNA(INDEX(SAM!$B$8:$HA$215,MATCH($BC64,SAM!$A$8:$A$215,0),MATCH(BJ$48,SAM!$B$7:$HA$7,0)),0)</f>
        <v>0</v>
      </c>
      <c r="BK64" s="48">
        <f>_xlfn.IFNA(INDEX(SAM!$B$8:$HA$215,MATCH($BC64,SAM!$A$8:$A$215,0),MATCH(BK$48,SAM!$B$7:$HA$7,0)),0)</f>
        <v>0</v>
      </c>
      <c r="BL64" s="48">
        <f>_xlfn.IFNA(INDEX(SAM!$B$8:$HA$215,MATCH($BC64,SAM!$A$8:$A$215,0),MATCH(BL$48,SAM!$B$7:$HA$7,0)),0)</f>
        <v>0</v>
      </c>
      <c r="BM64" s="48">
        <f>_xlfn.IFNA(INDEX(SAM!$B$8:$HA$215,MATCH($BC64,SAM!$A$8:$A$215,0),MATCH(BM$48,SAM!$B$7:$HA$7,0)),0)</f>
        <v>0</v>
      </c>
      <c r="BN64" s="48">
        <f>_xlfn.IFNA(INDEX(SAM!$B$8:$HA$215,MATCH($BC64,SAM!$A$8:$A$215,0),MATCH(BN$48,SAM!$B$7:$HA$7,0)),0)</f>
        <v>0</v>
      </c>
      <c r="BO64" s="48">
        <f>_xlfn.IFNA(INDEX(SAM!$B$8:$HA$215,MATCH($BC64,SAM!$A$8:$A$215,0),MATCH(BO$48,SAM!$B$7:$HA$7,0)),0)</f>
        <v>0</v>
      </c>
      <c r="BP64" s="48">
        <f>_xlfn.IFNA(INDEX(SAM!$B$8:$HA$215,MATCH($BC64,SAM!$A$8:$A$215,0),MATCH(BP$48,SAM!$B$7:$HA$7,0)),0)</f>
        <v>0</v>
      </c>
      <c r="BQ64" s="48">
        <f>_xlfn.IFNA(INDEX(SAM!$B$8:$HA$215,MATCH($BC64,SAM!$A$8:$A$215,0),MATCH(BQ$48,SAM!$B$7:$HA$7,0)),0)</f>
        <v>0</v>
      </c>
      <c r="BR64" s="48">
        <f>_xlfn.IFNA(INDEX(SAM!$B$8:$HA$215,MATCH($BC64,SAM!$A$8:$A$215,0),MATCH(BR$48,SAM!$B$7:$HA$7,0)),0)</f>
        <v>0</v>
      </c>
      <c r="BT64" t="str">
        <f t="shared" si="109"/>
        <v>cfobe</v>
      </c>
      <c r="BU64" s="7">
        <f t="shared" si="110"/>
        <v>682.69411600611693</v>
      </c>
      <c r="BW64" s="51" t="s">
        <v>293</v>
      </c>
      <c r="BX64" s="43">
        <f t="shared" si="116"/>
        <v>1.2947390862775676</v>
      </c>
    </row>
    <row r="65" spans="1:76" x14ac:dyDescent="0.35">
      <c r="A65" t="str">
        <f t="shared" ref="A65:A72" si="118">HLOOKUP(B65,$B$6:$BR$9,4,FALSE)</f>
        <v>clothing and textile</v>
      </c>
      <c r="B65" t="s">
        <v>36</v>
      </c>
      <c r="C65" s="18">
        <f t="shared" si="79"/>
        <v>2.1036492194813494</v>
      </c>
      <c r="D65" s="18">
        <f t="shared" si="80"/>
        <v>2.4122484038863505</v>
      </c>
      <c r="E65" s="18">
        <f t="shared" si="81"/>
        <v>2.7017531807676627</v>
      </c>
      <c r="F65" s="18">
        <f t="shared" si="82"/>
        <v>3.0005630567556154</v>
      </c>
      <c r="G65" s="18">
        <f t="shared" si="83"/>
        <v>2.7191474479049393</v>
      </c>
      <c r="H65" s="18">
        <f t="shared" si="84"/>
        <v>1.8257473929744439</v>
      </c>
      <c r="I65" s="18">
        <f t="shared" si="85"/>
        <v>2.5097363849812409</v>
      </c>
      <c r="J65" s="18">
        <f t="shared" si="86"/>
        <v>3.1455755542938988</v>
      </c>
      <c r="K65" s="18">
        <f t="shared" si="87"/>
        <v>2.0472350797345693</v>
      </c>
      <c r="L65" s="18">
        <f t="shared" si="88"/>
        <v>3.4413237646771773</v>
      </c>
      <c r="M65" s="18">
        <f t="shared" si="89"/>
        <v>1.7445771151489968</v>
      </c>
      <c r="N65" s="18">
        <f t="shared" si="90"/>
        <v>2.2279966531847313</v>
      </c>
      <c r="O65" s="18">
        <f t="shared" si="91"/>
        <v>2.8454677888819715</v>
      </c>
      <c r="P65" s="18">
        <f t="shared" si="92"/>
        <v>3.0541669933894173</v>
      </c>
      <c r="Q65" s="18">
        <f t="shared" si="93"/>
        <v>2.4039018467603648</v>
      </c>
      <c r="R65" s="18">
        <f t="shared" si="94"/>
        <v>2.5592067245614314</v>
      </c>
      <c r="T65" t="str">
        <f t="shared" si="111"/>
        <v>text</v>
      </c>
      <c r="U65" s="18">
        <f t="shared" ref="U65:AI65" si="119">IFERROR(AM65+BD65,"")</f>
        <v>5.2137446651510109</v>
      </c>
      <c r="V65" s="18">
        <f t="shared" si="119"/>
        <v>8.8233326913420367</v>
      </c>
      <c r="W65" s="18">
        <f t="shared" si="119"/>
        <v>13.244703111389956</v>
      </c>
      <c r="X65" s="18">
        <f t="shared" si="119"/>
        <v>15.30310268751334</v>
      </c>
      <c r="Y65" s="18">
        <f t="shared" si="119"/>
        <v>12.545894889482847</v>
      </c>
      <c r="Z65" s="18">
        <f t="shared" si="119"/>
        <v>1.5613832566864394</v>
      </c>
      <c r="AA65" s="18">
        <f t="shared" si="119"/>
        <v>2.7152343659097289</v>
      </c>
      <c r="AB65" s="18">
        <f t="shared" si="119"/>
        <v>4.3173201300974258</v>
      </c>
      <c r="AC65" s="18">
        <f t="shared" si="119"/>
        <v>7.4541585869023761</v>
      </c>
      <c r="AD65" s="18">
        <f t="shared" si="119"/>
        <v>11.615942734626607</v>
      </c>
      <c r="AE65" s="18">
        <f t="shared" si="119"/>
        <v>0.75908622353024746</v>
      </c>
      <c r="AF65" s="18">
        <f t="shared" si="119"/>
        <v>2.4634404858069487</v>
      </c>
      <c r="AG65" s="18">
        <f t="shared" si="119"/>
        <v>6.6955121304064447</v>
      </c>
      <c r="AH65" s="18">
        <f t="shared" si="119"/>
        <v>17.677564302650829</v>
      </c>
      <c r="AI65" s="18">
        <f t="shared" si="119"/>
        <v>94.052117362642065</v>
      </c>
      <c r="AJ65" s="18">
        <f>SUM(U65:AI65)</f>
        <v>204.44253762413828</v>
      </c>
      <c r="AL65" t="str">
        <f t="shared" si="114"/>
        <v>ctext</v>
      </c>
      <c r="AM65" s="18">
        <f>_xlfn.IFNA(INDEX(SAM!$B$8:$HA$215,MATCH($AL65,SAM!$A$8:$A$215,0),MATCH(AM$48,SAM!$B$7:$HA$7,0)),0)</f>
        <v>5.2137446651510109</v>
      </c>
      <c r="AN65" s="18">
        <f>_xlfn.IFNA(INDEX(SAM!$B$8:$HA$215,MATCH($AL65,SAM!$A$8:$A$215,0),MATCH(AN$48,SAM!$B$7:$HA$7,0)),0)</f>
        <v>8.8233326913420367</v>
      </c>
      <c r="AO65" s="18">
        <f>_xlfn.IFNA(INDEX(SAM!$B$8:$HA$215,MATCH($AL65,SAM!$A$8:$A$215,0),MATCH(AO$48,SAM!$B$7:$HA$7,0)),0)</f>
        <v>13.244703111389956</v>
      </c>
      <c r="AP65" s="18">
        <f>_xlfn.IFNA(INDEX(SAM!$B$8:$HA$215,MATCH($AL65,SAM!$A$8:$A$215,0),MATCH(AP$48,SAM!$B$7:$HA$7,0)),0)</f>
        <v>15.30310268751334</v>
      </c>
      <c r="AQ65" s="18">
        <f>_xlfn.IFNA(INDEX(SAM!$B$8:$HA$215,MATCH($AL65,SAM!$A$8:$A$215,0),MATCH(AQ$48,SAM!$B$7:$HA$7,0)),0)</f>
        <v>12.545894889482847</v>
      </c>
      <c r="AR65" s="18">
        <f>_xlfn.IFNA(INDEX(SAM!$B$8:$HA$215,MATCH($AL65,SAM!$A$8:$A$215,0),MATCH(AR$48,SAM!$B$7:$HA$7,0)),0)</f>
        <v>1.5613832566864394</v>
      </c>
      <c r="AS65" s="18">
        <f>_xlfn.IFNA(INDEX(SAM!$B$8:$HA$215,MATCH($AL65,SAM!$A$8:$A$215,0),MATCH(AS$48,SAM!$B$7:$HA$7,0)),0)</f>
        <v>2.7152343659097289</v>
      </c>
      <c r="AT65" s="18">
        <f>_xlfn.IFNA(INDEX(SAM!$B$8:$HA$215,MATCH($AL65,SAM!$A$8:$A$215,0),MATCH(AT$48,SAM!$B$7:$HA$7,0)),0)</f>
        <v>4.3173201300974258</v>
      </c>
      <c r="AU65" s="18">
        <f>_xlfn.IFNA(INDEX(SAM!$B$8:$HA$215,MATCH($AL65,SAM!$A$8:$A$215,0),MATCH(AU$48,SAM!$B$7:$HA$7,0)),0)</f>
        <v>7.4541585869023761</v>
      </c>
      <c r="AV65" s="18">
        <f>_xlfn.IFNA(INDEX(SAM!$B$8:$HA$215,MATCH($AL65,SAM!$A$8:$A$215,0),MATCH(AV$48,SAM!$B$7:$HA$7,0)),0)</f>
        <v>11.615942734626607</v>
      </c>
      <c r="AW65" s="18">
        <f>_xlfn.IFNA(INDEX(SAM!$B$8:$HA$215,MATCH($AL65,SAM!$A$8:$A$215,0),MATCH(AW$48,SAM!$B$7:$HA$7,0)),0)</f>
        <v>0.75908622353024746</v>
      </c>
      <c r="AX65" s="18">
        <f>_xlfn.IFNA(INDEX(SAM!$B$8:$HA$215,MATCH($AL65,SAM!$A$8:$A$215,0),MATCH(AX$48,SAM!$B$7:$HA$7,0)),0)</f>
        <v>2.4634404858069487</v>
      </c>
      <c r="AY65" s="18">
        <f>_xlfn.IFNA(INDEX(SAM!$B$8:$HA$215,MATCH($AL65,SAM!$A$8:$A$215,0),MATCH(AY$48,SAM!$B$7:$HA$7,0)),0)</f>
        <v>6.6955121304064447</v>
      </c>
      <c r="AZ65" s="18">
        <f>_xlfn.IFNA(INDEX(SAM!$B$8:$HA$215,MATCH($AL65,SAM!$A$8:$A$215,0),MATCH(AZ$48,SAM!$B$7:$HA$7,0)),0)</f>
        <v>17.677564302650829</v>
      </c>
      <c r="BA65" s="18">
        <f>_xlfn.IFNA(INDEX(SAM!$B$8:$HA$215,MATCH($AL65,SAM!$A$8:$A$215,0),MATCH(BA$48,SAM!$B$7:$HA$7,0)),0)</f>
        <v>94.052117362642065</v>
      </c>
      <c r="BB65" s="18"/>
      <c r="BC65" t="str">
        <f t="shared" si="115"/>
        <v>atext</v>
      </c>
      <c r="BD65" s="18">
        <f>_xlfn.IFNA(INDEX(SAM!$B$8:$HA$215,MATCH($BC65,SAM!$A$8:$A$215,0),MATCH(BD$48,SAM!$B$7:$HA$7,0)),0)</f>
        <v>0</v>
      </c>
      <c r="BE65" s="18">
        <f>_xlfn.IFNA(INDEX(SAM!$B$8:$HA$215,MATCH($BC65,SAM!$A$8:$A$215,0),MATCH(BE$48,SAM!$B$7:$HA$7,0)),0)</f>
        <v>0</v>
      </c>
      <c r="BF65" s="18">
        <f>_xlfn.IFNA(INDEX(SAM!$B$8:$HA$215,MATCH($BC65,SAM!$A$8:$A$215,0),MATCH(BF$48,SAM!$B$7:$HA$7,0)),0)</f>
        <v>0</v>
      </c>
      <c r="BG65" s="18">
        <f>_xlfn.IFNA(INDEX(SAM!$B$8:$HA$215,MATCH($BC65,SAM!$A$8:$A$215,0),MATCH(BG$48,SAM!$B$7:$HA$7,0)),0)</f>
        <v>0</v>
      </c>
      <c r="BH65" s="18">
        <f>_xlfn.IFNA(INDEX(SAM!$B$8:$HA$215,MATCH($BC65,SAM!$A$8:$A$215,0),MATCH(BH$48,SAM!$B$7:$HA$7,0)),0)</f>
        <v>0</v>
      </c>
      <c r="BI65" s="18">
        <f>_xlfn.IFNA(INDEX(SAM!$B$8:$HA$215,MATCH($BC65,SAM!$A$8:$A$215,0),MATCH(BI$48,SAM!$B$7:$HA$7,0)),0)</f>
        <v>0</v>
      </c>
      <c r="BJ65" s="18">
        <f>_xlfn.IFNA(INDEX(SAM!$B$8:$HA$215,MATCH($BC65,SAM!$A$8:$A$215,0),MATCH(BJ$48,SAM!$B$7:$HA$7,0)),0)</f>
        <v>0</v>
      </c>
      <c r="BK65" s="18">
        <f>_xlfn.IFNA(INDEX(SAM!$B$8:$HA$215,MATCH($BC65,SAM!$A$8:$A$215,0),MATCH(BK$48,SAM!$B$7:$HA$7,0)),0)</f>
        <v>0</v>
      </c>
      <c r="BL65" s="18">
        <f>_xlfn.IFNA(INDEX(SAM!$B$8:$HA$215,MATCH($BC65,SAM!$A$8:$A$215,0),MATCH(BL$48,SAM!$B$7:$HA$7,0)),0)</f>
        <v>0</v>
      </c>
      <c r="BM65" s="18">
        <f>_xlfn.IFNA(INDEX(SAM!$B$8:$HA$215,MATCH($BC65,SAM!$A$8:$A$215,0),MATCH(BM$48,SAM!$B$7:$HA$7,0)),0)</f>
        <v>0</v>
      </c>
      <c r="BN65" s="18">
        <f>_xlfn.IFNA(INDEX(SAM!$B$8:$HA$215,MATCH($BC65,SAM!$A$8:$A$215,0),MATCH(BN$48,SAM!$B$7:$HA$7,0)),0)</f>
        <v>0</v>
      </c>
      <c r="BO65" s="18">
        <f>_xlfn.IFNA(INDEX(SAM!$B$8:$HA$215,MATCH($BC65,SAM!$A$8:$A$215,0),MATCH(BO$48,SAM!$B$7:$HA$7,0)),0)</f>
        <v>0</v>
      </c>
      <c r="BP65" s="18">
        <f>_xlfn.IFNA(INDEX(SAM!$B$8:$HA$215,MATCH($BC65,SAM!$A$8:$A$215,0),MATCH(BP$48,SAM!$B$7:$HA$7,0)),0)</f>
        <v>0</v>
      </c>
      <c r="BQ65" s="18">
        <f>_xlfn.IFNA(INDEX(SAM!$B$8:$HA$215,MATCH($BC65,SAM!$A$8:$A$215,0),MATCH(BQ$48,SAM!$B$7:$HA$7,0)),0)</f>
        <v>0</v>
      </c>
      <c r="BR65" s="18">
        <f>_xlfn.IFNA(INDEX(SAM!$B$8:$HA$215,MATCH($BC65,SAM!$A$8:$A$215,0),MATCH(BR$48,SAM!$B$7:$HA$7,0)),0)</f>
        <v>0</v>
      </c>
      <c r="BT65" t="str">
        <f t="shared" si="109"/>
        <v>ctext</v>
      </c>
      <c r="BU65" s="7">
        <f t="shared" si="110"/>
        <v>204.44253762413828</v>
      </c>
      <c r="BW65" s="51" t="s">
        <v>292</v>
      </c>
      <c r="BX65" s="43">
        <f t="shared" si="116"/>
        <v>0.41685283334526863</v>
      </c>
    </row>
    <row r="66" spans="1:76" x14ac:dyDescent="0.35">
      <c r="A66" s="38" t="str">
        <f t="shared" si="118"/>
        <v>utilities</v>
      </c>
      <c r="B66" s="38" t="s">
        <v>44</v>
      </c>
      <c r="C66" s="46">
        <f t="shared" si="79"/>
        <v>4.4054426671169274E-2</v>
      </c>
      <c r="D66" s="46">
        <f t="shared" si="80"/>
        <v>0.11895781777759876</v>
      </c>
      <c r="E66" s="46">
        <f t="shared" si="81"/>
        <v>0.19390902159427742</v>
      </c>
      <c r="F66" s="46">
        <f t="shared" si="82"/>
        <v>0.28399670902166502</v>
      </c>
      <c r="G66" s="46">
        <f t="shared" si="83"/>
        <v>0.42491541623565987</v>
      </c>
      <c r="H66" s="46">
        <f t="shared" si="84"/>
        <v>0.10064862523737544</v>
      </c>
      <c r="I66" s="46">
        <f t="shared" si="85"/>
        <v>0.26258191802571429</v>
      </c>
      <c r="J66" s="46">
        <f t="shared" si="86"/>
        <v>0.35834598930530237</v>
      </c>
      <c r="K66" s="46">
        <f t="shared" si="87"/>
        <v>0.34677796604061123</v>
      </c>
      <c r="L66" s="46">
        <f t="shared" si="88"/>
        <v>0.49835114712979989</v>
      </c>
      <c r="M66" s="46">
        <f t="shared" si="89"/>
        <v>0.45992935687886372</v>
      </c>
      <c r="N66" s="46">
        <f t="shared" si="90"/>
        <v>0.57766509184207893</v>
      </c>
      <c r="O66" s="46">
        <f t="shared" si="91"/>
        <v>0.84859794615159334</v>
      </c>
      <c r="P66" s="46">
        <f t="shared" si="92"/>
        <v>0.95674707880134868</v>
      </c>
      <c r="Q66" s="46">
        <f t="shared" si="93"/>
        <v>0.77849214395298116</v>
      </c>
      <c r="R66" s="46">
        <f t="shared" si="94"/>
        <v>0.59513235689735466</v>
      </c>
      <c r="S66" s="38"/>
      <c r="T66" s="38" t="str">
        <f t="shared" si="111"/>
        <v>elec</v>
      </c>
      <c r="U66" s="46">
        <f t="shared" si="112"/>
        <v>0.10918575678207627</v>
      </c>
      <c r="V66" s="46">
        <f t="shared" si="95"/>
        <v>0.43511455984250558</v>
      </c>
      <c r="W66" s="46">
        <f t="shared" si="96"/>
        <v>0.95059291126903533</v>
      </c>
      <c r="X66" s="46">
        <f t="shared" si="97"/>
        <v>1.4484050889347311</v>
      </c>
      <c r="Y66" s="46">
        <f t="shared" si="98"/>
        <v>1.9605204392725564</v>
      </c>
      <c r="Z66" s="46">
        <f t="shared" si="99"/>
        <v>8.6074929565212843E-2</v>
      </c>
      <c r="AA66" s="46">
        <f t="shared" si="100"/>
        <v>0.28408220558799441</v>
      </c>
      <c r="AB66" s="46">
        <f t="shared" si="101"/>
        <v>0.49183188464685973</v>
      </c>
      <c r="AC66" s="46">
        <f t="shared" si="102"/>
        <v>1.2626483293971831</v>
      </c>
      <c r="AD66" s="46">
        <f t="shared" si="103"/>
        <v>1.6821487260842689</v>
      </c>
      <c r="AE66" s="46">
        <f t="shared" si="104"/>
        <v>0.20012072586086554</v>
      </c>
      <c r="AF66" s="46">
        <f t="shared" si="105"/>
        <v>0.63870992465228671</v>
      </c>
      <c r="AG66" s="46">
        <f t="shared" si="106"/>
        <v>1.9967886702131517</v>
      </c>
      <c r="AH66" s="46">
        <f t="shared" si="107"/>
        <v>5.5376664221345404</v>
      </c>
      <c r="AI66" s="46">
        <f t="shared" si="108"/>
        <v>30.458329481145203</v>
      </c>
      <c r="AJ66" s="46">
        <f t="shared" si="113"/>
        <v>47.542220055388469</v>
      </c>
      <c r="AK66" s="38"/>
      <c r="AL66" s="38" t="str">
        <f t="shared" si="114"/>
        <v>celec</v>
      </c>
      <c r="AM66" s="46">
        <f>_xlfn.IFNA(INDEX(SAM!$B$8:$HA$215,MATCH($AL66,SAM!$A$8:$A$215,0),MATCH(AM$48,SAM!$B$7:$HA$7,0)),0)</f>
        <v>0.10918575678207627</v>
      </c>
      <c r="AN66" s="46">
        <f>_xlfn.IFNA(INDEX(SAM!$B$8:$HA$215,MATCH($AL66,SAM!$A$8:$A$215,0),MATCH(AN$48,SAM!$B$7:$HA$7,0)),0)</f>
        <v>0.43511455984250558</v>
      </c>
      <c r="AO66" s="46">
        <f>_xlfn.IFNA(INDEX(SAM!$B$8:$HA$215,MATCH($AL66,SAM!$A$8:$A$215,0),MATCH(AO$48,SAM!$B$7:$HA$7,0)),0)</f>
        <v>0.95059291126903533</v>
      </c>
      <c r="AP66" s="46">
        <f>_xlfn.IFNA(INDEX(SAM!$B$8:$HA$215,MATCH($AL66,SAM!$A$8:$A$215,0),MATCH(AP$48,SAM!$B$7:$HA$7,0)),0)</f>
        <v>1.4484050889347311</v>
      </c>
      <c r="AQ66" s="46">
        <f>_xlfn.IFNA(INDEX(SAM!$B$8:$HA$215,MATCH($AL66,SAM!$A$8:$A$215,0),MATCH(AQ$48,SAM!$B$7:$HA$7,0)),0)</f>
        <v>1.9605204392725564</v>
      </c>
      <c r="AR66" s="46">
        <f>_xlfn.IFNA(INDEX(SAM!$B$8:$HA$215,MATCH($AL66,SAM!$A$8:$A$215,0),MATCH(AR$48,SAM!$B$7:$HA$7,0)),0)</f>
        <v>8.6074929565212843E-2</v>
      </c>
      <c r="AS66" s="46">
        <f>_xlfn.IFNA(INDEX(SAM!$B$8:$HA$215,MATCH($AL66,SAM!$A$8:$A$215,0),MATCH(AS$48,SAM!$B$7:$HA$7,0)),0)</f>
        <v>0.28408220558799441</v>
      </c>
      <c r="AT66" s="46">
        <f>_xlfn.IFNA(INDEX(SAM!$B$8:$HA$215,MATCH($AL66,SAM!$A$8:$A$215,0),MATCH(AT$48,SAM!$B$7:$HA$7,0)),0)</f>
        <v>0.49183188464685973</v>
      </c>
      <c r="AU66" s="46">
        <f>_xlfn.IFNA(INDEX(SAM!$B$8:$HA$215,MATCH($AL66,SAM!$A$8:$A$215,0),MATCH(AU$48,SAM!$B$7:$HA$7,0)),0)</f>
        <v>1.2626483293971831</v>
      </c>
      <c r="AV66" s="46">
        <f>_xlfn.IFNA(INDEX(SAM!$B$8:$HA$215,MATCH($AL66,SAM!$A$8:$A$215,0),MATCH(AV$48,SAM!$B$7:$HA$7,0)),0)</f>
        <v>1.6821487260842689</v>
      </c>
      <c r="AW66" s="46">
        <f>_xlfn.IFNA(INDEX(SAM!$B$8:$HA$215,MATCH($AL66,SAM!$A$8:$A$215,0),MATCH(AW$48,SAM!$B$7:$HA$7,0)),0)</f>
        <v>0.20012072586086554</v>
      </c>
      <c r="AX66" s="46">
        <f>_xlfn.IFNA(INDEX(SAM!$B$8:$HA$215,MATCH($AL66,SAM!$A$8:$A$215,0),MATCH(AX$48,SAM!$B$7:$HA$7,0)),0)</f>
        <v>0.63870992465228671</v>
      </c>
      <c r="AY66" s="46">
        <f>_xlfn.IFNA(INDEX(SAM!$B$8:$HA$215,MATCH($AL66,SAM!$A$8:$A$215,0),MATCH(AY$48,SAM!$B$7:$HA$7,0)),0)</f>
        <v>1.9967886702131517</v>
      </c>
      <c r="AZ66" s="46">
        <f>_xlfn.IFNA(INDEX(SAM!$B$8:$HA$215,MATCH($AL66,SAM!$A$8:$A$215,0),MATCH(AZ$48,SAM!$B$7:$HA$7,0)),0)</f>
        <v>5.5376664221345404</v>
      </c>
      <c r="BA66" s="46">
        <f>_xlfn.IFNA(INDEX(SAM!$B$8:$HA$215,MATCH($AL66,SAM!$A$8:$A$215,0),MATCH(BA$48,SAM!$B$7:$HA$7,0)),0)</f>
        <v>30.458329481145203</v>
      </c>
      <c r="BB66" s="46"/>
      <c r="BC66" s="38" t="str">
        <f t="shared" si="115"/>
        <v>aelec</v>
      </c>
      <c r="BD66" s="46">
        <f>_xlfn.IFNA(INDEX(SAM!$B$8:$HA$215,MATCH($BC66,SAM!$A$8:$A$215,0),MATCH(BD$48,SAM!$B$7:$HA$7,0)),0)</f>
        <v>0</v>
      </c>
      <c r="BE66" s="46">
        <f>_xlfn.IFNA(INDEX(SAM!$B$8:$HA$215,MATCH($BC66,SAM!$A$8:$A$215,0),MATCH(BE$48,SAM!$B$7:$HA$7,0)),0)</f>
        <v>0</v>
      </c>
      <c r="BF66" s="46">
        <f>_xlfn.IFNA(INDEX(SAM!$B$8:$HA$215,MATCH($BC66,SAM!$A$8:$A$215,0),MATCH(BF$48,SAM!$B$7:$HA$7,0)),0)</f>
        <v>0</v>
      </c>
      <c r="BG66" s="46">
        <f>_xlfn.IFNA(INDEX(SAM!$B$8:$HA$215,MATCH($BC66,SAM!$A$8:$A$215,0),MATCH(BG$48,SAM!$B$7:$HA$7,0)),0)</f>
        <v>0</v>
      </c>
      <c r="BH66" s="46">
        <f>_xlfn.IFNA(INDEX(SAM!$B$8:$HA$215,MATCH($BC66,SAM!$A$8:$A$215,0),MATCH(BH$48,SAM!$B$7:$HA$7,0)),0)</f>
        <v>0</v>
      </c>
      <c r="BI66" s="46">
        <f>_xlfn.IFNA(INDEX(SAM!$B$8:$HA$215,MATCH($BC66,SAM!$A$8:$A$215,0),MATCH(BI$48,SAM!$B$7:$HA$7,0)),0)</f>
        <v>0</v>
      </c>
      <c r="BJ66" s="46">
        <f>_xlfn.IFNA(INDEX(SAM!$B$8:$HA$215,MATCH($BC66,SAM!$A$8:$A$215,0),MATCH(BJ$48,SAM!$B$7:$HA$7,0)),0)</f>
        <v>0</v>
      </c>
      <c r="BK66" s="46">
        <f>_xlfn.IFNA(INDEX(SAM!$B$8:$HA$215,MATCH($BC66,SAM!$A$8:$A$215,0),MATCH(BK$48,SAM!$B$7:$HA$7,0)),0)</f>
        <v>0</v>
      </c>
      <c r="BL66" s="46">
        <f>_xlfn.IFNA(INDEX(SAM!$B$8:$HA$215,MATCH($BC66,SAM!$A$8:$A$215,0),MATCH(BL$48,SAM!$B$7:$HA$7,0)),0)</f>
        <v>0</v>
      </c>
      <c r="BM66" s="46">
        <f>_xlfn.IFNA(INDEX(SAM!$B$8:$HA$215,MATCH($BC66,SAM!$A$8:$A$215,0),MATCH(BM$48,SAM!$B$7:$HA$7,0)),0)</f>
        <v>0</v>
      </c>
      <c r="BN66" s="46">
        <f>_xlfn.IFNA(INDEX(SAM!$B$8:$HA$215,MATCH($BC66,SAM!$A$8:$A$215,0),MATCH(BN$48,SAM!$B$7:$HA$7,0)),0)</f>
        <v>0</v>
      </c>
      <c r="BO66" s="46">
        <f>_xlfn.IFNA(INDEX(SAM!$B$8:$HA$215,MATCH($BC66,SAM!$A$8:$A$215,0),MATCH(BO$48,SAM!$B$7:$HA$7,0)),0)</f>
        <v>0</v>
      </c>
      <c r="BP66" s="46">
        <f>_xlfn.IFNA(INDEX(SAM!$B$8:$HA$215,MATCH($BC66,SAM!$A$8:$A$215,0),MATCH(BP$48,SAM!$B$7:$HA$7,0)),0)</f>
        <v>0</v>
      </c>
      <c r="BQ66" s="46">
        <f>_xlfn.IFNA(INDEX(SAM!$B$8:$HA$215,MATCH($BC66,SAM!$A$8:$A$215,0),MATCH(BQ$48,SAM!$B$7:$HA$7,0)),0)</f>
        <v>0</v>
      </c>
      <c r="BR66" s="46">
        <f>_xlfn.IFNA(INDEX(SAM!$B$8:$HA$215,MATCH($BC66,SAM!$A$8:$A$215,0),MATCH(BR$48,SAM!$B$7:$HA$7,0)),0)</f>
        <v>0</v>
      </c>
      <c r="BT66" t="str">
        <f t="shared" si="109"/>
        <v>celec</v>
      </c>
      <c r="BU66" s="7">
        <f t="shared" si="110"/>
        <v>47.542220055388469</v>
      </c>
      <c r="BW66" s="51" t="s">
        <v>185</v>
      </c>
      <c r="BX66" s="43">
        <f t="shared" si="116"/>
        <v>5.3576610965521549</v>
      </c>
    </row>
    <row r="67" spans="1:76" x14ac:dyDescent="0.35">
      <c r="A67" s="26" t="str">
        <f t="shared" si="118"/>
        <v>utilities</v>
      </c>
      <c r="B67" s="26" t="s">
        <v>45</v>
      </c>
      <c r="C67" s="45">
        <f t="shared" si="79"/>
        <v>0.59396840137835416</v>
      </c>
      <c r="D67" s="45">
        <f t="shared" si="80"/>
        <v>0.46852581646806168</v>
      </c>
      <c r="E67" s="45">
        <f t="shared" si="81"/>
        <v>0.4161575253732418</v>
      </c>
      <c r="F67" s="45">
        <f t="shared" si="82"/>
        <v>0.47084970734554416</v>
      </c>
      <c r="G67" s="45">
        <f t="shared" si="83"/>
        <v>0.47734387397170575</v>
      </c>
      <c r="H67" s="45">
        <f t="shared" si="84"/>
        <v>0.51323977102110341</v>
      </c>
      <c r="I67" s="45">
        <f t="shared" si="85"/>
        <v>0.7125856230873906</v>
      </c>
      <c r="J67" s="45">
        <f t="shared" si="86"/>
        <v>0.54200005927193329</v>
      </c>
      <c r="K67" s="45">
        <f t="shared" si="87"/>
        <v>0.40789786207836437</v>
      </c>
      <c r="L67" s="45">
        <f t="shared" si="88"/>
        <v>0.42284541110968299</v>
      </c>
      <c r="M67" s="45">
        <f t="shared" si="89"/>
        <v>0.89768109219498138</v>
      </c>
      <c r="N67" s="45">
        <f t="shared" si="90"/>
        <v>1.20049859687942</v>
      </c>
      <c r="O67" s="45">
        <f t="shared" si="91"/>
        <v>1.0672943452870334</v>
      </c>
      <c r="P67" s="45">
        <f t="shared" si="92"/>
        <v>1.0571041971506974</v>
      </c>
      <c r="Q67" s="45">
        <f t="shared" si="93"/>
        <v>0.58031066540853715</v>
      </c>
      <c r="R67" s="45">
        <f t="shared" si="94"/>
        <v>0.59771308428942871</v>
      </c>
      <c r="S67" s="26"/>
      <c r="T67" s="26" t="str">
        <f t="shared" si="111"/>
        <v>watr</v>
      </c>
      <c r="U67" s="45">
        <f t="shared" si="112"/>
        <v>1.4721083511813713</v>
      </c>
      <c r="V67" s="45">
        <f t="shared" si="95"/>
        <v>1.7137369213386919</v>
      </c>
      <c r="W67" s="45">
        <f t="shared" si="96"/>
        <v>2.0401134013186213</v>
      </c>
      <c r="X67" s="45">
        <f t="shared" si="97"/>
        <v>2.401369771473969</v>
      </c>
      <c r="Y67" s="45">
        <f t="shared" si="98"/>
        <v>2.2024204952922917</v>
      </c>
      <c r="Z67" s="45">
        <f t="shared" si="99"/>
        <v>0.43892380086183697</v>
      </c>
      <c r="AA67" s="45">
        <f t="shared" si="100"/>
        <v>0.7709323513172649</v>
      </c>
      <c r="AB67" s="45">
        <f t="shared" si="101"/>
        <v>0.743898128027633</v>
      </c>
      <c r="AC67" s="45">
        <f t="shared" si="102"/>
        <v>1.4851911152210113</v>
      </c>
      <c r="AD67" s="45">
        <f t="shared" si="103"/>
        <v>1.4272845035580319</v>
      </c>
      <c r="AE67" s="45">
        <f t="shared" si="104"/>
        <v>0.39059170517125535</v>
      </c>
      <c r="AF67" s="45">
        <f t="shared" si="105"/>
        <v>1.3273614403683727</v>
      </c>
      <c r="AG67" s="45">
        <f t="shared" si="106"/>
        <v>2.5113910139855578</v>
      </c>
      <c r="AH67" s="45">
        <f t="shared" si="107"/>
        <v>6.1185349262763342</v>
      </c>
      <c r="AI67" s="45">
        <f t="shared" si="108"/>
        <v>22.704523848738258</v>
      </c>
      <c r="AJ67" s="45">
        <f t="shared" si="113"/>
        <v>47.748381774130507</v>
      </c>
      <c r="AK67" s="26"/>
      <c r="AL67" s="26" t="str">
        <f t="shared" si="114"/>
        <v>cwatr</v>
      </c>
      <c r="AM67" s="45">
        <f>_xlfn.IFNA(INDEX(SAM!$B$8:$HA$215,MATCH($AL67,SAM!$A$8:$A$215,0),MATCH(AM$48,SAM!$B$7:$HA$7,0)),0)</f>
        <v>1.4721083511813713</v>
      </c>
      <c r="AN67" s="45">
        <f>_xlfn.IFNA(INDEX(SAM!$B$8:$HA$215,MATCH($AL67,SAM!$A$8:$A$215,0),MATCH(AN$48,SAM!$B$7:$HA$7,0)),0)</f>
        <v>1.7137369213386919</v>
      </c>
      <c r="AO67" s="45">
        <f>_xlfn.IFNA(INDEX(SAM!$B$8:$HA$215,MATCH($AL67,SAM!$A$8:$A$215,0),MATCH(AO$48,SAM!$B$7:$HA$7,0)),0)</f>
        <v>2.0401134013186213</v>
      </c>
      <c r="AP67" s="45">
        <f>_xlfn.IFNA(INDEX(SAM!$B$8:$HA$215,MATCH($AL67,SAM!$A$8:$A$215,0),MATCH(AP$48,SAM!$B$7:$HA$7,0)),0)</f>
        <v>2.401369771473969</v>
      </c>
      <c r="AQ67" s="45">
        <f>_xlfn.IFNA(INDEX(SAM!$B$8:$HA$215,MATCH($AL67,SAM!$A$8:$A$215,0),MATCH(AQ$48,SAM!$B$7:$HA$7,0)),0)</f>
        <v>2.2024204952922917</v>
      </c>
      <c r="AR67" s="45">
        <f>_xlfn.IFNA(INDEX(SAM!$B$8:$HA$215,MATCH($AL67,SAM!$A$8:$A$215,0),MATCH(AR$48,SAM!$B$7:$HA$7,0)),0)</f>
        <v>0.43892380086183697</v>
      </c>
      <c r="AS67" s="45">
        <f>_xlfn.IFNA(INDEX(SAM!$B$8:$HA$215,MATCH($AL67,SAM!$A$8:$A$215,0),MATCH(AS$48,SAM!$B$7:$HA$7,0)),0)</f>
        <v>0.7709323513172649</v>
      </c>
      <c r="AT67" s="45">
        <f>_xlfn.IFNA(INDEX(SAM!$B$8:$HA$215,MATCH($AL67,SAM!$A$8:$A$215,0),MATCH(AT$48,SAM!$B$7:$HA$7,0)),0)</f>
        <v>0.743898128027633</v>
      </c>
      <c r="AU67" s="45">
        <f>_xlfn.IFNA(INDEX(SAM!$B$8:$HA$215,MATCH($AL67,SAM!$A$8:$A$215,0),MATCH(AU$48,SAM!$B$7:$HA$7,0)),0)</f>
        <v>1.4851911152210113</v>
      </c>
      <c r="AV67" s="45">
        <f>_xlfn.IFNA(INDEX(SAM!$B$8:$HA$215,MATCH($AL67,SAM!$A$8:$A$215,0),MATCH(AV$48,SAM!$B$7:$HA$7,0)),0)</f>
        <v>1.4272845035580319</v>
      </c>
      <c r="AW67" s="45">
        <f>_xlfn.IFNA(INDEX(SAM!$B$8:$HA$215,MATCH($AL67,SAM!$A$8:$A$215,0),MATCH(AW$48,SAM!$B$7:$HA$7,0)),0)</f>
        <v>0.39059170517125535</v>
      </c>
      <c r="AX67" s="45">
        <f>_xlfn.IFNA(INDEX(SAM!$B$8:$HA$215,MATCH($AL67,SAM!$A$8:$A$215,0),MATCH(AX$48,SAM!$B$7:$HA$7,0)),0)</f>
        <v>1.3273614403683727</v>
      </c>
      <c r="AY67" s="45">
        <f>_xlfn.IFNA(INDEX(SAM!$B$8:$HA$215,MATCH($AL67,SAM!$A$8:$A$215,0),MATCH(AY$48,SAM!$B$7:$HA$7,0)),0)</f>
        <v>2.5113910139855578</v>
      </c>
      <c r="AZ67" s="45">
        <f>_xlfn.IFNA(INDEX(SAM!$B$8:$HA$215,MATCH($AL67,SAM!$A$8:$A$215,0),MATCH(AZ$48,SAM!$B$7:$HA$7,0)),0)</f>
        <v>6.1185349262763342</v>
      </c>
      <c r="BA67" s="45">
        <f>_xlfn.IFNA(INDEX(SAM!$B$8:$HA$215,MATCH($AL67,SAM!$A$8:$A$215,0),MATCH(BA$48,SAM!$B$7:$HA$7,0)),0)</f>
        <v>22.704523848738258</v>
      </c>
      <c r="BB67" s="45"/>
      <c r="BC67" s="26" t="str">
        <f t="shared" si="115"/>
        <v>awatr</v>
      </c>
      <c r="BD67" s="45">
        <f>_xlfn.IFNA(INDEX(SAM!$B$8:$HA$215,MATCH($BC67,SAM!$A$8:$A$215,0),MATCH(BD$48,SAM!$B$7:$HA$7,0)),0)</f>
        <v>0</v>
      </c>
      <c r="BE67" s="45">
        <f>_xlfn.IFNA(INDEX(SAM!$B$8:$HA$215,MATCH($BC67,SAM!$A$8:$A$215,0),MATCH(BE$48,SAM!$B$7:$HA$7,0)),0)</f>
        <v>0</v>
      </c>
      <c r="BF67" s="45">
        <f>_xlfn.IFNA(INDEX(SAM!$B$8:$HA$215,MATCH($BC67,SAM!$A$8:$A$215,0),MATCH(BF$48,SAM!$B$7:$HA$7,0)),0)</f>
        <v>0</v>
      </c>
      <c r="BG67" s="45">
        <f>_xlfn.IFNA(INDEX(SAM!$B$8:$HA$215,MATCH($BC67,SAM!$A$8:$A$215,0),MATCH(BG$48,SAM!$B$7:$HA$7,0)),0)</f>
        <v>0</v>
      </c>
      <c r="BH67" s="45">
        <f>_xlfn.IFNA(INDEX(SAM!$B$8:$HA$215,MATCH($BC67,SAM!$A$8:$A$215,0),MATCH(BH$48,SAM!$B$7:$HA$7,0)),0)</f>
        <v>0</v>
      </c>
      <c r="BI67" s="45">
        <f>_xlfn.IFNA(INDEX(SAM!$B$8:$HA$215,MATCH($BC67,SAM!$A$8:$A$215,0),MATCH(BI$48,SAM!$B$7:$HA$7,0)),0)</f>
        <v>0</v>
      </c>
      <c r="BJ67" s="45">
        <f>_xlfn.IFNA(INDEX(SAM!$B$8:$HA$215,MATCH($BC67,SAM!$A$8:$A$215,0),MATCH(BJ$48,SAM!$B$7:$HA$7,0)),0)</f>
        <v>0</v>
      </c>
      <c r="BK67" s="45">
        <f>_xlfn.IFNA(INDEX(SAM!$B$8:$HA$215,MATCH($BC67,SAM!$A$8:$A$215,0),MATCH(BK$48,SAM!$B$7:$HA$7,0)),0)</f>
        <v>0</v>
      </c>
      <c r="BL67" s="45">
        <f>_xlfn.IFNA(INDEX(SAM!$B$8:$HA$215,MATCH($BC67,SAM!$A$8:$A$215,0),MATCH(BL$48,SAM!$B$7:$HA$7,0)),0)</f>
        <v>0</v>
      </c>
      <c r="BM67" s="45">
        <f>_xlfn.IFNA(INDEX(SAM!$B$8:$HA$215,MATCH($BC67,SAM!$A$8:$A$215,0),MATCH(BM$48,SAM!$B$7:$HA$7,0)),0)</f>
        <v>0</v>
      </c>
      <c r="BN67" s="45">
        <f>_xlfn.IFNA(INDEX(SAM!$B$8:$HA$215,MATCH($BC67,SAM!$A$8:$A$215,0),MATCH(BN$48,SAM!$B$7:$HA$7,0)),0)</f>
        <v>0</v>
      </c>
      <c r="BO67" s="45">
        <f>_xlfn.IFNA(INDEX(SAM!$B$8:$HA$215,MATCH($BC67,SAM!$A$8:$A$215,0),MATCH(BO$48,SAM!$B$7:$HA$7,0)),0)</f>
        <v>0</v>
      </c>
      <c r="BP67" s="45">
        <f>_xlfn.IFNA(INDEX(SAM!$B$8:$HA$215,MATCH($BC67,SAM!$A$8:$A$215,0),MATCH(BP$48,SAM!$B$7:$HA$7,0)),0)</f>
        <v>0</v>
      </c>
      <c r="BQ67" s="45">
        <f>_xlfn.IFNA(INDEX(SAM!$B$8:$HA$215,MATCH($BC67,SAM!$A$8:$A$215,0),MATCH(BQ$48,SAM!$B$7:$HA$7,0)),0)</f>
        <v>0</v>
      </c>
      <c r="BR67" s="45">
        <f>_xlfn.IFNA(INDEX(SAM!$B$8:$HA$215,MATCH($BC67,SAM!$A$8:$A$215,0),MATCH(BR$48,SAM!$B$7:$HA$7,0)),0)</f>
        <v>0</v>
      </c>
      <c r="BT67" t="str">
        <f t="shared" si="109"/>
        <v>cwatr</v>
      </c>
      <c r="BU67" s="7">
        <f t="shared" si="110"/>
        <v>47.748381774130507</v>
      </c>
      <c r="BW67" s="51" t="s">
        <v>290</v>
      </c>
      <c r="BX67" s="43">
        <f t="shared" si="116"/>
        <v>0.16382240171693888</v>
      </c>
    </row>
    <row r="68" spans="1:76" x14ac:dyDescent="0.35">
      <c r="A68" s="47" t="str">
        <f t="shared" si="118"/>
        <v>housing</v>
      </c>
      <c r="B68" s="47" t="s">
        <v>52</v>
      </c>
      <c r="C68" s="48">
        <f t="shared" si="79"/>
        <v>7.3996305220809289</v>
      </c>
      <c r="D68" s="48">
        <f t="shared" si="80"/>
        <v>7.4912350398950291</v>
      </c>
      <c r="E68" s="48">
        <f t="shared" si="81"/>
        <v>9.6790535471761672</v>
      </c>
      <c r="F68" s="48">
        <f t="shared" si="82"/>
        <v>7.958313196533779</v>
      </c>
      <c r="G68" s="48">
        <f t="shared" si="83"/>
        <v>8.1252863718952035</v>
      </c>
      <c r="H68" s="48">
        <f t="shared" si="84"/>
        <v>20.453568515874387</v>
      </c>
      <c r="I68" s="48">
        <f t="shared" si="85"/>
        <v>5.6857129300346845</v>
      </c>
      <c r="J68" s="48">
        <f t="shared" si="86"/>
        <v>6.5894713495343291</v>
      </c>
      <c r="K68" s="48">
        <f t="shared" si="87"/>
        <v>5.4092723842455728</v>
      </c>
      <c r="L68" s="48">
        <f t="shared" si="88"/>
        <v>6.3672743637319824</v>
      </c>
      <c r="M68" s="48">
        <f t="shared" si="89"/>
        <v>9.8834862777191557</v>
      </c>
      <c r="N68" s="48">
        <f t="shared" si="90"/>
        <v>12.318234153632215</v>
      </c>
      <c r="O68" s="48">
        <f t="shared" si="91"/>
        <v>9.5041315309487437</v>
      </c>
      <c r="P68" s="48">
        <f t="shared" si="92"/>
        <v>10.536431155655061</v>
      </c>
      <c r="Q68" s="48">
        <f t="shared" si="93"/>
        <v>9.0932104382238261</v>
      </c>
      <c r="R68" s="48">
        <f t="shared" si="94"/>
        <v>8.7898840632219812</v>
      </c>
      <c r="S68" s="47"/>
      <c r="T68" s="47" t="str">
        <f t="shared" si="111"/>
        <v>real</v>
      </c>
      <c r="U68" s="48">
        <f t="shared" si="112"/>
        <v>18.339456883453128</v>
      </c>
      <c r="V68" s="48">
        <f t="shared" si="95"/>
        <v>27.400850973533018</v>
      </c>
      <c r="W68" s="48">
        <f t="shared" si="96"/>
        <v>47.449260555758521</v>
      </c>
      <c r="X68" s="48">
        <f t="shared" si="97"/>
        <v>40.58801023752924</v>
      </c>
      <c r="Y68" s="48">
        <f t="shared" si="98"/>
        <v>37.489319987883356</v>
      </c>
      <c r="Z68" s="48">
        <f t="shared" si="99"/>
        <v>17.491937572013391</v>
      </c>
      <c r="AA68" s="48">
        <f t="shared" si="100"/>
        <v>6.1512608394697468</v>
      </c>
      <c r="AB68" s="48">
        <f t="shared" si="101"/>
        <v>9.0440864678040924</v>
      </c>
      <c r="AC68" s="48">
        <f t="shared" si="102"/>
        <v>19.695624889910469</v>
      </c>
      <c r="AD68" s="48">
        <f t="shared" si="103"/>
        <v>21.492280134736166</v>
      </c>
      <c r="AE68" s="48">
        <f t="shared" si="104"/>
        <v>4.3004222677918751</v>
      </c>
      <c r="AF68" s="48">
        <f t="shared" si="105"/>
        <v>13.619965130706799</v>
      </c>
      <c r="AG68" s="48">
        <f t="shared" si="106"/>
        <v>22.363643757657464</v>
      </c>
      <c r="AH68" s="48">
        <f t="shared" si="107"/>
        <v>60.985021342216207</v>
      </c>
      <c r="AI68" s="48">
        <f t="shared" si="108"/>
        <v>355.76980669638965</v>
      </c>
      <c r="AJ68" s="48">
        <f t="shared" si="113"/>
        <v>702.18094773685311</v>
      </c>
      <c r="AK68" s="47"/>
      <c r="AL68" s="47" t="str">
        <f t="shared" si="114"/>
        <v>creal</v>
      </c>
      <c r="AM68" s="48">
        <f>_xlfn.IFNA(INDEX(SAM!$B$8:$HA$215,MATCH($AL68,SAM!$A$8:$A$215,0),MATCH(AM$48,SAM!$B$7:$HA$7,0)),0)</f>
        <v>18.339456883453128</v>
      </c>
      <c r="AN68" s="48">
        <f>_xlfn.IFNA(INDEX(SAM!$B$8:$HA$215,MATCH($AL68,SAM!$A$8:$A$215,0),MATCH(AN$48,SAM!$B$7:$HA$7,0)),0)</f>
        <v>27.400850973533018</v>
      </c>
      <c r="AO68" s="48">
        <f>_xlfn.IFNA(INDEX(SAM!$B$8:$HA$215,MATCH($AL68,SAM!$A$8:$A$215,0),MATCH(AO$48,SAM!$B$7:$HA$7,0)),0)</f>
        <v>47.449260555758521</v>
      </c>
      <c r="AP68" s="48">
        <f>_xlfn.IFNA(INDEX(SAM!$B$8:$HA$215,MATCH($AL68,SAM!$A$8:$A$215,0),MATCH(AP$48,SAM!$B$7:$HA$7,0)),0)</f>
        <v>40.58801023752924</v>
      </c>
      <c r="AQ68" s="48">
        <f>_xlfn.IFNA(INDEX(SAM!$B$8:$HA$215,MATCH($AL68,SAM!$A$8:$A$215,0),MATCH(AQ$48,SAM!$B$7:$HA$7,0)),0)</f>
        <v>37.489319987883356</v>
      </c>
      <c r="AR68" s="48">
        <f>_xlfn.IFNA(INDEX(SAM!$B$8:$HA$215,MATCH($AL68,SAM!$A$8:$A$215,0),MATCH(AR$48,SAM!$B$7:$HA$7,0)),0)</f>
        <v>17.491937572013391</v>
      </c>
      <c r="AS68" s="48">
        <f>_xlfn.IFNA(INDEX(SAM!$B$8:$HA$215,MATCH($AL68,SAM!$A$8:$A$215,0),MATCH(AS$48,SAM!$B$7:$HA$7,0)),0)</f>
        <v>6.1512608394697468</v>
      </c>
      <c r="AT68" s="48">
        <f>_xlfn.IFNA(INDEX(SAM!$B$8:$HA$215,MATCH($AL68,SAM!$A$8:$A$215,0),MATCH(AT$48,SAM!$B$7:$HA$7,0)),0)</f>
        <v>9.0440864678040924</v>
      </c>
      <c r="AU68" s="48">
        <f>_xlfn.IFNA(INDEX(SAM!$B$8:$HA$215,MATCH($AL68,SAM!$A$8:$A$215,0),MATCH(AU$48,SAM!$B$7:$HA$7,0)),0)</f>
        <v>19.695624889910469</v>
      </c>
      <c r="AV68" s="48">
        <f>_xlfn.IFNA(INDEX(SAM!$B$8:$HA$215,MATCH($AL68,SAM!$A$8:$A$215,0),MATCH(AV$48,SAM!$B$7:$HA$7,0)),0)</f>
        <v>21.492280134736166</v>
      </c>
      <c r="AW68" s="48">
        <f>_xlfn.IFNA(INDEX(SAM!$B$8:$HA$215,MATCH($AL68,SAM!$A$8:$A$215,0),MATCH(AW$48,SAM!$B$7:$HA$7,0)),0)</f>
        <v>4.3004222677918751</v>
      </c>
      <c r="AX68" s="48">
        <f>_xlfn.IFNA(INDEX(SAM!$B$8:$HA$215,MATCH($AL68,SAM!$A$8:$A$215,0),MATCH(AX$48,SAM!$B$7:$HA$7,0)),0)</f>
        <v>13.619965130706799</v>
      </c>
      <c r="AY68" s="48">
        <f>_xlfn.IFNA(INDEX(SAM!$B$8:$HA$215,MATCH($AL68,SAM!$A$8:$A$215,0),MATCH(AY$48,SAM!$B$7:$HA$7,0)),0)</f>
        <v>22.363643757657464</v>
      </c>
      <c r="AZ68" s="48">
        <f>_xlfn.IFNA(INDEX(SAM!$B$8:$HA$215,MATCH($AL68,SAM!$A$8:$A$215,0),MATCH(AZ$48,SAM!$B$7:$HA$7,0)),0)</f>
        <v>60.985021342216207</v>
      </c>
      <c r="BA68" s="48">
        <f>_xlfn.IFNA(INDEX(SAM!$B$8:$HA$215,MATCH($AL68,SAM!$A$8:$A$215,0),MATCH(BA$48,SAM!$B$7:$HA$7,0)),0)</f>
        <v>355.76980669638965</v>
      </c>
      <c r="BB68" s="48"/>
      <c r="BC68" s="47" t="str">
        <f t="shared" si="115"/>
        <v>areal</v>
      </c>
      <c r="BD68" s="48">
        <f>_xlfn.IFNA(INDEX(SAM!$B$8:$HA$215,MATCH($BC68,SAM!$A$8:$A$215,0),MATCH(BD$48,SAM!$B$7:$HA$7,0)),0)</f>
        <v>0</v>
      </c>
      <c r="BE68" s="48">
        <f>_xlfn.IFNA(INDEX(SAM!$B$8:$HA$215,MATCH($BC68,SAM!$A$8:$A$215,0),MATCH(BE$48,SAM!$B$7:$HA$7,0)),0)</f>
        <v>0</v>
      </c>
      <c r="BF68" s="48">
        <f>_xlfn.IFNA(INDEX(SAM!$B$8:$HA$215,MATCH($BC68,SAM!$A$8:$A$215,0),MATCH(BF$48,SAM!$B$7:$HA$7,0)),0)</f>
        <v>0</v>
      </c>
      <c r="BG68" s="48">
        <f>_xlfn.IFNA(INDEX(SAM!$B$8:$HA$215,MATCH($BC68,SAM!$A$8:$A$215,0),MATCH(BG$48,SAM!$B$7:$HA$7,0)),0)</f>
        <v>0</v>
      </c>
      <c r="BH68" s="48">
        <f>_xlfn.IFNA(INDEX(SAM!$B$8:$HA$215,MATCH($BC68,SAM!$A$8:$A$215,0),MATCH(BH$48,SAM!$B$7:$HA$7,0)),0)</f>
        <v>0</v>
      </c>
      <c r="BI68" s="48">
        <f>_xlfn.IFNA(INDEX(SAM!$B$8:$HA$215,MATCH($BC68,SAM!$A$8:$A$215,0),MATCH(BI$48,SAM!$B$7:$HA$7,0)),0)</f>
        <v>0</v>
      </c>
      <c r="BJ68" s="48">
        <f>_xlfn.IFNA(INDEX(SAM!$B$8:$HA$215,MATCH($BC68,SAM!$A$8:$A$215,0),MATCH(BJ$48,SAM!$B$7:$HA$7,0)),0)</f>
        <v>0</v>
      </c>
      <c r="BK68" s="48">
        <f>_xlfn.IFNA(INDEX(SAM!$B$8:$HA$215,MATCH($BC68,SAM!$A$8:$A$215,0),MATCH(BK$48,SAM!$B$7:$HA$7,0)),0)</f>
        <v>0</v>
      </c>
      <c r="BL68" s="48">
        <f>_xlfn.IFNA(INDEX(SAM!$B$8:$HA$215,MATCH($BC68,SAM!$A$8:$A$215,0),MATCH(BL$48,SAM!$B$7:$HA$7,0)),0)</f>
        <v>0</v>
      </c>
      <c r="BM68" s="48">
        <f>_xlfn.IFNA(INDEX(SAM!$B$8:$HA$215,MATCH($BC68,SAM!$A$8:$A$215,0),MATCH(BM$48,SAM!$B$7:$HA$7,0)),0)</f>
        <v>0</v>
      </c>
      <c r="BN68" s="48">
        <f>_xlfn.IFNA(INDEX(SAM!$B$8:$HA$215,MATCH($BC68,SAM!$A$8:$A$215,0),MATCH(BN$48,SAM!$B$7:$HA$7,0)),0)</f>
        <v>0</v>
      </c>
      <c r="BO68" s="48">
        <f>_xlfn.IFNA(INDEX(SAM!$B$8:$HA$215,MATCH($BC68,SAM!$A$8:$A$215,0),MATCH(BO$48,SAM!$B$7:$HA$7,0)),0)</f>
        <v>0</v>
      </c>
      <c r="BP68" s="48">
        <f>_xlfn.IFNA(INDEX(SAM!$B$8:$HA$215,MATCH($BC68,SAM!$A$8:$A$215,0),MATCH(BP$48,SAM!$B$7:$HA$7,0)),0)</f>
        <v>0</v>
      </c>
      <c r="BQ68" s="48">
        <f>_xlfn.IFNA(INDEX(SAM!$B$8:$HA$215,MATCH($BC68,SAM!$A$8:$A$215,0),MATCH(BQ$48,SAM!$B$7:$HA$7,0)),0)</f>
        <v>0</v>
      </c>
      <c r="BR68" s="48">
        <f>_xlfn.IFNA(INDEX(SAM!$B$8:$HA$215,MATCH($BC68,SAM!$A$8:$A$215,0),MATCH(BR$48,SAM!$B$7:$HA$7,0)),0)</f>
        <v>0</v>
      </c>
      <c r="BT68" t="str">
        <f t="shared" si="109"/>
        <v>creal</v>
      </c>
      <c r="BU68" s="7">
        <f t="shared" si="110"/>
        <v>702.18094773685311</v>
      </c>
      <c r="BW68" s="51" t="s">
        <v>291</v>
      </c>
      <c r="BX68" s="43">
        <f t="shared" si="116"/>
        <v>1.3773971001907148</v>
      </c>
    </row>
    <row r="69" spans="1:76" x14ac:dyDescent="0.35">
      <c r="A69" s="38" t="str">
        <f t="shared" si="118"/>
        <v>education, health and public</v>
      </c>
      <c r="B69" s="38" t="s">
        <v>55</v>
      </c>
      <c r="C69" s="46">
        <f t="shared" si="79"/>
        <v>4.28549867785636</v>
      </c>
      <c r="D69" s="46">
        <f t="shared" si="80"/>
        <v>4.2350296273507295</v>
      </c>
      <c r="E69" s="46">
        <f t="shared" si="81"/>
        <v>4.6425368776460063</v>
      </c>
      <c r="F69" s="46">
        <f t="shared" si="82"/>
        <v>5.6627740679708847</v>
      </c>
      <c r="G69" s="46">
        <f t="shared" si="83"/>
        <v>5.1722980819663027</v>
      </c>
      <c r="H69" s="46">
        <f t="shared" si="84"/>
        <v>2.7123402093781861</v>
      </c>
      <c r="I69" s="46">
        <f t="shared" si="85"/>
        <v>3.7301455289389871</v>
      </c>
      <c r="J69" s="46">
        <f t="shared" si="86"/>
        <v>4.8689086714564969</v>
      </c>
      <c r="K69" s="46">
        <f t="shared" si="87"/>
        <v>2.6808000167235031</v>
      </c>
      <c r="L69" s="46">
        <f t="shared" si="88"/>
        <v>4.4020902825920869</v>
      </c>
      <c r="M69" s="46">
        <f t="shared" si="89"/>
        <v>3.513806860933157</v>
      </c>
      <c r="N69" s="46">
        <f t="shared" si="90"/>
        <v>4.3431467217423982</v>
      </c>
      <c r="O69" s="46">
        <f t="shared" si="91"/>
        <v>4.423149526030679</v>
      </c>
      <c r="P69" s="46">
        <f t="shared" si="92"/>
        <v>4.96240258798169</v>
      </c>
      <c r="Q69" s="46">
        <f t="shared" si="93"/>
        <v>4.4576740990288322</v>
      </c>
      <c r="R69" s="46">
        <f t="shared" si="94"/>
        <v>4.4957114839941701</v>
      </c>
      <c r="S69" s="38"/>
      <c r="T69" s="38" t="str">
        <f t="shared" si="111"/>
        <v>educ</v>
      </c>
      <c r="U69" s="46">
        <f t="shared" si="112"/>
        <v>10.621303049133854</v>
      </c>
      <c r="V69" s="46">
        <f t="shared" si="95"/>
        <v>15.490558642138193</v>
      </c>
      <c r="W69" s="46">
        <f t="shared" si="96"/>
        <v>22.75893411204553</v>
      </c>
      <c r="X69" s="46">
        <f t="shared" si="97"/>
        <v>28.880583883494793</v>
      </c>
      <c r="Y69" s="46">
        <f t="shared" si="98"/>
        <v>23.864505076185022</v>
      </c>
      <c r="Z69" s="46">
        <f t="shared" si="99"/>
        <v>2.3195994175628938</v>
      </c>
      <c r="AA69" s="46">
        <f t="shared" si="100"/>
        <v>4.0355709829243143</v>
      </c>
      <c r="AB69" s="46">
        <f t="shared" si="101"/>
        <v>6.6826045205592406</v>
      </c>
      <c r="AC69" s="46">
        <f t="shared" si="102"/>
        <v>9.7610228850799139</v>
      </c>
      <c r="AD69" s="46">
        <f t="shared" si="103"/>
        <v>14.858941538749043</v>
      </c>
      <c r="AE69" s="46">
        <f t="shared" si="104"/>
        <v>1.5288990994546103</v>
      </c>
      <c r="AF69" s="46">
        <f t="shared" si="105"/>
        <v>4.8021093096556147</v>
      </c>
      <c r="AG69" s="46">
        <f t="shared" si="106"/>
        <v>10.407867353780947</v>
      </c>
      <c r="AH69" s="46">
        <f t="shared" si="107"/>
        <v>28.722460505453501</v>
      </c>
      <c r="AI69" s="46">
        <f t="shared" si="108"/>
        <v>174.4054933404538</v>
      </c>
      <c r="AJ69" s="46">
        <f t="shared" si="113"/>
        <v>359.14045371667123</v>
      </c>
      <c r="AK69" s="38"/>
      <c r="AL69" s="38" t="str">
        <f t="shared" si="114"/>
        <v>ceduc</v>
      </c>
      <c r="AM69" s="46">
        <f>_xlfn.IFNA(INDEX(SAM!$B$8:$HA$215,MATCH($AL69,SAM!$A$8:$A$215,0),MATCH(AM$48,SAM!$B$7:$HA$7,0)),0)</f>
        <v>10.621303049133854</v>
      </c>
      <c r="AN69" s="46">
        <f>_xlfn.IFNA(INDEX(SAM!$B$8:$HA$215,MATCH($AL69,SAM!$A$8:$A$215,0),MATCH(AN$48,SAM!$B$7:$HA$7,0)),0)</f>
        <v>15.490558642138193</v>
      </c>
      <c r="AO69" s="46">
        <f>_xlfn.IFNA(INDEX(SAM!$B$8:$HA$215,MATCH($AL69,SAM!$A$8:$A$215,0),MATCH(AO$48,SAM!$B$7:$HA$7,0)),0)</f>
        <v>22.75893411204553</v>
      </c>
      <c r="AP69" s="46">
        <f>_xlfn.IFNA(INDEX(SAM!$B$8:$HA$215,MATCH($AL69,SAM!$A$8:$A$215,0),MATCH(AP$48,SAM!$B$7:$HA$7,0)),0)</f>
        <v>28.880583883494793</v>
      </c>
      <c r="AQ69" s="46">
        <f>_xlfn.IFNA(INDEX(SAM!$B$8:$HA$215,MATCH($AL69,SAM!$A$8:$A$215,0),MATCH(AQ$48,SAM!$B$7:$HA$7,0)),0)</f>
        <v>23.864505076185022</v>
      </c>
      <c r="AR69" s="46">
        <f>_xlfn.IFNA(INDEX(SAM!$B$8:$HA$215,MATCH($AL69,SAM!$A$8:$A$215,0),MATCH(AR$48,SAM!$B$7:$HA$7,0)),0)</f>
        <v>2.3195994175628938</v>
      </c>
      <c r="AS69" s="46">
        <f>_xlfn.IFNA(INDEX(SAM!$B$8:$HA$215,MATCH($AL69,SAM!$A$8:$A$215,0),MATCH(AS$48,SAM!$B$7:$HA$7,0)),0)</f>
        <v>4.0355709829243143</v>
      </c>
      <c r="AT69" s="46">
        <f>_xlfn.IFNA(INDEX(SAM!$B$8:$HA$215,MATCH($AL69,SAM!$A$8:$A$215,0),MATCH(AT$48,SAM!$B$7:$HA$7,0)),0)</f>
        <v>6.6826045205592406</v>
      </c>
      <c r="AU69" s="46">
        <f>_xlfn.IFNA(INDEX(SAM!$B$8:$HA$215,MATCH($AL69,SAM!$A$8:$A$215,0),MATCH(AU$48,SAM!$B$7:$HA$7,0)),0)</f>
        <v>9.7610228850799139</v>
      </c>
      <c r="AV69" s="46">
        <f>_xlfn.IFNA(INDEX(SAM!$B$8:$HA$215,MATCH($AL69,SAM!$A$8:$A$215,0),MATCH(AV$48,SAM!$B$7:$HA$7,0)),0)</f>
        <v>14.858941538749043</v>
      </c>
      <c r="AW69" s="46">
        <f>_xlfn.IFNA(INDEX(SAM!$B$8:$HA$215,MATCH($AL69,SAM!$A$8:$A$215,0),MATCH(AW$48,SAM!$B$7:$HA$7,0)),0)</f>
        <v>1.5288990994546103</v>
      </c>
      <c r="AX69" s="46">
        <f>_xlfn.IFNA(INDEX(SAM!$B$8:$HA$215,MATCH($AL69,SAM!$A$8:$A$215,0),MATCH(AX$48,SAM!$B$7:$HA$7,0)),0)</f>
        <v>4.8021093096556147</v>
      </c>
      <c r="AY69" s="46">
        <f>_xlfn.IFNA(INDEX(SAM!$B$8:$HA$215,MATCH($AL69,SAM!$A$8:$A$215,0),MATCH(AY$48,SAM!$B$7:$HA$7,0)),0)</f>
        <v>10.407867353780947</v>
      </c>
      <c r="AZ69" s="46">
        <f>_xlfn.IFNA(INDEX(SAM!$B$8:$HA$215,MATCH($AL69,SAM!$A$8:$A$215,0),MATCH(AZ$48,SAM!$B$7:$HA$7,0)),0)</f>
        <v>28.722460505453501</v>
      </c>
      <c r="BA69" s="46">
        <f>_xlfn.IFNA(INDEX(SAM!$B$8:$HA$215,MATCH($AL69,SAM!$A$8:$A$215,0),MATCH(BA$48,SAM!$B$7:$HA$7,0)),0)</f>
        <v>174.4054933404538</v>
      </c>
      <c r="BB69" s="38"/>
      <c r="BC69" s="38" t="str">
        <f t="shared" si="115"/>
        <v>aeduc</v>
      </c>
      <c r="BD69" s="46">
        <f>_xlfn.IFNA(INDEX(SAM!$B$8:$HA$215,MATCH($BC69,SAM!$A$8:$A$215,0),MATCH(BD$48,SAM!$B$7:$HA$7,0)),0)</f>
        <v>0</v>
      </c>
      <c r="BE69" s="46">
        <f>_xlfn.IFNA(INDEX(SAM!$B$8:$HA$215,MATCH($BC69,SAM!$A$8:$A$215,0),MATCH(BE$48,SAM!$B$7:$HA$7,0)),0)</f>
        <v>0</v>
      </c>
      <c r="BF69" s="46">
        <f>_xlfn.IFNA(INDEX(SAM!$B$8:$HA$215,MATCH($BC69,SAM!$A$8:$A$215,0),MATCH(BF$48,SAM!$B$7:$HA$7,0)),0)</f>
        <v>0</v>
      </c>
      <c r="BG69" s="46">
        <f>_xlfn.IFNA(INDEX(SAM!$B$8:$HA$215,MATCH($BC69,SAM!$A$8:$A$215,0),MATCH(BG$48,SAM!$B$7:$HA$7,0)),0)</f>
        <v>0</v>
      </c>
      <c r="BH69" s="46">
        <f>_xlfn.IFNA(INDEX(SAM!$B$8:$HA$215,MATCH($BC69,SAM!$A$8:$A$215,0),MATCH(BH$48,SAM!$B$7:$HA$7,0)),0)</f>
        <v>0</v>
      </c>
      <c r="BI69" s="46">
        <f>_xlfn.IFNA(INDEX(SAM!$B$8:$HA$215,MATCH($BC69,SAM!$A$8:$A$215,0),MATCH(BI$48,SAM!$B$7:$HA$7,0)),0)</f>
        <v>0</v>
      </c>
      <c r="BJ69" s="46">
        <f>_xlfn.IFNA(INDEX(SAM!$B$8:$HA$215,MATCH($BC69,SAM!$A$8:$A$215,0),MATCH(BJ$48,SAM!$B$7:$HA$7,0)),0)</f>
        <v>0</v>
      </c>
      <c r="BK69" s="46">
        <f>_xlfn.IFNA(INDEX(SAM!$B$8:$HA$215,MATCH($BC69,SAM!$A$8:$A$215,0),MATCH(BK$48,SAM!$B$7:$HA$7,0)),0)</f>
        <v>0</v>
      </c>
      <c r="BL69" s="46">
        <f>_xlfn.IFNA(INDEX(SAM!$B$8:$HA$215,MATCH($BC69,SAM!$A$8:$A$215,0),MATCH(BL$48,SAM!$B$7:$HA$7,0)),0)</f>
        <v>0</v>
      </c>
      <c r="BM69" s="46">
        <f>_xlfn.IFNA(INDEX(SAM!$B$8:$HA$215,MATCH($BC69,SAM!$A$8:$A$215,0),MATCH(BM$48,SAM!$B$7:$HA$7,0)),0)</f>
        <v>0</v>
      </c>
      <c r="BN69" s="46">
        <f>_xlfn.IFNA(INDEX(SAM!$B$8:$HA$215,MATCH($BC69,SAM!$A$8:$A$215,0),MATCH(BN$48,SAM!$B$7:$HA$7,0)),0)</f>
        <v>0</v>
      </c>
      <c r="BO69" s="46">
        <f>_xlfn.IFNA(INDEX(SAM!$B$8:$HA$215,MATCH($BC69,SAM!$A$8:$A$215,0),MATCH(BO$48,SAM!$B$7:$HA$7,0)),0)</f>
        <v>0</v>
      </c>
      <c r="BP69" s="46">
        <f>_xlfn.IFNA(INDEX(SAM!$B$8:$HA$215,MATCH($BC69,SAM!$A$8:$A$215,0),MATCH(BP$48,SAM!$B$7:$HA$7,0)),0)</f>
        <v>0</v>
      </c>
      <c r="BQ69" s="46">
        <f>_xlfn.IFNA(INDEX(SAM!$B$8:$HA$215,MATCH($BC69,SAM!$A$8:$A$215,0),MATCH(BQ$48,SAM!$B$7:$HA$7,0)),0)</f>
        <v>0</v>
      </c>
      <c r="BR69" s="46">
        <f>_xlfn.IFNA(INDEX(SAM!$B$8:$HA$215,MATCH($BC69,SAM!$A$8:$A$215,0),MATCH(BR$48,SAM!$B$7:$HA$7,0)),0)</f>
        <v>0</v>
      </c>
      <c r="BT69" t="str">
        <f t="shared" si="109"/>
        <v>ceduc</v>
      </c>
      <c r="BU69" s="7">
        <f t="shared" si="110"/>
        <v>359.14045371667123</v>
      </c>
      <c r="BW69" s="51" t="s">
        <v>684</v>
      </c>
      <c r="BX69" s="43">
        <f t="shared" si="116"/>
        <v>8.5459483765236346</v>
      </c>
    </row>
    <row r="70" spans="1:76" x14ac:dyDescent="0.35">
      <c r="A70" t="str">
        <f t="shared" si="118"/>
        <v>education, health and public</v>
      </c>
      <c r="B70" t="s">
        <v>56</v>
      </c>
      <c r="C70" s="18">
        <f t="shared" si="79"/>
        <v>2.3797496326994874</v>
      </c>
      <c r="D70" s="18">
        <f t="shared" si="80"/>
        <v>3.2024429662810552</v>
      </c>
      <c r="E70" s="18">
        <f t="shared" si="81"/>
        <v>5.5628371393370806</v>
      </c>
      <c r="F70" s="18">
        <f t="shared" si="82"/>
        <v>2.9112291862782897</v>
      </c>
      <c r="G70" s="18">
        <f t="shared" si="83"/>
        <v>4.5135619399860198</v>
      </c>
      <c r="H70" s="18">
        <f t="shared" si="84"/>
        <v>3.1162858491710432</v>
      </c>
      <c r="I70" s="18">
        <f t="shared" si="85"/>
        <v>0.76707524261668891</v>
      </c>
      <c r="J70" s="18">
        <f t="shared" si="86"/>
        <v>2.9682629692512945</v>
      </c>
      <c r="K70" s="18">
        <f t="shared" si="87"/>
        <v>1.8861984966704446</v>
      </c>
      <c r="L70" s="18">
        <f t="shared" si="88"/>
        <v>1.431355050007209</v>
      </c>
      <c r="M70" s="18">
        <f t="shared" si="89"/>
        <v>2.4952251020400422</v>
      </c>
      <c r="N70" s="18">
        <f t="shared" si="90"/>
        <v>2.7024460314167511</v>
      </c>
      <c r="O70" s="18">
        <f t="shared" si="91"/>
        <v>5.2190135783220928</v>
      </c>
      <c r="P70" s="18">
        <f t="shared" si="92"/>
        <v>2.714863053699565</v>
      </c>
      <c r="Q70" s="18">
        <f t="shared" si="93"/>
        <v>2.4799134515793795</v>
      </c>
      <c r="R70" s="18">
        <f t="shared" si="94"/>
        <v>2.8655772991833941</v>
      </c>
      <c r="T70" t="str">
        <f t="shared" si="111"/>
        <v>heal</v>
      </c>
      <c r="U70" s="18">
        <f t="shared" si="112"/>
        <v>5.8980398618649224</v>
      </c>
      <c r="V70" s="18">
        <f t="shared" si="95"/>
        <v>11.713644279346468</v>
      </c>
      <c r="W70" s="18">
        <f t="shared" si="96"/>
        <v>27.270487508632787</v>
      </c>
      <c r="X70" s="18">
        <f t="shared" si="97"/>
        <v>14.847493067742274</v>
      </c>
      <c r="Y70" s="18">
        <f t="shared" si="98"/>
        <v>20.825157429349723</v>
      </c>
      <c r="Z70" s="18">
        <f t="shared" si="99"/>
        <v>2.665054632786573</v>
      </c>
      <c r="AA70" s="18">
        <f t="shared" si="100"/>
        <v>0.82988359751852769</v>
      </c>
      <c r="AB70" s="18">
        <f t="shared" si="101"/>
        <v>4.0739576104214725</v>
      </c>
      <c r="AC70" s="18">
        <f t="shared" si="102"/>
        <v>6.8678105703333667</v>
      </c>
      <c r="AD70" s="18">
        <f t="shared" si="103"/>
        <v>4.8314368047733058</v>
      </c>
      <c r="AE70" s="18">
        <f t="shared" si="104"/>
        <v>1.0857020782389923</v>
      </c>
      <c r="AF70" s="18">
        <f t="shared" si="105"/>
        <v>2.9880273630502439</v>
      </c>
      <c r="AG70" s="18">
        <f t="shared" si="106"/>
        <v>12.280570828792108</v>
      </c>
      <c r="AH70" s="18">
        <f t="shared" si="107"/>
        <v>15.71366801767603</v>
      </c>
      <c r="AI70" s="18">
        <f t="shared" si="108"/>
        <v>97.02605425070395</v>
      </c>
      <c r="AJ70" s="18">
        <f t="shared" si="113"/>
        <v>228.91698790123075</v>
      </c>
      <c r="AL70" t="str">
        <f t="shared" si="114"/>
        <v>cheal</v>
      </c>
      <c r="AM70" s="18">
        <f>_xlfn.IFNA(INDEX(SAM!$B$8:$HA$215,MATCH($AL70,SAM!$A$8:$A$215,0),MATCH(AM$48,SAM!$B$7:$HA$7,0)),0)</f>
        <v>5.8980398618649224</v>
      </c>
      <c r="AN70" s="18">
        <f>_xlfn.IFNA(INDEX(SAM!$B$8:$HA$215,MATCH($AL70,SAM!$A$8:$A$215,0),MATCH(AN$48,SAM!$B$7:$HA$7,0)),0)</f>
        <v>11.713644279346468</v>
      </c>
      <c r="AO70" s="18">
        <f>_xlfn.IFNA(INDEX(SAM!$B$8:$HA$215,MATCH($AL70,SAM!$A$8:$A$215,0),MATCH(AO$48,SAM!$B$7:$HA$7,0)),0)</f>
        <v>27.270487508632787</v>
      </c>
      <c r="AP70" s="18">
        <f>_xlfn.IFNA(INDEX(SAM!$B$8:$HA$215,MATCH($AL70,SAM!$A$8:$A$215,0),MATCH(AP$48,SAM!$B$7:$HA$7,0)),0)</f>
        <v>14.847493067742274</v>
      </c>
      <c r="AQ70" s="18">
        <f>_xlfn.IFNA(INDEX(SAM!$B$8:$HA$215,MATCH($AL70,SAM!$A$8:$A$215,0),MATCH(AQ$48,SAM!$B$7:$HA$7,0)),0)</f>
        <v>20.825157429349723</v>
      </c>
      <c r="AR70" s="18">
        <f>_xlfn.IFNA(INDEX(SAM!$B$8:$HA$215,MATCH($AL70,SAM!$A$8:$A$215,0),MATCH(AR$48,SAM!$B$7:$HA$7,0)),0)</f>
        <v>2.665054632786573</v>
      </c>
      <c r="AS70" s="18">
        <f>_xlfn.IFNA(INDEX(SAM!$B$8:$HA$215,MATCH($AL70,SAM!$A$8:$A$215,0),MATCH(AS$48,SAM!$B$7:$HA$7,0)),0)</f>
        <v>0.82988359751852769</v>
      </c>
      <c r="AT70" s="18">
        <f>_xlfn.IFNA(INDEX(SAM!$B$8:$HA$215,MATCH($AL70,SAM!$A$8:$A$215,0),MATCH(AT$48,SAM!$B$7:$HA$7,0)),0)</f>
        <v>4.0739576104214725</v>
      </c>
      <c r="AU70" s="18">
        <f>_xlfn.IFNA(INDEX(SAM!$B$8:$HA$215,MATCH($AL70,SAM!$A$8:$A$215,0),MATCH(AU$48,SAM!$B$7:$HA$7,0)),0)</f>
        <v>6.8678105703333667</v>
      </c>
      <c r="AV70" s="18">
        <f>_xlfn.IFNA(INDEX(SAM!$B$8:$HA$215,MATCH($AL70,SAM!$A$8:$A$215,0),MATCH(AV$48,SAM!$B$7:$HA$7,0)),0)</f>
        <v>4.8314368047733058</v>
      </c>
      <c r="AW70" s="18">
        <f>_xlfn.IFNA(INDEX(SAM!$B$8:$HA$215,MATCH($AL70,SAM!$A$8:$A$215,0),MATCH(AW$48,SAM!$B$7:$HA$7,0)),0)</f>
        <v>1.0857020782389923</v>
      </c>
      <c r="AX70" s="18">
        <f>_xlfn.IFNA(INDEX(SAM!$B$8:$HA$215,MATCH($AL70,SAM!$A$8:$A$215,0),MATCH(AX$48,SAM!$B$7:$HA$7,0)),0)</f>
        <v>2.9880273630502439</v>
      </c>
      <c r="AY70" s="18">
        <f>_xlfn.IFNA(INDEX(SAM!$B$8:$HA$215,MATCH($AL70,SAM!$A$8:$A$215,0),MATCH(AY$48,SAM!$B$7:$HA$7,0)),0)</f>
        <v>12.280570828792108</v>
      </c>
      <c r="AZ70" s="18">
        <f>_xlfn.IFNA(INDEX(SAM!$B$8:$HA$215,MATCH($AL70,SAM!$A$8:$A$215,0),MATCH(AZ$48,SAM!$B$7:$HA$7,0)),0)</f>
        <v>15.71366801767603</v>
      </c>
      <c r="BA70" s="18">
        <f>_xlfn.IFNA(INDEX(SAM!$B$8:$HA$215,MATCH($AL70,SAM!$A$8:$A$215,0),MATCH(BA$48,SAM!$B$7:$HA$7,0)),0)</f>
        <v>97.02605425070395</v>
      </c>
      <c r="BC70" t="str">
        <f t="shared" si="115"/>
        <v>aheal</v>
      </c>
      <c r="BD70" s="18">
        <f>_xlfn.IFNA(INDEX(SAM!$B$8:$HA$215,MATCH($BC70,SAM!$A$8:$A$215,0),MATCH(BD$48,SAM!$B$7:$HA$7,0)),0)</f>
        <v>0</v>
      </c>
      <c r="BE70" s="18">
        <f>_xlfn.IFNA(INDEX(SAM!$B$8:$HA$215,MATCH($BC70,SAM!$A$8:$A$215,0),MATCH(BE$48,SAM!$B$7:$HA$7,0)),0)</f>
        <v>0</v>
      </c>
      <c r="BF70" s="18">
        <f>_xlfn.IFNA(INDEX(SAM!$B$8:$HA$215,MATCH($BC70,SAM!$A$8:$A$215,0),MATCH(BF$48,SAM!$B$7:$HA$7,0)),0)</f>
        <v>0</v>
      </c>
      <c r="BG70" s="18">
        <f>_xlfn.IFNA(INDEX(SAM!$B$8:$HA$215,MATCH($BC70,SAM!$A$8:$A$215,0),MATCH(BG$48,SAM!$B$7:$HA$7,0)),0)</f>
        <v>0</v>
      </c>
      <c r="BH70" s="18">
        <f>_xlfn.IFNA(INDEX(SAM!$B$8:$HA$215,MATCH($BC70,SAM!$A$8:$A$215,0),MATCH(BH$48,SAM!$B$7:$HA$7,0)),0)</f>
        <v>0</v>
      </c>
      <c r="BI70" s="18">
        <f>_xlfn.IFNA(INDEX(SAM!$B$8:$HA$215,MATCH($BC70,SAM!$A$8:$A$215,0),MATCH(BI$48,SAM!$B$7:$HA$7,0)),0)</f>
        <v>0</v>
      </c>
      <c r="BJ70" s="18">
        <f>_xlfn.IFNA(INDEX(SAM!$B$8:$HA$215,MATCH($BC70,SAM!$A$8:$A$215,0),MATCH(BJ$48,SAM!$B$7:$HA$7,0)),0)</f>
        <v>0</v>
      </c>
      <c r="BK70" s="18">
        <f>_xlfn.IFNA(INDEX(SAM!$B$8:$HA$215,MATCH($BC70,SAM!$A$8:$A$215,0),MATCH(BK$48,SAM!$B$7:$HA$7,0)),0)</f>
        <v>0</v>
      </c>
      <c r="BL70" s="18">
        <f>_xlfn.IFNA(INDEX(SAM!$B$8:$HA$215,MATCH($BC70,SAM!$A$8:$A$215,0),MATCH(BL$48,SAM!$B$7:$HA$7,0)),0)</f>
        <v>0</v>
      </c>
      <c r="BM70" s="18">
        <f>_xlfn.IFNA(INDEX(SAM!$B$8:$HA$215,MATCH($BC70,SAM!$A$8:$A$215,0),MATCH(BM$48,SAM!$B$7:$HA$7,0)),0)</f>
        <v>0</v>
      </c>
      <c r="BN70" s="18">
        <f>_xlfn.IFNA(INDEX(SAM!$B$8:$HA$215,MATCH($BC70,SAM!$A$8:$A$215,0),MATCH(BN$48,SAM!$B$7:$HA$7,0)),0)</f>
        <v>0</v>
      </c>
      <c r="BO70" s="18">
        <f>_xlfn.IFNA(INDEX(SAM!$B$8:$HA$215,MATCH($BC70,SAM!$A$8:$A$215,0),MATCH(BO$48,SAM!$B$7:$HA$7,0)),0)</f>
        <v>0</v>
      </c>
      <c r="BP70" s="18">
        <f>_xlfn.IFNA(INDEX(SAM!$B$8:$HA$215,MATCH($BC70,SAM!$A$8:$A$215,0),MATCH(BP$48,SAM!$B$7:$HA$7,0)),0)</f>
        <v>0</v>
      </c>
      <c r="BQ70" s="18">
        <f>_xlfn.IFNA(INDEX(SAM!$B$8:$HA$215,MATCH($BC70,SAM!$A$8:$A$215,0),MATCH(BQ$48,SAM!$B$7:$HA$7,0)),0)</f>
        <v>0</v>
      </c>
      <c r="BR70" s="18">
        <f>_xlfn.IFNA(INDEX(SAM!$B$8:$HA$215,MATCH($BC70,SAM!$A$8:$A$215,0),MATCH(BR$48,SAM!$B$7:$HA$7,0)),0)</f>
        <v>0</v>
      </c>
      <c r="BT70" t="str">
        <f t="shared" si="109"/>
        <v>cheal</v>
      </c>
      <c r="BU70" s="7">
        <f t="shared" si="110"/>
        <v>228.91698790123075</v>
      </c>
      <c r="BW70" s="51" t="s">
        <v>685</v>
      </c>
      <c r="BX70" s="43">
        <f t="shared" si="116"/>
        <v>0.52661059006479582</v>
      </c>
    </row>
    <row r="71" spans="1:76" x14ac:dyDescent="0.35">
      <c r="A71" s="26" t="str">
        <f t="shared" si="118"/>
        <v>education, health and public</v>
      </c>
      <c r="B71" s="26" t="s">
        <v>54</v>
      </c>
      <c r="C71" s="45">
        <f t="shared" si="79"/>
        <v>0</v>
      </c>
      <c r="D71" s="45">
        <f t="shared" si="80"/>
        <v>0</v>
      </c>
      <c r="E71" s="45">
        <f t="shared" si="81"/>
        <v>0</v>
      </c>
      <c r="F71" s="45">
        <f t="shared" si="82"/>
        <v>0</v>
      </c>
      <c r="G71" s="45">
        <f t="shared" si="83"/>
        <v>0</v>
      </c>
      <c r="H71" s="45">
        <f t="shared" si="84"/>
        <v>0</v>
      </c>
      <c r="I71" s="45">
        <f t="shared" si="85"/>
        <v>0</v>
      </c>
      <c r="J71" s="45">
        <f t="shared" si="86"/>
        <v>0</v>
      </c>
      <c r="K71" s="45">
        <f t="shared" si="87"/>
        <v>0</v>
      </c>
      <c r="L71" s="45">
        <f t="shared" si="88"/>
        <v>0</v>
      </c>
      <c r="M71" s="45">
        <f t="shared" si="89"/>
        <v>0</v>
      </c>
      <c r="N71" s="45">
        <f t="shared" si="90"/>
        <v>0</v>
      </c>
      <c r="O71" s="45">
        <f t="shared" si="91"/>
        <v>0</v>
      </c>
      <c r="P71" s="45">
        <f t="shared" si="92"/>
        <v>0</v>
      </c>
      <c r="Q71" s="45">
        <f t="shared" si="93"/>
        <v>0</v>
      </c>
      <c r="R71" s="45">
        <f t="shared" si="94"/>
        <v>0</v>
      </c>
      <c r="S71" s="26"/>
      <c r="T71" s="26" t="str">
        <f t="shared" si="111"/>
        <v>padm</v>
      </c>
      <c r="U71" s="45">
        <f t="shared" si="112"/>
        <v>0</v>
      </c>
      <c r="V71" s="45">
        <f t="shared" si="95"/>
        <v>0</v>
      </c>
      <c r="W71" s="45">
        <f t="shared" si="96"/>
        <v>0</v>
      </c>
      <c r="X71" s="45">
        <f t="shared" si="97"/>
        <v>0</v>
      </c>
      <c r="Y71" s="45">
        <f t="shared" si="98"/>
        <v>0</v>
      </c>
      <c r="Z71" s="45">
        <f t="shared" si="99"/>
        <v>0</v>
      </c>
      <c r="AA71" s="45">
        <f t="shared" si="100"/>
        <v>0</v>
      </c>
      <c r="AB71" s="45">
        <f t="shared" si="101"/>
        <v>0</v>
      </c>
      <c r="AC71" s="45">
        <f t="shared" si="102"/>
        <v>0</v>
      </c>
      <c r="AD71" s="45">
        <f t="shared" si="103"/>
        <v>0</v>
      </c>
      <c r="AE71" s="45">
        <f t="shared" si="104"/>
        <v>0</v>
      </c>
      <c r="AF71" s="45">
        <f t="shared" si="105"/>
        <v>0</v>
      </c>
      <c r="AG71" s="45">
        <f t="shared" si="106"/>
        <v>0</v>
      </c>
      <c r="AH71" s="45">
        <f t="shared" si="107"/>
        <v>0</v>
      </c>
      <c r="AI71" s="45">
        <f t="shared" si="108"/>
        <v>0</v>
      </c>
      <c r="AJ71" s="45">
        <f t="shared" si="113"/>
        <v>0</v>
      </c>
      <c r="AK71" s="26"/>
      <c r="AL71" s="26" t="str">
        <f t="shared" si="114"/>
        <v>cpadm</v>
      </c>
      <c r="AM71" s="45">
        <f>_xlfn.IFNA(INDEX(SAM!$B$8:$HA$215,MATCH($AL71,SAM!$A$8:$A$215,0),MATCH(AM$48,SAM!$B$7:$HA$7,0)),0)</f>
        <v>0</v>
      </c>
      <c r="AN71" s="45">
        <f>_xlfn.IFNA(INDEX(SAM!$B$8:$HA$215,MATCH($AL71,SAM!$A$8:$A$215,0),MATCH(AN$48,SAM!$B$7:$HA$7,0)),0)</f>
        <v>0</v>
      </c>
      <c r="AO71" s="45">
        <f>_xlfn.IFNA(INDEX(SAM!$B$8:$HA$215,MATCH($AL71,SAM!$A$8:$A$215,0),MATCH(AO$48,SAM!$B$7:$HA$7,0)),0)</f>
        <v>0</v>
      </c>
      <c r="AP71" s="45">
        <f>_xlfn.IFNA(INDEX(SAM!$B$8:$HA$215,MATCH($AL71,SAM!$A$8:$A$215,0),MATCH(AP$48,SAM!$B$7:$HA$7,0)),0)</f>
        <v>0</v>
      </c>
      <c r="AQ71" s="45">
        <f>_xlfn.IFNA(INDEX(SAM!$B$8:$HA$215,MATCH($AL71,SAM!$A$8:$A$215,0),MATCH(AQ$48,SAM!$B$7:$HA$7,0)),0)</f>
        <v>0</v>
      </c>
      <c r="AR71" s="45">
        <f>_xlfn.IFNA(INDEX(SAM!$B$8:$HA$215,MATCH($AL71,SAM!$A$8:$A$215,0),MATCH(AR$48,SAM!$B$7:$HA$7,0)),0)</f>
        <v>0</v>
      </c>
      <c r="AS71" s="45">
        <f>_xlfn.IFNA(INDEX(SAM!$B$8:$HA$215,MATCH($AL71,SAM!$A$8:$A$215,0),MATCH(AS$48,SAM!$B$7:$HA$7,0)),0)</f>
        <v>0</v>
      </c>
      <c r="AT71" s="45">
        <f>_xlfn.IFNA(INDEX(SAM!$B$8:$HA$215,MATCH($AL71,SAM!$A$8:$A$215,0),MATCH(AT$48,SAM!$B$7:$HA$7,0)),0)</f>
        <v>0</v>
      </c>
      <c r="AU71" s="45">
        <f>_xlfn.IFNA(INDEX(SAM!$B$8:$HA$215,MATCH($AL71,SAM!$A$8:$A$215,0),MATCH(AU$48,SAM!$B$7:$HA$7,0)),0)</f>
        <v>0</v>
      </c>
      <c r="AV71" s="45">
        <f>_xlfn.IFNA(INDEX(SAM!$B$8:$HA$215,MATCH($AL71,SAM!$A$8:$A$215,0),MATCH(AV$48,SAM!$B$7:$HA$7,0)),0)</f>
        <v>0</v>
      </c>
      <c r="AW71" s="45">
        <f>_xlfn.IFNA(INDEX(SAM!$B$8:$HA$215,MATCH($AL71,SAM!$A$8:$A$215,0),MATCH(AW$48,SAM!$B$7:$HA$7,0)),0)</f>
        <v>0</v>
      </c>
      <c r="AX71" s="45">
        <f>_xlfn.IFNA(INDEX(SAM!$B$8:$HA$215,MATCH($AL71,SAM!$A$8:$A$215,0),MATCH(AX$48,SAM!$B$7:$HA$7,0)),0)</f>
        <v>0</v>
      </c>
      <c r="AY71" s="45">
        <f>_xlfn.IFNA(INDEX(SAM!$B$8:$HA$215,MATCH($AL71,SAM!$A$8:$A$215,0),MATCH(AY$48,SAM!$B$7:$HA$7,0)),0)</f>
        <v>0</v>
      </c>
      <c r="AZ71" s="45">
        <f>_xlfn.IFNA(INDEX(SAM!$B$8:$HA$215,MATCH($AL71,SAM!$A$8:$A$215,0),MATCH(AZ$48,SAM!$B$7:$HA$7,0)),0)</f>
        <v>0</v>
      </c>
      <c r="BA71" s="45">
        <f>_xlfn.IFNA(INDEX(SAM!$B$8:$HA$215,MATCH($AL71,SAM!$A$8:$A$215,0),MATCH(BA$48,SAM!$B$7:$HA$7,0)),0)</f>
        <v>0</v>
      </c>
      <c r="BB71" s="26"/>
      <c r="BC71" s="26" t="str">
        <f t="shared" si="115"/>
        <v>apadm</v>
      </c>
      <c r="BD71" s="45">
        <f>_xlfn.IFNA(INDEX(SAM!$B$8:$HA$215,MATCH($BC71,SAM!$A$8:$A$215,0),MATCH(BD$48,SAM!$B$7:$HA$7,0)),0)</f>
        <v>0</v>
      </c>
      <c r="BE71" s="45">
        <f>_xlfn.IFNA(INDEX(SAM!$B$8:$HA$215,MATCH($BC71,SAM!$A$8:$A$215,0),MATCH(BE$48,SAM!$B$7:$HA$7,0)),0)</f>
        <v>0</v>
      </c>
      <c r="BF71" s="45">
        <f>_xlfn.IFNA(INDEX(SAM!$B$8:$HA$215,MATCH($BC71,SAM!$A$8:$A$215,0),MATCH(BF$48,SAM!$B$7:$HA$7,0)),0)</f>
        <v>0</v>
      </c>
      <c r="BG71" s="45">
        <f>_xlfn.IFNA(INDEX(SAM!$B$8:$HA$215,MATCH($BC71,SAM!$A$8:$A$215,0),MATCH(BG$48,SAM!$B$7:$HA$7,0)),0)</f>
        <v>0</v>
      </c>
      <c r="BH71" s="45">
        <f>_xlfn.IFNA(INDEX(SAM!$B$8:$HA$215,MATCH($BC71,SAM!$A$8:$A$215,0),MATCH(BH$48,SAM!$B$7:$HA$7,0)),0)</f>
        <v>0</v>
      </c>
      <c r="BI71" s="45">
        <f>_xlfn.IFNA(INDEX(SAM!$B$8:$HA$215,MATCH($BC71,SAM!$A$8:$A$215,0),MATCH(BI$48,SAM!$B$7:$HA$7,0)),0)</f>
        <v>0</v>
      </c>
      <c r="BJ71" s="45">
        <f>_xlfn.IFNA(INDEX(SAM!$B$8:$HA$215,MATCH($BC71,SAM!$A$8:$A$215,0),MATCH(BJ$48,SAM!$B$7:$HA$7,0)),0)</f>
        <v>0</v>
      </c>
      <c r="BK71" s="45">
        <f>_xlfn.IFNA(INDEX(SAM!$B$8:$HA$215,MATCH($BC71,SAM!$A$8:$A$215,0),MATCH(BK$48,SAM!$B$7:$HA$7,0)),0)</f>
        <v>0</v>
      </c>
      <c r="BL71" s="45">
        <f>_xlfn.IFNA(INDEX(SAM!$B$8:$HA$215,MATCH($BC71,SAM!$A$8:$A$215,0),MATCH(BL$48,SAM!$B$7:$HA$7,0)),0)</f>
        <v>0</v>
      </c>
      <c r="BM71" s="45">
        <f>_xlfn.IFNA(INDEX(SAM!$B$8:$HA$215,MATCH($BC71,SAM!$A$8:$A$215,0),MATCH(BM$48,SAM!$B$7:$HA$7,0)),0)</f>
        <v>0</v>
      </c>
      <c r="BN71" s="45">
        <f>_xlfn.IFNA(INDEX(SAM!$B$8:$HA$215,MATCH($BC71,SAM!$A$8:$A$215,0),MATCH(BN$48,SAM!$B$7:$HA$7,0)),0)</f>
        <v>0</v>
      </c>
      <c r="BO71" s="45">
        <f>_xlfn.IFNA(INDEX(SAM!$B$8:$HA$215,MATCH($BC71,SAM!$A$8:$A$215,0),MATCH(BO$48,SAM!$B$7:$HA$7,0)),0)</f>
        <v>0</v>
      </c>
      <c r="BP71" s="45">
        <f>_xlfn.IFNA(INDEX(SAM!$B$8:$HA$215,MATCH($BC71,SAM!$A$8:$A$215,0),MATCH(BP$48,SAM!$B$7:$HA$7,0)),0)</f>
        <v>0</v>
      </c>
      <c r="BQ71" s="45">
        <f>_xlfn.IFNA(INDEX(SAM!$B$8:$HA$215,MATCH($BC71,SAM!$A$8:$A$215,0),MATCH(BQ$48,SAM!$B$7:$HA$7,0)),0)</f>
        <v>0</v>
      </c>
      <c r="BR71" s="45">
        <f>_xlfn.IFNA(INDEX(SAM!$B$8:$HA$215,MATCH($BC71,SAM!$A$8:$A$215,0),MATCH(BR$48,SAM!$B$7:$HA$7,0)),0)</f>
        <v>0</v>
      </c>
      <c r="BT71" t="str">
        <f t="shared" si="109"/>
        <v>cpadm</v>
      </c>
      <c r="BU71" s="7">
        <f t="shared" si="110"/>
        <v>0</v>
      </c>
      <c r="BW71" s="51" t="s">
        <v>187</v>
      </c>
      <c r="BX71" s="43">
        <f t="shared" si="116"/>
        <v>2.5592067245614314</v>
      </c>
    </row>
    <row r="72" spans="1:76" x14ac:dyDescent="0.35">
      <c r="A72" t="str">
        <f t="shared" si="118"/>
        <v>other ag</v>
      </c>
      <c r="B72" t="s">
        <v>29</v>
      </c>
      <c r="C72" s="18">
        <f t="shared" si="79"/>
        <v>0</v>
      </c>
      <c r="D72" s="18">
        <f t="shared" si="80"/>
        <v>3.0132740346293749E-2</v>
      </c>
      <c r="E72" s="18">
        <f t="shared" si="81"/>
        <v>3.7546283737824898E-2</v>
      </c>
      <c r="F72" s="18">
        <f t="shared" si="82"/>
        <v>4.0125361750766066E-2</v>
      </c>
      <c r="G72" s="18">
        <f t="shared" si="83"/>
        <v>0.18755075432922172</v>
      </c>
      <c r="H72" s="18">
        <f t="shared" si="84"/>
        <v>2.3619271683168321E-2</v>
      </c>
      <c r="I72" s="18">
        <f t="shared" si="85"/>
        <v>0</v>
      </c>
      <c r="J72" s="18">
        <f t="shared" si="86"/>
        <v>2.1105443993441303E-2</v>
      </c>
      <c r="K72" s="18">
        <f t="shared" si="87"/>
        <v>6.2384119738375557E-2</v>
      </c>
      <c r="L72" s="18">
        <f t="shared" si="88"/>
        <v>0.1416769062836277</v>
      </c>
      <c r="M72" s="18">
        <f t="shared" si="89"/>
        <v>0</v>
      </c>
      <c r="N72" s="18">
        <f t="shared" si="90"/>
        <v>5.2192871963688617E-2</v>
      </c>
      <c r="O72" s="18">
        <f t="shared" si="91"/>
        <v>6.024825031366942E-2</v>
      </c>
      <c r="P72" s="18">
        <f t="shared" si="92"/>
        <v>3.506229762269842E-2</v>
      </c>
      <c r="Q72" s="18">
        <f t="shared" si="93"/>
        <v>0.29946983614050937</v>
      </c>
      <c r="R72" s="18">
        <f t="shared" si="94"/>
        <v>0.17822971215165434</v>
      </c>
      <c r="T72" t="str">
        <f t="shared" si="111"/>
        <v>ocrp</v>
      </c>
      <c r="U72" s="18">
        <f t="shared" si="112"/>
        <v>0</v>
      </c>
      <c r="V72" s="18">
        <f t="shared" si="95"/>
        <v>0.11021717023372561</v>
      </c>
      <c r="W72" s="18">
        <f t="shared" si="96"/>
        <v>0.18406173612876148</v>
      </c>
      <c r="X72" s="18">
        <f t="shared" si="97"/>
        <v>0.20464243531330148</v>
      </c>
      <c r="Y72" s="18">
        <f t="shared" si="98"/>
        <v>0.86534183796122544</v>
      </c>
      <c r="Z72" s="18">
        <f t="shared" si="99"/>
        <v>2.0199254005859819E-2</v>
      </c>
      <c r="AA72" s="18">
        <f t="shared" si="100"/>
        <v>0</v>
      </c>
      <c r="AB72" s="18">
        <f t="shared" si="101"/>
        <v>2.8967340518381478E-2</v>
      </c>
      <c r="AC72" s="18">
        <f t="shared" si="102"/>
        <v>0.22714593279363388</v>
      </c>
      <c r="AD72" s="18">
        <f t="shared" si="103"/>
        <v>0.47822028461889299</v>
      </c>
      <c r="AE72" s="18">
        <f t="shared" si="104"/>
        <v>0</v>
      </c>
      <c r="AF72" s="18">
        <f t="shared" si="105"/>
        <v>5.7708360415220247E-2</v>
      </c>
      <c r="AG72" s="18">
        <f t="shared" si="106"/>
        <v>0.1417668097973574</v>
      </c>
      <c r="AH72" s="18">
        <f t="shared" si="107"/>
        <v>0.20294110379867622</v>
      </c>
      <c r="AI72" s="18">
        <f t="shared" si="108"/>
        <v>11.716689769682642</v>
      </c>
      <c r="AJ72" s="18">
        <f t="shared" si="113"/>
        <v>14.237902035267677</v>
      </c>
      <c r="AL72" t="str">
        <f t="shared" si="114"/>
        <v>cocrp</v>
      </c>
      <c r="AM72" s="18">
        <f>_xlfn.IFNA(INDEX(SAM!$B$8:$HA$215,MATCH($AL72,SAM!$A$8:$A$215,0),MATCH(AM$48,SAM!$B$7:$HA$7,0)),0)</f>
        <v>0</v>
      </c>
      <c r="AN72" s="18">
        <f>_xlfn.IFNA(INDEX(SAM!$B$8:$HA$215,MATCH($AL72,SAM!$A$8:$A$215,0),MATCH(AN$48,SAM!$B$7:$HA$7,0)),0)</f>
        <v>0.11021717023372561</v>
      </c>
      <c r="AO72" s="18">
        <f>_xlfn.IFNA(INDEX(SAM!$B$8:$HA$215,MATCH($AL72,SAM!$A$8:$A$215,0),MATCH(AO$48,SAM!$B$7:$HA$7,0)),0)</f>
        <v>0.18406173612876148</v>
      </c>
      <c r="AP72" s="18">
        <f>_xlfn.IFNA(INDEX(SAM!$B$8:$HA$215,MATCH($AL72,SAM!$A$8:$A$215,0),MATCH(AP$48,SAM!$B$7:$HA$7,0)),0)</f>
        <v>0.20464243531330148</v>
      </c>
      <c r="AQ72" s="18">
        <f>_xlfn.IFNA(INDEX(SAM!$B$8:$HA$215,MATCH($AL72,SAM!$A$8:$A$215,0),MATCH(AQ$48,SAM!$B$7:$HA$7,0)),0)</f>
        <v>0.86534183796122544</v>
      </c>
      <c r="AR72" s="18">
        <f>_xlfn.IFNA(INDEX(SAM!$B$8:$HA$215,MATCH($AL72,SAM!$A$8:$A$215,0),MATCH(AR$48,SAM!$B$7:$HA$7,0)),0)</f>
        <v>2.0199254005859819E-2</v>
      </c>
      <c r="AS72" s="18">
        <f>_xlfn.IFNA(INDEX(SAM!$B$8:$HA$215,MATCH($AL72,SAM!$A$8:$A$215,0),MATCH(AS$48,SAM!$B$7:$HA$7,0)),0)</f>
        <v>0</v>
      </c>
      <c r="AT72" s="18">
        <f>_xlfn.IFNA(INDEX(SAM!$B$8:$HA$215,MATCH($AL72,SAM!$A$8:$A$215,0),MATCH(AT$48,SAM!$B$7:$HA$7,0)),0)</f>
        <v>2.8967340518381478E-2</v>
      </c>
      <c r="AU72" s="18">
        <f>_xlfn.IFNA(INDEX(SAM!$B$8:$HA$215,MATCH($AL72,SAM!$A$8:$A$215,0),MATCH(AU$48,SAM!$B$7:$HA$7,0)),0)</f>
        <v>0.22714593279363388</v>
      </c>
      <c r="AV72" s="18">
        <f>_xlfn.IFNA(INDEX(SAM!$B$8:$HA$215,MATCH($AL72,SAM!$A$8:$A$215,0),MATCH(AV$48,SAM!$B$7:$HA$7,0)),0)</f>
        <v>0.47822028461889299</v>
      </c>
      <c r="AW72" s="18">
        <f>_xlfn.IFNA(INDEX(SAM!$B$8:$HA$215,MATCH($AL72,SAM!$A$8:$A$215,0),MATCH(AW$48,SAM!$B$7:$HA$7,0)),0)</f>
        <v>0</v>
      </c>
      <c r="AX72" s="18">
        <f>_xlfn.IFNA(INDEX(SAM!$B$8:$HA$215,MATCH($AL72,SAM!$A$8:$A$215,0),MATCH(AX$48,SAM!$B$7:$HA$7,0)),0)</f>
        <v>5.7708360415220247E-2</v>
      </c>
      <c r="AY72" s="18">
        <f>_xlfn.IFNA(INDEX(SAM!$B$8:$HA$215,MATCH($AL72,SAM!$A$8:$A$215,0),MATCH(AY$48,SAM!$B$7:$HA$7,0)),0)</f>
        <v>0.1417668097973574</v>
      </c>
      <c r="AZ72" s="18">
        <f>_xlfn.IFNA(INDEX(SAM!$B$8:$HA$215,MATCH($AL72,SAM!$A$8:$A$215,0),MATCH(AZ$48,SAM!$B$7:$HA$7,0)),0)</f>
        <v>0.20294110379867622</v>
      </c>
      <c r="BA72" s="18">
        <f>_xlfn.IFNA(INDEX(SAM!$B$8:$HA$215,MATCH($AL72,SAM!$A$8:$A$215,0),MATCH(BA$48,SAM!$B$7:$HA$7,0)),0)</f>
        <v>11.716689769682642</v>
      </c>
      <c r="BB72" s="18"/>
      <c r="BC72" t="str">
        <f t="shared" si="115"/>
        <v>aocrp</v>
      </c>
      <c r="BD72" s="18">
        <f>_xlfn.IFNA(INDEX(SAM!$B$8:$HA$215,MATCH($BC72,SAM!$A$8:$A$215,0),MATCH(BD$48,SAM!$B$7:$HA$7,0)),0)</f>
        <v>0</v>
      </c>
      <c r="BE72" s="18">
        <f>_xlfn.IFNA(INDEX(SAM!$B$8:$HA$215,MATCH($BC72,SAM!$A$8:$A$215,0),MATCH(BE$48,SAM!$B$7:$HA$7,0)),0)</f>
        <v>0</v>
      </c>
      <c r="BF72" s="18">
        <f>_xlfn.IFNA(INDEX(SAM!$B$8:$HA$215,MATCH($BC72,SAM!$A$8:$A$215,0),MATCH(BF$48,SAM!$B$7:$HA$7,0)),0)</f>
        <v>0</v>
      </c>
      <c r="BG72" s="18">
        <f>_xlfn.IFNA(INDEX(SAM!$B$8:$HA$215,MATCH($BC72,SAM!$A$8:$A$215,0),MATCH(BG$48,SAM!$B$7:$HA$7,0)),0)</f>
        <v>0</v>
      </c>
      <c r="BH72" s="18">
        <f>_xlfn.IFNA(INDEX(SAM!$B$8:$HA$215,MATCH($BC72,SAM!$A$8:$A$215,0),MATCH(BH$48,SAM!$B$7:$HA$7,0)),0)</f>
        <v>0</v>
      </c>
      <c r="BI72" s="18">
        <f>_xlfn.IFNA(INDEX(SAM!$B$8:$HA$215,MATCH($BC72,SAM!$A$8:$A$215,0),MATCH(BI$48,SAM!$B$7:$HA$7,0)),0)</f>
        <v>0</v>
      </c>
      <c r="BJ72" s="18">
        <f>_xlfn.IFNA(INDEX(SAM!$B$8:$HA$215,MATCH($BC72,SAM!$A$8:$A$215,0),MATCH(BJ$48,SAM!$B$7:$HA$7,0)),0)</f>
        <v>0</v>
      </c>
      <c r="BK72" s="18">
        <f>_xlfn.IFNA(INDEX(SAM!$B$8:$HA$215,MATCH($BC72,SAM!$A$8:$A$215,0),MATCH(BK$48,SAM!$B$7:$HA$7,0)),0)</f>
        <v>0</v>
      </c>
      <c r="BL72" s="18">
        <f>_xlfn.IFNA(INDEX(SAM!$B$8:$HA$215,MATCH($BC72,SAM!$A$8:$A$215,0),MATCH(BL$48,SAM!$B$7:$HA$7,0)),0)</f>
        <v>0</v>
      </c>
      <c r="BM72" s="18">
        <f>_xlfn.IFNA(INDEX(SAM!$B$8:$HA$215,MATCH($BC72,SAM!$A$8:$A$215,0),MATCH(BM$48,SAM!$B$7:$HA$7,0)),0)</f>
        <v>0</v>
      </c>
      <c r="BN72" s="18">
        <f>_xlfn.IFNA(INDEX(SAM!$B$8:$HA$215,MATCH($BC72,SAM!$A$8:$A$215,0),MATCH(BN$48,SAM!$B$7:$HA$7,0)),0)</f>
        <v>0</v>
      </c>
      <c r="BO72" s="18">
        <f>_xlfn.IFNA(INDEX(SAM!$B$8:$HA$215,MATCH($BC72,SAM!$A$8:$A$215,0),MATCH(BO$48,SAM!$B$7:$HA$7,0)),0)</f>
        <v>0</v>
      </c>
      <c r="BP72" s="18">
        <f>_xlfn.IFNA(INDEX(SAM!$B$8:$HA$215,MATCH($BC72,SAM!$A$8:$A$215,0),MATCH(BP$48,SAM!$B$7:$HA$7,0)),0)</f>
        <v>0</v>
      </c>
      <c r="BQ72" s="18">
        <f>_xlfn.IFNA(INDEX(SAM!$B$8:$HA$215,MATCH($BC72,SAM!$A$8:$A$215,0),MATCH(BQ$48,SAM!$B$7:$HA$7,0)),0)</f>
        <v>0</v>
      </c>
      <c r="BR72" s="18">
        <f>_xlfn.IFNA(INDEX(SAM!$B$8:$HA$215,MATCH($BC72,SAM!$A$8:$A$215,0),MATCH(BR$48,SAM!$B$7:$HA$7,0)),0)</f>
        <v>0</v>
      </c>
      <c r="BT72" t="str">
        <f t="shared" si="109"/>
        <v>cocrp</v>
      </c>
      <c r="BU72" s="7">
        <f t="shared" si="110"/>
        <v>14.237902035267677</v>
      </c>
      <c r="BW72" s="51" t="s">
        <v>188</v>
      </c>
      <c r="BX72" s="43">
        <f t="shared" si="116"/>
        <v>0.47582035630850872</v>
      </c>
    </row>
    <row r="73" spans="1:76" x14ac:dyDescent="0.35">
      <c r="A73" t="s">
        <v>625</v>
      </c>
      <c r="B73" t="s">
        <v>728</v>
      </c>
      <c r="C73" s="18">
        <f t="shared" si="79"/>
        <v>0.15863426776874778</v>
      </c>
      <c r="D73" s="18">
        <f t="shared" si="80"/>
        <v>0.2187310500605476</v>
      </c>
      <c r="E73" s="18">
        <f t="shared" si="81"/>
        <v>0.16900020168955415</v>
      </c>
      <c r="F73" s="18">
        <f t="shared" si="82"/>
        <v>0.1126471695021052</v>
      </c>
      <c r="G73" s="18">
        <f t="shared" si="83"/>
        <v>6.6427818310257222E-2</v>
      </c>
      <c r="H73" s="18">
        <f t="shared" si="84"/>
        <v>0.12351067955754609</v>
      </c>
      <c r="I73" s="18">
        <f t="shared" si="85"/>
        <v>0.12344686494567143</v>
      </c>
      <c r="J73" s="18">
        <f t="shared" si="86"/>
        <v>0.10524595059175862</v>
      </c>
      <c r="K73" s="18">
        <f t="shared" si="87"/>
        <v>5.2653073142812722E-2</v>
      </c>
      <c r="L73" s="18">
        <f t="shared" si="88"/>
        <v>4.9470629932539666E-2</v>
      </c>
      <c r="M73" s="18">
        <f t="shared" si="89"/>
        <v>0.10528424759458992</v>
      </c>
      <c r="N73" s="18">
        <f t="shared" si="90"/>
        <v>9.8819812421124142E-2</v>
      </c>
      <c r="O73" s="18">
        <f t="shared" si="91"/>
        <v>5.8903125878591332E-2</v>
      </c>
      <c r="P73" s="18">
        <f t="shared" si="92"/>
        <v>4.7863664006189667E-2</v>
      </c>
      <c r="Q73" s="18">
        <f t="shared" si="93"/>
        <v>2.5663944533734464E-2</v>
      </c>
      <c r="R73" s="18">
        <f t="shared" si="94"/>
        <v>6.5341863701955133E-2</v>
      </c>
      <c r="T73" t="str">
        <f t="shared" si="111"/>
        <v>becr</v>
      </c>
      <c r="U73" s="18">
        <f t="shared" ref="U73" si="120">IFERROR(AM73+BD73,"")</f>
        <v>0.39316372693226881</v>
      </c>
      <c r="V73" s="18">
        <f t="shared" ref="V73" si="121">IFERROR(AN73+BE73,"")</f>
        <v>0.80005725011632234</v>
      </c>
      <c r="W73" s="18">
        <f t="shared" ref="W73" si="122">IFERROR(AO73+BF73,"")</f>
        <v>0.82848333929125695</v>
      </c>
      <c r="X73" s="18">
        <f t="shared" ref="X73" si="123">IFERROR(AP73+BG73,"")</f>
        <v>0.57450924034649875</v>
      </c>
      <c r="Y73" s="18">
        <f t="shared" ref="Y73" si="124">IFERROR(AQ73+BH73,"")</f>
        <v>0.30649181121099928</v>
      </c>
      <c r="Z73" s="18">
        <f t="shared" ref="Z73" si="125">IFERROR(AR73+BI73,"")</f>
        <v>0.10562660958750496</v>
      </c>
      <c r="AA73" s="18">
        <f t="shared" ref="AA73" si="126">IFERROR(AS73+BJ73,"")</f>
        <v>0.13355473191133957</v>
      </c>
      <c r="AB73" s="18">
        <f t="shared" ref="AB73" si="127">IFERROR(AT73+BK73,"")</f>
        <v>0.14445065879304092</v>
      </c>
      <c r="AC73" s="18">
        <f t="shared" ref="AC73" si="128">IFERROR(AU73+BL73,"")</f>
        <v>0.19171435717347282</v>
      </c>
      <c r="AD73" s="18">
        <f t="shared" ref="AD73" si="129">IFERROR(AV73+BM73,"")</f>
        <v>0.16698458024805818</v>
      </c>
      <c r="AE73" s="18">
        <f t="shared" ref="AE73" si="130">IFERROR(AW73+BN73,"")</f>
        <v>4.5810426612741158E-2</v>
      </c>
      <c r="AF73" s="18">
        <f t="shared" ref="AF73" si="131">IFERROR(AX73+BO73,"")</f>
        <v>0.10926260879704355</v>
      </c>
      <c r="AG73" s="18">
        <f t="shared" ref="AG73" si="132">IFERROR(AY73+BP73,"")</f>
        <v>0.13860167223819697</v>
      </c>
      <c r="AH73" s="18">
        <f t="shared" ref="AH73" si="133">IFERROR(AZ73+BQ73,"")</f>
        <v>0.2770356041635112</v>
      </c>
      <c r="AI73" s="18">
        <f t="shared" ref="AI73" si="134">IFERROR(BA73+BR73,"")</f>
        <v>1.0040960393320695</v>
      </c>
      <c r="AJ73" s="18">
        <f t="shared" ref="AJ73" si="135">SUM(U73:AI73)</f>
        <v>5.2198426567543255</v>
      </c>
      <c r="AL73" t="str">
        <f t="shared" si="114"/>
        <v>cbecr</v>
      </c>
      <c r="AM73" s="18">
        <f>_xlfn.IFNA(INDEX(SAM!$B$8:$HA$215,MATCH($AL73,SAM!$A$8:$A$215,0),MATCH(AM$48,SAM!$B$7:$HA$7,0)),0)</f>
        <v>0.25640459621455963</v>
      </c>
      <c r="AN73" s="18">
        <f>_xlfn.IFNA(INDEX(SAM!$B$8:$HA$215,MATCH($AL73,SAM!$A$8:$A$215,0),MATCH(AN$48,SAM!$B$7:$HA$7,0)),0)</f>
        <v>0.5610783977943109</v>
      </c>
      <c r="AO73" s="18">
        <f>_xlfn.IFNA(INDEX(SAM!$B$8:$HA$215,MATCH($AL73,SAM!$A$8:$A$215,0),MATCH(AO$48,SAM!$B$7:$HA$7,0)),0)</f>
        <v>0.49334256804459392</v>
      </c>
      <c r="AP73" s="18">
        <f>_xlfn.IFNA(INDEX(SAM!$B$8:$HA$215,MATCH($AL73,SAM!$A$8:$A$215,0),MATCH(AP$48,SAM!$B$7:$HA$7,0)),0)</f>
        <v>0.30927496001572852</v>
      </c>
      <c r="AQ73" s="18">
        <f>_xlfn.IFNA(INDEX(SAM!$B$8:$HA$215,MATCH($AL73,SAM!$A$8:$A$215,0),MATCH(AQ$48,SAM!$B$7:$HA$7,0)),0)</f>
        <v>0.17744301652295882</v>
      </c>
      <c r="AR73" s="18">
        <f>_xlfn.IFNA(INDEX(SAM!$B$8:$HA$215,MATCH($AL73,SAM!$A$8:$A$215,0),MATCH(AR$48,SAM!$B$7:$HA$7,0)),0)</f>
        <v>0.10562660958750496</v>
      </c>
      <c r="AS73" s="18">
        <f>_xlfn.IFNA(INDEX(SAM!$B$8:$HA$215,MATCH($AL73,SAM!$A$8:$A$215,0),MATCH(AS$48,SAM!$B$7:$HA$7,0)),0)</f>
        <v>0.13355473191133957</v>
      </c>
      <c r="AT73" s="18">
        <f>_xlfn.IFNA(INDEX(SAM!$B$8:$HA$215,MATCH($AL73,SAM!$A$8:$A$215,0),MATCH(AT$48,SAM!$B$7:$HA$7,0)),0)</f>
        <v>0.14445065879304092</v>
      </c>
      <c r="AU73" s="18">
        <f>_xlfn.IFNA(INDEX(SAM!$B$8:$HA$215,MATCH($AL73,SAM!$A$8:$A$215,0),MATCH(AU$48,SAM!$B$7:$HA$7,0)),0)</f>
        <v>0.19171435717347282</v>
      </c>
      <c r="AV73" s="18">
        <f>_xlfn.IFNA(INDEX(SAM!$B$8:$HA$215,MATCH($AL73,SAM!$A$8:$A$215,0),MATCH(AV$48,SAM!$B$7:$HA$7,0)),0)</f>
        <v>0.16698458024805818</v>
      </c>
      <c r="AW73" s="18">
        <f>_xlfn.IFNA(INDEX(SAM!$B$8:$HA$215,MATCH($AL73,SAM!$A$8:$A$215,0),MATCH(AW$48,SAM!$B$7:$HA$7,0)),0)</f>
        <v>3.9417283292415624E-2</v>
      </c>
      <c r="AX73" s="18">
        <f>_xlfn.IFNA(INDEX(SAM!$B$8:$HA$215,MATCH($AL73,SAM!$A$8:$A$215,0),MATCH(AX$48,SAM!$B$7:$HA$7,0)),0)</f>
        <v>7.0833794047450507E-2</v>
      </c>
      <c r="AY73" s="18">
        <f>_xlfn.IFNA(INDEX(SAM!$B$8:$HA$215,MATCH($AL73,SAM!$A$8:$A$215,0),MATCH(AY$48,SAM!$B$7:$HA$7,0)),0)</f>
        <v>8.7525804281407035E-2</v>
      </c>
      <c r="AZ73" s="18">
        <f>_xlfn.IFNA(INDEX(SAM!$B$8:$HA$215,MATCH($AL73,SAM!$A$8:$A$215,0),MATCH(AZ$48,SAM!$B$7:$HA$7,0)),0)</f>
        <v>0.23798822297033517</v>
      </c>
      <c r="BA73" s="18">
        <f>_xlfn.IFNA(INDEX(SAM!$B$8:$HA$215,MATCH($AL73,SAM!$A$8:$A$215,0),MATCH(BA$48,SAM!$B$7:$HA$7,0)),0)</f>
        <v>0.9148982878891313</v>
      </c>
      <c r="BB73" s="18"/>
      <c r="BC73" t="str">
        <f t="shared" si="115"/>
        <v>abecr</v>
      </c>
      <c r="BD73" s="18">
        <f>_xlfn.IFNA(INDEX(SAM!$B$8:$HA$215,MATCH($BC73,SAM!$A$8:$A$215,0),MATCH(BD$48,SAM!$B$7:$HA$7,0)),0)</f>
        <v>0.13675913071770918</v>
      </c>
      <c r="BE73" s="18">
        <f>_xlfn.IFNA(INDEX(SAM!$B$8:$HA$215,MATCH($BC73,SAM!$A$8:$A$215,0),MATCH(BE$48,SAM!$B$7:$HA$7,0)),0)</f>
        <v>0.23897885232201149</v>
      </c>
      <c r="BF73" s="18">
        <f>_xlfn.IFNA(INDEX(SAM!$B$8:$HA$215,MATCH($BC73,SAM!$A$8:$A$215,0),MATCH(BF$48,SAM!$B$7:$HA$7,0)),0)</f>
        <v>0.33514077124666308</v>
      </c>
      <c r="BG73" s="18">
        <f>_xlfn.IFNA(INDEX(SAM!$B$8:$HA$215,MATCH($BC73,SAM!$A$8:$A$215,0),MATCH(BG$48,SAM!$B$7:$HA$7,0)),0)</f>
        <v>0.26523428033077023</v>
      </c>
      <c r="BH73" s="18">
        <f>_xlfn.IFNA(INDEX(SAM!$B$8:$HA$215,MATCH($BC73,SAM!$A$8:$A$215,0),MATCH(BH$48,SAM!$B$7:$HA$7,0)),0)</f>
        <v>0.12904879468804045</v>
      </c>
      <c r="BI73" s="18">
        <f>_xlfn.IFNA(INDEX(SAM!$B$8:$HA$215,MATCH($BC73,SAM!$A$8:$A$215,0),MATCH(BI$48,SAM!$B$7:$HA$7,0)),0)</f>
        <v>0</v>
      </c>
      <c r="BJ73" s="18">
        <f>_xlfn.IFNA(INDEX(SAM!$B$8:$HA$215,MATCH($BC73,SAM!$A$8:$A$215,0),MATCH(BJ$48,SAM!$B$7:$HA$7,0)),0)</f>
        <v>0</v>
      </c>
      <c r="BK73" s="18">
        <f>_xlfn.IFNA(INDEX(SAM!$B$8:$HA$215,MATCH($BC73,SAM!$A$8:$A$215,0),MATCH(BK$48,SAM!$B$7:$HA$7,0)),0)</f>
        <v>0</v>
      </c>
      <c r="BL73" s="18">
        <f>_xlfn.IFNA(INDEX(SAM!$B$8:$HA$215,MATCH($BC73,SAM!$A$8:$A$215,0),MATCH(BL$48,SAM!$B$7:$HA$7,0)),0)</f>
        <v>0</v>
      </c>
      <c r="BM73" s="18">
        <f>_xlfn.IFNA(INDEX(SAM!$B$8:$HA$215,MATCH($BC73,SAM!$A$8:$A$215,0),MATCH(BM$48,SAM!$B$7:$HA$7,0)),0)</f>
        <v>0</v>
      </c>
      <c r="BN73" s="18">
        <f>_xlfn.IFNA(INDEX(SAM!$B$8:$HA$215,MATCH($BC73,SAM!$A$8:$A$215,0),MATCH(BN$48,SAM!$B$7:$HA$7,0)),0)</f>
        <v>6.3931433203255365E-3</v>
      </c>
      <c r="BO73" s="18">
        <f>_xlfn.IFNA(INDEX(SAM!$B$8:$HA$215,MATCH($BC73,SAM!$A$8:$A$215,0),MATCH(BO$48,SAM!$B$7:$HA$7,0)),0)</f>
        <v>3.8428814749593046E-2</v>
      </c>
      <c r="BP73" s="18">
        <f>_xlfn.IFNA(INDEX(SAM!$B$8:$HA$215,MATCH($BC73,SAM!$A$8:$A$215,0),MATCH(BP$48,SAM!$B$7:$HA$7,0)),0)</f>
        <v>5.1075867956789922E-2</v>
      </c>
      <c r="BQ73" s="18">
        <f>_xlfn.IFNA(INDEX(SAM!$B$8:$HA$215,MATCH($BC73,SAM!$A$8:$A$215,0),MATCH(BQ$48,SAM!$B$7:$HA$7,0)),0)</f>
        <v>3.904738119317603E-2</v>
      </c>
      <c r="BR73" s="18">
        <f>_xlfn.IFNA(INDEX(SAM!$B$8:$HA$215,MATCH($BC73,SAM!$A$8:$A$215,0),MATCH(BR$48,SAM!$B$7:$HA$7,0)),0)</f>
        <v>8.9197751442938136E-2</v>
      </c>
      <c r="BT73" t="str">
        <f t="shared" si="109"/>
        <v>cbecr</v>
      </c>
      <c r="BU73" s="7">
        <f t="shared" si="110"/>
        <v>5.2198426567543246</v>
      </c>
      <c r="BW73" s="51" t="s">
        <v>189</v>
      </c>
      <c r="BX73" s="43">
        <f t="shared" si="116"/>
        <v>1.5858380245838506</v>
      </c>
    </row>
    <row r="74" spans="1:76" x14ac:dyDescent="0.35">
      <c r="A74" t="s">
        <v>625</v>
      </c>
      <c r="B74" t="s">
        <v>30</v>
      </c>
      <c r="C74" s="18">
        <f t="shared" si="79"/>
        <v>3.0387988893756401</v>
      </c>
      <c r="D74" s="18">
        <f t="shared" si="80"/>
        <v>3.6183555374276328</v>
      </c>
      <c r="E74" s="18">
        <f t="shared" si="81"/>
        <v>3.4067047827304942</v>
      </c>
      <c r="F74" s="18">
        <f t="shared" si="82"/>
        <v>3.2832682891016729</v>
      </c>
      <c r="G74" s="18">
        <f t="shared" si="83"/>
        <v>2.5929558424597379</v>
      </c>
      <c r="H74" s="18">
        <f t="shared" si="84"/>
        <v>2.7223992554088356</v>
      </c>
      <c r="I74" s="18">
        <f t="shared" si="85"/>
        <v>4.1314521050206476</v>
      </c>
      <c r="J74" s="18">
        <f t="shared" si="86"/>
        <v>3.9140979863836871</v>
      </c>
      <c r="K74" s="18">
        <f t="shared" si="87"/>
        <v>2.054853317093599</v>
      </c>
      <c r="L74" s="18">
        <f t="shared" si="88"/>
        <v>2.087786110514549</v>
      </c>
      <c r="M74" s="18">
        <f t="shared" si="89"/>
        <v>4.9942915630246425</v>
      </c>
      <c r="N74" s="18">
        <f t="shared" si="90"/>
        <v>4.4991476455751185</v>
      </c>
      <c r="O74" s="18">
        <f t="shared" si="91"/>
        <v>4.2205193619812844</v>
      </c>
      <c r="P74" s="18">
        <f t="shared" si="92"/>
        <v>3.2032316627009494</v>
      </c>
      <c r="Q74" s="18">
        <f t="shared" si="93"/>
        <v>0.81684573968202923</v>
      </c>
      <c r="R74" s="18">
        <f t="shared" si="94"/>
        <v>2.008542414035376</v>
      </c>
      <c r="T74" t="str">
        <f t="shared" si="111"/>
        <v>fore</v>
      </c>
      <c r="U74" s="18">
        <f t="shared" si="112"/>
        <v>7.5314464746433583</v>
      </c>
      <c r="V74" s="18">
        <f t="shared" si="95"/>
        <v>13.234936605553605</v>
      </c>
      <c r="W74" s="18">
        <f t="shared" si="96"/>
        <v>16.700560864185686</v>
      </c>
      <c r="X74" s="18">
        <f t="shared" si="97"/>
        <v>16.744921145935223</v>
      </c>
      <c r="Y74" s="18">
        <f t="shared" si="98"/>
        <v>11.963658490691598</v>
      </c>
      <c r="Z74" s="18">
        <f t="shared" si="99"/>
        <v>2.3282019362415078</v>
      </c>
      <c r="AA74" s="18">
        <f t="shared" si="100"/>
        <v>4.4697366638950813</v>
      </c>
      <c r="AB74" s="18">
        <f t="shared" si="101"/>
        <v>5.3721214881393475</v>
      </c>
      <c r="AC74" s="18">
        <f t="shared" si="102"/>
        <v>7.4818972428041857</v>
      </c>
      <c r="AD74" s="18">
        <f t="shared" si="103"/>
        <v>7.047172995116548</v>
      </c>
      <c r="AE74" s="18">
        <f t="shared" si="104"/>
        <v>2.1730755773794335</v>
      </c>
      <c r="AF74" s="18">
        <f t="shared" si="105"/>
        <v>4.9745956511604303</v>
      </c>
      <c r="AG74" s="18">
        <f t="shared" si="106"/>
        <v>9.9310695749833737</v>
      </c>
      <c r="AH74" s="18">
        <f t="shared" si="107"/>
        <v>18.540352841297054</v>
      </c>
      <c r="AI74" s="18">
        <f t="shared" si="108"/>
        <v>31.958905260330642</v>
      </c>
      <c r="AJ74" s="18">
        <f t="shared" si="113"/>
        <v>160.45265281235709</v>
      </c>
      <c r="AL74" t="str">
        <f t="shared" si="114"/>
        <v>cfore</v>
      </c>
      <c r="AM74" s="18">
        <f>_xlfn.IFNA(INDEX(SAM!$B$8:$HA$215,MATCH($AL74,SAM!$A$8:$A$215,0),MATCH(AM$48,SAM!$B$7:$HA$7,0)),0)</f>
        <v>7.5314464746433583</v>
      </c>
      <c r="AN74" s="18">
        <f>_xlfn.IFNA(INDEX(SAM!$B$8:$HA$215,MATCH($AL74,SAM!$A$8:$A$215,0),MATCH(AN$48,SAM!$B$7:$HA$7,0)),0)</f>
        <v>13.234936605553605</v>
      </c>
      <c r="AO74" s="18">
        <f>_xlfn.IFNA(INDEX(SAM!$B$8:$HA$215,MATCH($AL74,SAM!$A$8:$A$215,0),MATCH(AO$48,SAM!$B$7:$HA$7,0)),0)</f>
        <v>16.700560864185686</v>
      </c>
      <c r="AP74" s="18">
        <f>_xlfn.IFNA(INDEX(SAM!$B$8:$HA$215,MATCH($AL74,SAM!$A$8:$A$215,0),MATCH(AP$48,SAM!$B$7:$HA$7,0)),0)</f>
        <v>16.744921145935223</v>
      </c>
      <c r="AQ74" s="18">
        <f>_xlfn.IFNA(INDEX(SAM!$B$8:$HA$215,MATCH($AL74,SAM!$A$8:$A$215,0),MATCH(AQ$48,SAM!$B$7:$HA$7,0)),0)</f>
        <v>11.963658490691598</v>
      </c>
      <c r="AR74" s="18">
        <f>_xlfn.IFNA(INDEX(SAM!$B$8:$HA$215,MATCH($AL74,SAM!$A$8:$A$215,0),MATCH(AR$48,SAM!$B$7:$HA$7,0)),0)</f>
        <v>2.3282019362415078</v>
      </c>
      <c r="AS74" s="18">
        <f>_xlfn.IFNA(INDEX(SAM!$B$8:$HA$215,MATCH($AL74,SAM!$A$8:$A$215,0),MATCH(AS$48,SAM!$B$7:$HA$7,0)),0)</f>
        <v>4.4697366638950813</v>
      </c>
      <c r="AT74" s="18">
        <f>_xlfn.IFNA(INDEX(SAM!$B$8:$HA$215,MATCH($AL74,SAM!$A$8:$A$215,0),MATCH(AT$48,SAM!$B$7:$HA$7,0)),0)</f>
        <v>5.3721214881393475</v>
      </c>
      <c r="AU74" s="18">
        <f>_xlfn.IFNA(INDEX(SAM!$B$8:$HA$215,MATCH($AL74,SAM!$A$8:$A$215,0),MATCH(AU$48,SAM!$B$7:$HA$7,0)),0)</f>
        <v>7.4818972428041857</v>
      </c>
      <c r="AV74" s="18">
        <f>_xlfn.IFNA(INDEX(SAM!$B$8:$HA$215,MATCH($AL74,SAM!$A$8:$A$215,0),MATCH(AV$48,SAM!$B$7:$HA$7,0)),0)</f>
        <v>7.047172995116548</v>
      </c>
      <c r="AW74" s="18">
        <f>_xlfn.IFNA(INDEX(SAM!$B$8:$HA$215,MATCH($AL74,SAM!$A$8:$A$215,0),MATCH(AW$48,SAM!$B$7:$HA$7,0)),0)</f>
        <v>2.1730755773794335</v>
      </c>
      <c r="AX74" s="18">
        <f>_xlfn.IFNA(INDEX(SAM!$B$8:$HA$215,MATCH($AL74,SAM!$A$8:$A$215,0),MATCH(AX$48,SAM!$B$7:$HA$7,0)),0)</f>
        <v>4.9745956511604303</v>
      </c>
      <c r="AY74" s="18">
        <f>_xlfn.IFNA(INDEX(SAM!$B$8:$HA$215,MATCH($AL74,SAM!$A$8:$A$215,0),MATCH(AY$48,SAM!$B$7:$HA$7,0)),0)</f>
        <v>9.9310695749833737</v>
      </c>
      <c r="AZ74" s="18">
        <f>_xlfn.IFNA(INDEX(SAM!$B$8:$HA$215,MATCH($AL74,SAM!$A$8:$A$215,0),MATCH(AZ$48,SAM!$B$7:$HA$7,0)),0)</f>
        <v>18.540352841297054</v>
      </c>
      <c r="BA74" s="18">
        <f>_xlfn.IFNA(INDEX(SAM!$B$8:$HA$215,MATCH($AL74,SAM!$A$8:$A$215,0),MATCH(BA$48,SAM!$B$7:$HA$7,0)),0)</f>
        <v>31.958905260330642</v>
      </c>
      <c r="BB74" s="18"/>
      <c r="BC74" t="str">
        <f t="shared" si="115"/>
        <v>afore</v>
      </c>
      <c r="BD74" s="18">
        <f>_xlfn.IFNA(INDEX(SAM!$B$8:$HA$215,MATCH($BC74,SAM!$A$8:$A$215,0),MATCH(BD$48,SAM!$B$7:$HA$7,0)),0)</f>
        <v>0</v>
      </c>
      <c r="BE74" s="18">
        <f>_xlfn.IFNA(INDEX(SAM!$B$8:$HA$215,MATCH($BC74,SAM!$A$8:$A$215,0),MATCH(BE$48,SAM!$B$7:$HA$7,0)),0)</f>
        <v>0</v>
      </c>
      <c r="BF74" s="18">
        <f>_xlfn.IFNA(INDEX(SAM!$B$8:$HA$215,MATCH($BC74,SAM!$A$8:$A$215,0),MATCH(BF$48,SAM!$B$7:$HA$7,0)),0)</f>
        <v>0</v>
      </c>
      <c r="BG74" s="18">
        <f>_xlfn.IFNA(INDEX(SAM!$B$8:$HA$215,MATCH($BC74,SAM!$A$8:$A$215,0),MATCH(BG$48,SAM!$B$7:$HA$7,0)),0)</f>
        <v>0</v>
      </c>
      <c r="BH74" s="18">
        <f>_xlfn.IFNA(INDEX(SAM!$B$8:$HA$215,MATCH($BC74,SAM!$A$8:$A$215,0),MATCH(BH$48,SAM!$B$7:$HA$7,0)),0)</f>
        <v>0</v>
      </c>
      <c r="BI74" s="18">
        <f>_xlfn.IFNA(INDEX(SAM!$B$8:$HA$215,MATCH($BC74,SAM!$A$8:$A$215,0),MATCH(BI$48,SAM!$B$7:$HA$7,0)),0)</f>
        <v>0</v>
      </c>
      <c r="BJ74" s="18">
        <f>_xlfn.IFNA(INDEX(SAM!$B$8:$HA$215,MATCH($BC74,SAM!$A$8:$A$215,0),MATCH(BJ$48,SAM!$B$7:$HA$7,0)),0)</f>
        <v>0</v>
      </c>
      <c r="BK74" s="18">
        <f>_xlfn.IFNA(INDEX(SAM!$B$8:$HA$215,MATCH($BC74,SAM!$A$8:$A$215,0),MATCH(BK$48,SAM!$B$7:$HA$7,0)),0)</f>
        <v>0</v>
      </c>
      <c r="BL74" s="18">
        <f>_xlfn.IFNA(INDEX(SAM!$B$8:$HA$215,MATCH($BC74,SAM!$A$8:$A$215,0),MATCH(BL$48,SAM!$B$7:$HA$7,0)),0)</f>
        <v>0</v>
      </c>
      <c r="BM74" s="18">
        <f>_xlfn.IFNA(INDEX(SAM!$B$8:$HA$215,MATCH($BC74,SAM!$A$8:$A$215,0),MATCH(BM$48,SAM!$B$7:$HA$7,0)),0)</f>
        <v>0</v>
      </c>
      <c r="BN74" s="18">
        <f>_xlfn.IFNA(INDEX(SAM!$B$8:$HA$215,MATCH($BC74,SAM!$A$8:$A$215,0),MATCH(BN$48,SAM!$B$7:$HA$7,0)),0)</f>
        <v>0</v>
      </c>
      <c r="BO74" s="18">
        <f>_xlfn.IFNA(INDEX(SAM!$B$8:$HA$215,MATCH($BC74,SAM!$A$8:$A$215,0),MATCH(BO$48,SAM!$B$7:$HA$7,0)),0)</f>
        <v>0</v>
      </c>
      <c r="BP74" s="18">
        <f>_xlfn.IFNA(INDEX(SAM!$B$8:$HA$215,MATCH($BC74,SAM!$A$8:$A$215,0),MATCH(BP$48,SAM!$B$7:$HA$7,0)),0)</f>
        <v>0</v>
      </c>
      <c r="BQ74" s="18">
        <f>_xlfn.IFNA(INDEX(SAM!$B$8:$HA$215,MATCH($BC74,SAM!$A$8:$A$215,0),MATCH(BQ$48,SAM!$B$7:$HA$7,0)),0)</f>
        <v>0</v>
      </c>
      <c r="BR74" s="18">
        <f>_xlfn.IFNA(INDEX(SAM!$B$8:$HA$215,MATCH($BC74,SAM!$A$8:$A$215,0),MATCH(BR$48,SAM!$B$7:$HA$7,0)),0)</f>
        <v>0</v>
      </c>
      <c r="BT74" t="str">
        <f t="shared" si="109"/>
        <v>cfore</v>
      </c>
      <c r="BU74" s="7">
        <f t="shared" si="110"/>
        <v>160.45265281235709</v>
      </c>
      <c r="BW74" s="51" t="s">
        <v>190</v>
      </c>
      <c r="BX74" s="43">
        <f t="shared" si="116"/>
        <v>0</v>
      </c>
    </row>
    <row r="75" spans="1:76" x14ac:dyDescent="0.35">
      <c r="A75" s="26" t="s">
        <v>625</v>
      </c>
      <c r="B75" s="26" t="s">
        <v>709</v>
      </c>
      <c r="C75" s="45">
        <f t="shared" si="79"/>
        <v>0.59269314160573072</v>
      </c>
      <c r="D75" s="45">
        <f t="shared" si="80"/>
        <v>0.67790008708838023</v>
      </c>
      <c r="E75" s="45">
        <f t="shared" si="81"/>
        <v>0.72786095159586406</v>
      </c>
      <c r="F75" s="45">
        <f t="shared" si="82"/>
        <v>0.68608904441901719</v>
      </c>
      <c r="G75" s="45">
        <f t="shared" si="83"/>
        <v>0.73765707593200247</v>
      </c>
      <c r="H75" s="45">
        <f t="shared" si="84"/>
        <v>0.58578419174495178</v>
      </c>
      <c r="I75" s="45">
        <f t="shared" si="85"/>
        <v>0.62486742856283439</v>
      </c>
      <c r="J75" s="45">
        <f t="shared" si="86"/>
        <v>0.82083822736065926</v>
      </c>
      <c r="K75" s="45">
        <f t="shared" si="87"/>
        <v>0.45561416048311243</v>
      </c>
      <c r="L75" s="45">
        <f t="shared" si="88"/>
        <v>0.77825556902844206</v>
      </c>
      <c r="M75" s="45">
        <f t="shared" si="89"/>
        <v>0.93453089633466824</v>
      </c>
      <c r="N75" s="45">
        <f t="shared" si="90"/>
        <v>0.62405128488811168</v>
      </c>
      <c r="O75" s="45">
        <f t="shared" si="91"/>
        <v>0.57878541496531788</v>
      </c>
      <c r="P75" s="45">
        <f t="shared" si="92"/>
        <v>0.66337796234348823</v>
      </c>
      <c r="Q75" s="45">
        <f t="shared" si="93"/>
        <v>0.37729109932090127</v>
      </c>
      <c r="R75" s="45">
        <f t="shared" si="94"/>
        <v>0.52661059006479582</v>
      </c>
      <c r="S75" s="26"/>
      <c r="T75" s="26" t="str">
        <f t="shared" si="111"/>
        <v>oapr</v>
      </c>
      <c r="U75" s="45">
        <f t="shared" si="112"/>
        <v>1.4689477107216298</v>
      </c>
      <c r="V75" s="45">
        <f t="shared" si="95"/>
        <v>2.4795696787420574</v>
      </c>
      <c r="W75" s="45">
        <f t="shared" si="96"/>
        <v>3.5681653967820437</v>
      </c>
      <c r="X75" s="45">
        <f t="shared" si="97"/>
        <v>3.4991069679017408</v>
      </c>
      <c r="Y75" s="45">
        <f t="shared" si="98"/>
        <v>3.4034815383978794</v>
      </c>
      <c r="Z75" s="45">
        <f t="shared" si="99"/>
        <v>0.50096395182691589</v>
      </c>
      <c r="AA75" s="45">
        <f t="shared" si="100"/>
        <v>0.67603176426201927</v>
      </c>
      <c r="AB75" s="45">
        <f t="shared" si="101"/>
        <v>1.1266050811274055</v>
      </c>
      <c r="AC75" s="45">
        <f t="shared" si="102"/>
        <v>1.6589302519766516</v>
      </c>
      <c r="AD75" s="45">
        <f t="shared" si="103"/>
        <v>2.6269461233289877</v>
      </c>
      <c r="AE75" s="45">
        <f t="shared" si="104"/>
        <v>0.40662549262572123</v>
      </c>
      <c r="AF75" s="45">
        <f t="shared" si="105"/>
        <v>0.68999798460907114</v>
      </c>
      <c r="AG75" s="45">
        <f t="shared" si="106"/>
        <v>1.3619077966527484</v>
      </c>
      <c r="AH75" s="45">
        <f t="shared" si="107"/>
        <v>3.8396415820322729</v>
      </c>
      <c r="AI75" s="45">
        <f t="shared" si="108"/>
        <v>14.761429132820581</v>
      </c>
      <c r="AJ75" s="45">
        <f t="shared" si="113"/>
        <v>42.068350453807724</v>
      </c>
      <c r="AK75" s="26"/>
      <c r="AL75" s="26" t="str">
        <f t="shared" si="114"/>
        <v>coapr</v>
      </c>
      <c r="AM75" s="45">
        <f>_xlfn.IFNA(INDEX(SAM!$B$8:$HA$215,MATCH($AL75,SAM!$A$8:$A$215,0),MATCH(AM$48,SAM!$B$7:$HA$7,0)),0)</f>
        <v>1.4689477107216298</v>
      </c>
      <c r="AN75" s="45">
        <f>_xlfn.IFNA(INDEX(SAM!$B$8:$HA$215,MATCH($AL75,SAM!$A$8:$A$215,0),MATCH(AN$48,SAM!$B$7:$HA$7,0)),0)</f>
        <v>2.4795696787420574</v>
      </c>
      <c r="AO75" s="45">
        <f>_xlfn.IFNA(INDEX(SAM!$B$8:$HA$215,MATCH($AL75,SAM!$A$8:$A$215,0),MATCH(AO$48,SAM!$B$7:$HA$7,0)),0)</f>
        <v>3.5681653967820437</v>
      </c>
      <c r="AP75" s="45">
        <f>_xlfn.IFNA(INDEX(SAM!$B$8:$HA$215,MATCH($AL75,SAM!$A$8:$A$215,0),MATCH(AP$48,SAM!$B$7:$HA$7,0)),0)</f>
        <v>3.4991069679017408</v>
      </c>
      <c r="AQ75" s="45">
        <f>_xlfn.IFNA(INDEX(SAM!$B$8:$HA$215,MATCH($AL75,SAM!$A$8:$A$215,0),MATCH(AQ$48,SAM!$B$7:$HA$7,0)),0)</f>
        <v>3.4034815383978794</v>
      </c>
      <c r="AR75" s="45">
        <f>_xlfn.IFNA(INDEX(SAM!$B$8:$HA$215,MATCH($AL75,SAM!$A$8:$A$215,0),MATCH(AR$48,SAM!$B$7:$HA$7,0)),0)</f>
        <v>0.50096395182691589</v>
      </c>
      <c r="AS75" s="45">
        <f>_xlfn.IFNA(INDEX(SAM!$B$8:$HA$215,MATCH($AL75,SAM!$A$8:$A$215,0),MATCH(AS$48,SAM!$B$7:$HA$7,0)),0)</f>
        <v>0.67603176426201927</v>
      </c>
      <c r="AT75" s="45">
        <f>_xlfn.IFNA(INDEX(SAM!$B$8:$HA$215,MATCH($AL75,SAM!$A$8:$A$215,0),MATCH(AT$48,SAM!$B$7:$HA$7,0)),0)</f>
        <v>1.1266050811274055</v>
      </c>
      <c r="AU75" s="45">
        <f>_xlfn.IFNA(INDEX(SAM!$B$8:$HA$215,MATCH($AL75,SAM!$A$8:$A$215,0),MATCH(AU$48,SAM!$B$7:$HA$7,0)),0)</f>
        <v>1.6589302519766516</v>
      </c>
      <c r="AV75" s="45">
        <f>_xlfn.IFNA(INDEX(SAM!$B$8:$HA$215,MATCH($AL75,SAM!$A$8:$A$215,0),MATCH(AV$48,SAM!$B$7:$HA$7,0)),0)</f>
        <v>2.6269461233289877</v>
      </c>
      <c r="AW75" s="45">
        <f>_xlfn.IFNA(INDEX(SAM!$B$8:$HA$215,MATCH($AL75,SAM!$A$8:$A$215,0),MATCH(AW$48,SAM!$B$7:$HA$7,0)),0)</f>
        <v>0.40662549262572123</v>
      </c>
      <c r="AX75" s="45">
        <f>_xlfn.IFNA(INDEX(SAM!$B$8:$HA$215,MATCH($AL75,SAM!$A$8:$A$215,0),MATCH(AX$48,SAM!$B$7:$HA$7,0)),0)</f>
        <v>0.68999798460907114</v>
      </c>
      <c r="AY75" s="45">
        <f>_xlfn.IFNA(INDEX(SAM!$B$8:$HA$215,MATCH($AL75,SAM!$A$8:$A$215,0),MATCH(AY$48,SAM!$B$7:$HA$7,0)),0)</f>
        <v>1.3619077966527484</v>
      </c>
      <c r="AZ75" s="45">
        <f>_xlfn.IFNA(INDEX(SAM!$B$8:$HA$215,MATCH($AL75,SAM!$A$8:$A$215,0),MATCH(AZ$48,SAM!$B$7:$HA$7,0)),0)</f>
        <v>3.8396415820322729</v>
      </c>
      <c r="BA75" s="45">
        <f>_xlfn.IFNA(INDEX(SAM!$B$8:$HA$215,MATCH($AL75,SAM!$A$8:$A$215,0),MATCH(BA$48,SAM!$B$7:$HA$7,0)),0)</f>
        <v>14.761429132820581</v>
      </c>
      <c r="BB75" s="45"/>
      <c r="BC75" s="26" t="str">
        <f t="shared" si="115"/>
        <v>aoapr</v>
      </c>
      <c r="BD75" s="45">
        <f>_xlfn.IFNA(INDEX(SAM!$B$8:$HA$215,MATCH($BC75,SAM!$A$8:$A$215,0),MATCH(BD$48,SAM!$B$7:$HA$7,0)),0)</f>
        <v>0</v>
      </c>
      <c r="BE75" s="45">
        <f>_xlfn.IFNA(INDEX(SAM!$B$8:$HA$215,MATCH($BC75,SAM!$A$8:$A$215,0),MATCH(BE$48,SAM!$B$7:$HA$7,0)),0)</f>
        <v>0</v>
      </c>
      <c r="BF75" s="45">
        <f>_xlfn.IFNA(INDEX(SAM!$B$8:$HA$215,MATCH($BC75,SAM!$A$8:$A$215,0),MATCH(BF$48,SAM!$B$7:$HA$7,0)),0)</f>
        <v>0</v>
      </c>
      <c r="BG75" s="45">
        <f>_xlfn.IFNA(INDEX(SAM!$B$8:$HA$215,MATCH($BC75,SAM!$A$8:$A$215,0),MATCH(BG$48,SAM!$B$7:$HA$7,0)),0)</f>
        <v>0</v>
      </c>
      <c r="BH75" s="45">
        <f>_xlfn.IFNA(INDEX(SAM!$B$8:$HA$215,MATCH($BC75,SAM!$A$8:$A$215,0),MATCH(BH$48,SAM!$B$7:$HA$7,0)),0)</f>
        <v>0</v>
      </c>
      <c r="BI75" s="45">
        <f>_xlfn.IFNA(INDEX(SAM!$B$8:$HA$215,MATCH($BC75,SAM!$A$8:$A$215,0),MATCH(BI$48,SAM!$B$7:$HA$7,0)),0)</f>
        <v>0</v>
      </c>
      <c r="BJ75" s="45">
        <f>_xlfn.IFNA(INDEX(SAM!$B$8:$HA$215,MATCH($BC75,SAM!$A$8:$A$215,0),MATCH(BJ$48,SAM!$B$7:$HA$7,0)),0)</f>
        <v>0</v>
      </c>
      <c r="BK75" s="45">
        <f>_xlfn.IFNA(INDEX(SAM!$B$8:$HA$215,MATCH($BC75,SAM!$A$8:$A$215,0),MATCH(BK$48,SAM!$B$7:$HA$7,0)),0)</f>
        <v>0</v>
      </c>
      <c r="BL75" s="45">
        <f>_xlfn.IFNA(INDEX(SAM!$B$8:$HA$215,MATCH($BC75,SAM!$A$8:$A$215,0),MATCH(BL$48,SAM!$B$7:$HA$7,0)),0)</f>
        <v>0</v>
      </c>
      <c r="BM75" s="45">
        <f>_xlfn.IFNA(INDEX(SAM!$B$8:$HA$215,MATCH($BC75,SAM!$A$8:$A$215,0),MATCH(BM$48,SAM!$B$7:$HA$7,0)),0)</f>
        <v>0</v>
      </c>
      <c r="BN75" s="45">
        <f>_xlfn.IFNA(INDEX(SAM!$B$8:$HA$215,MATCH($BC75,SAM!$A$8:$A$215,0),MATCH(BN$48,SAM!$B$7:$HA$7,0)),0)</f>
        <v>0</v>
      </c>
      <c r="BO75" s="45">
        <f>_xlfn.IFNA(INDEX(SAM!$B$8:$HA$215,MATCH($BC75,SAM!$A$8:$A$215,0),MATCH(BO$48,SAM!$B$7:$HA$7,0)),0)</f>
        <v>0</v>
      </c>
      <c r="BP75" s="45">
        <f>_xlfn.IFNA(INDEX(SAM!$B$8:$HA$215,MATCH($BC75,SAM!$A$8:$A$215,0),MATCH(BP$48,SAM!$B$7:$HA$7,0)),0)</f>
        <v>0</v>
      </c>
      <c r="BQ75" s="45">
        <f>_xlfn.IFNA(INDEX(SAM!$B$8:$HA$215,MATCH($BC75,SAM!$A$8:$A$215,0),MATCH(BQ$48,SAM!$B$7:$HA$7,0)),0)</f>
        <v>0</v>
      </c>
      <c r="BR75" s="45">
        <f>_xlfn.IFNA(INDEX(SAM!$B$8:$HA$215,MATCH($BC75,SAM!$A$8:$A$215,0),MATCH(BR$48,SAM!$B$7:$HA$7,0)),0)</f>
        <v>0</v>
      </c>
      <c r="BT75" t="str">
        <f t="shared" si="109"/>
        <v>coapr</v>
      </c>
      <c r="BU75" s="7">
        <f t="shared" si="110"/>
        <v>42.068350453807724</v>
      </c>
      <c r="BW75" s="51" t="s">
        <v>191</v>
      </c>
      <c r="BX75" s="43">
        <f t="shared" si="116"/>
        <v>1.6718163018682299</v>
      </c>
    </row>
    <row r="76" spans="1:76" x14ac:dyDescent="0.35">
      <c r="A76" t="s">
        <v>627</v>
      </c>
      <c r="B76" t="s">
        <v>702</v>
      </c>
      <c r="C76" s="18">
        <f t="shared" si="79"/>
        <v>0</v>
      </c>
      <c r="D76" s="18">
        <f t="shared" si="80"/>
        <v>0</v>
      </c>
      <c r="E76" s="18">
        <f t="shared" si="81"/>
        <v>0</v>
      </c>
      <c r="F76" s="18">
        <f t="shared" si="82"/>
        <v>0</v>
      </c>
      <c r="G76" s="18">
        <f t="shared" si="83"/>
        <v>0</v>
      </c>
      <c r="H76" s="18">
        <f t="shared" si="84"/>
        <v>0</v>
      </c>
      <c r="I76" s="18">
        <f t="shared" si="85"/>
        <v>0</v>
      </c>
      <c r="J76" s="18">
        <f t="shared" si="86"/>
        <v>0</v>
      </c>
      <c r="K76" s="18">
        <f t="shared" si="87"/>
        <v>0</v>
      </c>
      <c r="L76" s="18">
        <f t="shared" si="88"/>
        <v>0</v>
      </c>
      <c r="M76" s="18">
        <f t="shared" si="89"/>
        <v>0</v>
      </c>
      <c r="N76" s="18">
        <f t="shared" si="90"/>
        <v>0</v>
      </c>
      <c r="O76" s="18">
        <f t="shared" si="91"/>
        <v>0</v>
      </c>
      <c r="P76" s="18">
        <f t="shared" si="92"/>
        <v>0</v>
      </c>
      <c r="Q76" s="18">
        <f t="shared" si="93"/>
        <v>0</v>
      </c>
      <c r="R76" s="18">
        <f t="shared" si="94"/>
        <v>0</v>
      </c>
      <c r="T76" t="str">
        <f t="shared" si="111"/>
        <v>mine</v>
      </c>
      <c r="U76" s="18">
        <f t="shared" si="112"/>
        <v>0</v>
      </c>
      <c r="V76" s="18">
        <f t="shared" si="95"/>
        <v>0</v>
      </c>
      <c r="W76" s="18">
        <f t="shared" si="96"/>
        <v>0</v>
      </c>
      <c r="X76" s="18">
        <f t="shared" si="97"/>
        <v>0</v>
      </c>
      <c r="Y76" s="18">
        <f t="shared" si="98"/>
        <v>0</v>
      </c>
      <c r="Z76" s="18">
        <f t="shared" si="99"/>
        <v>0</v>
      </c>
      <c r="AA76" s="18">
        <f t="shared" si="100"/>
        <v>0</v>
      </c>
      <c r="AB76" s="18">
        <f t="shared" si="101"/>
        <v>0</v>
      </c>
      <c r="AC76" s="18">
        <f t="shared" si="102"/>
        <v>0</v>
      </c>
      <c r="AD76" s="18">
        <f t="shared" si="103"/>
        <v>0</v>
      </c>
      <c r="AE76" s="18">
        <f t="shared" si="104"/>
        <v>0</v>
      </c>
      <c r="AF76" s="18">
        <f t="shared" si="105"/>
        <v>0</v>
      </c>
      <c r="AG76" s="18">
        <f t="shared" si="106"/>
        <v>0</v>
      </c>
      <c r="AH76" s="18">
        <f t="shared" si="107"/>
        <v>0</v>
      </c>
      <c r="AI76" s="18">
        <f t="shared" si="108"/>
        <v>0</v>
      </c>
      <c r="AJ76" s="18">
        <f t="shared" si="113"/>
        <v>0</v>
      </c>
      <c r="AL76" t="str">
        <f t="shared" si="114"/>
        <v>cmine</v>
      </c>
      <c r="AM76" s="18">
        <f>_xlfn.IFNA(INDEX(SAM!$B$8:$HA$215,MATCH($AL76,SAM!$A$8:$A$215,0),MATCH(AM$48,SAM!$B$7:$HA$7,0)),0)</f>
        <v>0</v>
      </c>
      <c r="AN76" s="18">
        <f>_xlfn.IFNA(INDEX(SAM!$B$8:$HA$215,MATCH($AL76,SAM!$A$8:$A$215,0),MATCH(AN$48,SAM!$B$7:$HA$7,0)),0)</f>
        <v>0</v>
      </c>
      <c r="AO76" s="18">
        <f>_xlfn.IFNA(INDEX(SAM!$B$8:$HA$215,MATCH($AL76,SAM!$A$8:$A$215,0),MATCH(AO$48,SAM!$B$7:$HA$7,0)),0)</f>
        <v>0</v>
      </c>
      <c r="AP76" s="18">
        <f>_xlfn.IFNA(INDEX(SAM!$B$8:$HA$215,MATCH($AL76,SAM!$A$8:$A$215,0),MATCH(AP$48,SAM!$B$7:$HA$7,0)),0)</f>
        <v>0</v>
      </c>
      <c r="AQ76" s="18">
        <f>_xlfn.IFNA(INDEX(SAM!$B$8:$HA$215,MATCH($AL76,SAM!$A$8:$A$215,0),MATCH(AQ$48,SAM!$B$7:$HA$7,0)),0)</f>
        <v>0</v>
      </c>
      <c r="AR76" s="18">
        <f>_xlfn.IFNA(INDEX(SAM!$B$8:$HA$215,MATCH($AL76,SAM!$A$8:$A$215,0),MATCH(AR$48,SAM!$B$7:$HA$7,0)),0)</f>
        <v>0</v>
      </c>
      <c r="AS76" s="18">
        <f>_xlfn.IFNA(INDEX(SAM!$B$8:$HA$215,MATCH($AL76,SAM!$A$8:$A$215,0),MATCH(AS$48,SAM!$B$7:$HA$7,0)),0)</f>
        <v>0</v>
      </c>
      <c r="AT76" s="18">
        <f>_xlfn.IFNA(INDEX(SAM!$B$8:$HA$215,MATCH($AL76,SAM!$A$8:$A$215,0),MATCH(AT$48,SAM!$B$7:$HA$7,0)),0)</f>
        <v>0</v>
      </c>
      <c r="AU76" s="18">
        <f>_xlfn.IFNA(INDEX(SAM!$B$8:$HA$215,MATCH($AL76,SAM!$A$8:$A$215,0),MATCH(AU$48,SAM!$B$7:$HA$7,0)),0)</f>
        <v>0</v>
      </c>
      <c r="AV76" s="18">
        <f>_xlfn.IFNA(INDEX(SAM!$B$8:$HA$215,MATCH($AL76,SAM!$A$8:$A$215,0),MATCH(AV$48,SAM!$B$7:$HA$7,0)),0)</f>
        <v>0</v>
      </c>
      <c r="AW76" s="18">
        <f>_xlfn.IFNA(INDEX(SAM!$B$8:$HA$215,MATCH($AL76,SAM!$A$8:$A$215,0),MATCH(AW$48,SAM!$B$7:$HA$7,0)),0)</f>
        <v>0</v>
      </c>
      <c r="AX76" s="18">
        <f>_xlfn.IFNA(INDEX(SAM!$B$8:$HA$215,MATCH($AL76,SAM!$A$8:$A$215,0),MATCH(AX$48,SAM!$B$7:$HA$7,0)),0)</f>
        <v>0</v>
      </c>
      <c r="AY76" s="18">
        <f>_xlfn.IFNA(INDEX(SAM!$B$8:$HA$215,MATCH($AL76,SAM!$A$8:$A$215,0),MATCH(AY$48,SAM!$B$7:$HA$7,0)),0)</f>
        <v>0</v>
      </c>
      <c r="AZ76" s="18">
        <f>_xlfn.IFNA(INDEX(SAM!$B$8:$HA$215,MATCH($AL76,SAM!$A$8:$A$215,0),MATCH(AZ$48,SAM!$B$7:$HA$7,0)),0)</f>
        <v>0</v>
      </c>
      <c r="BA76" s="18">
        <f>_xlfn.IFNA(INDEX(SAM!$B$8:$HA$215,MATCH($AL76,SAM!$A$8:$A$215,0),MATCH(BA$48,SAM!$B$7:$HA$7,0)),0)</f>
        <v>0</v>
      </c>
      <c r="BB76" s="18"/>
      <c r="BC76" t="str">
        <f t="shared" si="115"/>
        <v>amine</v>
      </c>
      <c r="BD76" s="18">
        <f>_xlfn.IFNA(INDEX(SAM!$B$8:$HA$215,MATCH($BC76,SAM!$A$8:$A$215,0),MATCH(BD$48,SAM!$B$7:$HA$7,0)),0)</f>
        <v>0</v>
      </c>
      <c r="BE76" s="18">
        <f>_xlfn.IFNA(INDEX(SAM!$B$8:$HA$215,MATCH($BC76,SAM!$A$8:$A$215,0),MATCH(BE$48,SAM!$B$7:$HA$7,0)),0)</f>
        <v>0</v>
      </c>
      <c r="BF76" s="18">
        <f>_xlfn.IFNA(INDEX(SAM!$B$8:$HA$215,MATCH($BC76,SAM!$A$8:$A$215,0),MATCH(BF$48,SAM!$B$7:$HA$7,0)),0)</f>
        <v>0</v>
      </c>
      <c r="BG76" s="18">
        <f>_xlfn.IFNA(INDEX(SAM!$B$8:$HA$215,MATCH($BC76,SAM!$A$8:$A$215,0),MATCH(BG$48,SAM!$B$7:$HA$7,0)),0)</f>
        <v>0</v>
      </c>
      <c r="BH76" s="18">
        <f>_xlfn.IFNA(INDEX(SAM!$B$8:$HA$215,MATCH($BC76,SAM!$A$8:$A$215,0),MATCH(BH$48,SAM!$B$7:$HA$7,0)),0)</f>
        <v>0</v>
      </c>
      <c r="BI76" s="18">
        <f>_xlfn.IFNA(INDEX(SAM!$B$8:$HA$215,MATCH($BC76,SAM!$A$8:$A$215,0),MATCH(BI$48,SAM!$B$7:$HA$7,0)),0)</f>
        <v>0</v>
      </c>
      <c r="BJ76" s="18">
        <f>_xlfn.IFNA(INDEX(SAM!$B$8:$HA$215,MATCH($BC76,SAM!$A$8:$A$215,0),MATCH(BJ$48,SAM!$B$7:$HA$7,0)),0)</f>
        <v>0</v>
      </c>
      <c r="BK76" s="18">
        <f>_xlfn.IFNA(INDEX(SAM!$B$8:$HA$215,MATCH($BC76,SAM!$A$8:$A$215,0),MATCH(BK$48,SAM!$B$7:$HA$7,0)),0)</f>
        <v>0</v>
      </c>
      <c r="BL76" s="18">
        <f>_xlfn.IFNA(INDEX(SAM!$B$8:$HA$215,MATCH($BC76,SAM!$A$8:$A$215,0),MATCH(BL$48,SAM!$B$7:$HA$7,0)),0)</f>
        <v>0</v>
      </c>
      <c r="BM76" s="18">
        <f>_xlfn.IFNA(INDEX(SAM!$B$8:$HA$215,MATCH($BC76,SAM!$A$8:$A$215,0),MATCH(BM$48,SAM!$B$7:$HA$7,0)),0)</f>
        <v>0</v>
      </c>
      <c r="BN76" s="18">
        <f>_xlfn.IFNA(INDEX(SAM!$B$8:$HA$215,MATCH($BC76,SAM!$A$8:$A$215,0),MATCH(BN$48,SAM!$B$7:$HA$7,0)),0)</f>
        <v>0</v>
      </c>
      <c r="BO76" s="18">
        <f>_xlfn.IFNA(INDEX(SAM!$B$8:$HA$215,MATCH($BC76,SAM!$A$8:$A$215,0),MATCH(BO$48,SAM!$B$7:$HA$7,0)),0)</f>
        <v>0</v>
      </c>
      <c r="BP76" s="18">
        <f>_xlfn.IFNA(INDEX(SAM!$B$8:$HA$215,MATCH($BC76,SAM!$A$8:$A$215,0),MATCH(BP$48,SAM!$B$7:$HA$7,0)),0)</f>
        <v>0</v>
      </c>
      <c r="BQ76" s="18">
        <f>_xlfn.IFNA(INDEX(SAM!$B$8:$HA$215,MATCH($BC76,SAM!$A$8:$A$215,0),MATCH(BQ$48,SAM!$B$7:$HA$7,0)),0)</f>
        <v>0</v>
      </c>
      <c r="BR76" s="18">
        <f>_xlfn.IFNA(INDEX(SAM!$B$8:$HA$215,MATCH($BC76,SAM!$A$8:$A$215,0),MATCH(BR$48,SAM!$B$7:$HA$7,0)),0)</f>
        <v>0</v>
      </c>
      <c r="BT76" t="str">
        <f t="shared" si="109"/>
        <v>cmine</v>
      </c>
      <c r="BU76" s="7">
        <f t="shared" si="110"/>
        <v>0</v>
      </c>
      <c r="BW76" s="51" t="s">
        <v>192</v>
      </c>
      <c r="BX76" s="43">
        <f t="shared" si="116"/>
        <v>6.9943839621566084E-2</v>
      </c>
    </row>
    <row r="77" spans="1:76" x14ac:dyDescent="0.35">
      <c r="A77" s="26" t="s">
        <v>627</v>
      </c>
      <c r="B77" s="26" t="s">
        <v>704</v>
      </c>
      <c r="C77" s="45">
        <f t="shared" si="79"/>
        <v>0</v>
      </c>
      <c r="D77" s="45">
        <f t="shared" si="80"/>
        <v>0</v>
      </c>
      <c r="E77" s="45">
        <f t="shared" si="81"/>
        <v>0</v>
      </c>
      <c r="F77" s="45">
        <f t="shared" si="82"/>
        <v>0</v>
      </c>
      <c r="G77" s="45">
        <f t="shared" si="83"/>
        <v>0</v>
      </c>
      <c r="H77" s="45">
        <f t="shared" si="84"/>
        <v>0</v>
      </c>
      <c r="I77" s="45">
        <f t="shared" si="85"/>
        <v>0</v>
      </c>
      <c r="J77" s="45">
        <f t="shared" si="86"/>
        <v>0</v>
      </c>
      <c r="K77" s="45">
        <f t="shared" si="87"/>
        <v>0</v>
      </c>
      <c r="L77" s="45">
        <f t="shared" si="88"/>
        <v>0</v>
      </c>
      <c r="M77" s="45">
        <f t="shared" si="89"/>
        <v>0</v>
      </c>
      <c r="N77" s="45">
        <f t="shared" si="90"/>
        <v>0</v>
      </c>
      <c r="O77" s="45">
        <f t="shared" si="91"/>
        <v>0</v>
      </c>
      <c r="P77" s="45">
        <f t="shared" si="92"/>
        <v>0</v>
      </c>
      <c r="Q77" s="45">
        <f t="shared" si="93"/>
        <v>0</v>
      </c>
      <c r="R77" s="45">
        <f t="shared" si="94"/>
        <v>0</v>
      </c>
      <c r="S77" s="26"/>
      <c r="T77" s="26" t="str">
        <f t="shared" si="111"/>
        <v>mino</v>
      </c>
      <c r="U77" s="45">
        <f t="shared" si="112"/>
        <v>0</v>
      </c>
      <c r="V77" s="45">
        <f t="shared" si="95"/>
        <v>0</v>
      </c>
      <c r="W77" s="45">
        <f t="shared" si="96"/>
        <v>0</v>
      </c>
      <c r="X77" s="45">
        <f t="shared" si="97"/>
        <v>0</v>
      </c>
      <c r="Y77" s="45">
        <f t="shared" si="98"/>
        <v>0</v>
      </c>
      <c r="Z77" s="45">
        <f t="shared" si="99"/>
        <v>0</v>
      </c>
      <c r="AA77" s="45">
        <f t="shared" si="100"/>
        <v>0</v>
      </c>
      <c r="AB77" s="45">
        <f t="shared" si="101"/>
        <v>0</v>
      </c>
      <c r="AC77" s="45">
        <f t="shared" si="102"/>
        <v>0</v>
      </c>
      <c r="AD77" s="45">
        <f t="shared" si="103"/>
        <v>0</v>
      </c>
      <c r="AE77" s="45">
        <f t="shared" si="104"/>
        <v>0</v>
      </c>
      <c r="AF77" s="45">
        <f t="shared" si="105"/>
        <v>0</v>
      </c>
      <c r="AG77" s="45">
        <f t="shared" si="106"/>
        <v>0</v>
      </c>
      <c r="AH77" s="45">
        <f t="shared" si="107"/>
        <v>0</v>
      </c>
      <c r="AI77" s="45">
        <f t="shared" si="108"/>
        <v>0</v>
      </c>
      <c r="AJ77" s="45">
        <f t="shared" si="113"/>
        <v>0</v>
      </c>
      <c r="AK77" s="26"/>
      <c r="AL77" s="26" t="str">
        <f t="shared" si="114"/>
        <v>cmino</v>
      </c>
      <c r="AM77" s="45">
        <f>_xlfn.IFNA(INDEX(SAM!$B$8:$HA$215,MATCH($AL77,SAM!$A$8:$A$215,0),MATCH(AM$48,SAM!$B$7:$HA$7,0)),0)</f>
        <v>0</v>
      </c>
      <c r="AN77" s="45">
        <f>_xlfn.IFNA(INDEX(SAM!$B$8:$HA$215,MATCH($AL77,SAM!$A$8:$A$215,0),MATCH(AN$48,SAM!$B$7:$HA$7,0)),0)</f>
        <v>0</v>
      </c>
      <c r="AO77" s="45">
        <f>_xlfn.IFNA(INDEX(SAM!$B$8:$HA$215,MATCH($AL77,SAM!$A$8:$A$215,0),MATCH(AO$48,SAM!$B$7:$HA$7,0)),0)</f>
        <v>0</v>
      </c>
      <c r="AP77" s="45">
        <f>_xlfn.IFNA(INDEX(SAM!$B$8:$HA$215,MATCH($AL77,SAM!$A$8:$A$215,0),MATCH(AP$48,SAM!$B$7:$HA$7,0)),0)</f>
        <v>0</v>
      </c>
      <c r="AQ77" s="45">
        <f>_xlfn.IFNA(INDEX(SAM!$B$8:$HA$215,MATCH($AL77,SAM!$A$8:$A$215,0),MATCH(AQ$48,SAM!$B$7:$HA$7,0)),0)</f>
        <v>0</v>
      </c>
      <c r="AR77" s="45">
        <f>_xlfn.IFNA(INDEX(SAM!$B$8:$HA$215,MATCH($AL77,SAM!$A$8:$A$215,0),MATCH(AR$48,SAM!$B$7:$HA$7,0)),0)</f>
        <v>0</v>
      </c>
      <c r="AS77" s="45">
        <f>_xlfn.IFNA(INDEX(SAM!$B$8:$HA$215,MATCH($AL77,SAM!$A$8:$A$215,0),MATCH(AS$48,SAM!$B$7:$HA$7,0)),0)</f>
        <v>0</v>
      </c>
      <c r="AT77" s="45">
        <f>_xlfn.IFNA(INDEX(SAM!$B$8:$HA$215,MATCH($AL77,SAM!$A$8:$A$215,0),MATCH(AT$48,SAM!$B$7:$HA$7,0)),0)</f>
        <v>0</v>
      </c>
      <c r="AU77" s="45">
        <f>_xlfn.IFNA(INDEX(SAM!$B$8:$HA$215,MATCH($AL77,SAM!$A$8:$A$215,0),MATCH(AU$48,SAM!$B$7:$HA$7,0)),0)</f>
        <v>0</v>
      </c>
      <c r="AV77" s="45">
        <f>_xlfn.IFNA(INDEX(SAM!$B$8:$HA$215,MATCH($AL77,SAM!$A$8:$A$215,0),MATCH(AV$48,SAM!$B$7:$HA$7,0)),0)</f>
        <v>0</v>
      </c>
      <c r="AW77" s="45">
        <f>_xlfn.IFNA(INDEX(SAM!$B$8:$HA$215,MATCH($AL77,SAM!$A$8:$A$215,0),MATCH(AW$48,SAM!$B$7:$HA$7,0)),0)</f>
        <v>0</v>
      </c>
      <c r="AX77" s="45">
        <f>_xlfn.IFNA(INDEX(SAM!$B$8:$HA$215,MATCH($AL77,SAM!$A$8:$A$215,0),MATCH(AX$48,SAM!$B$7:$HA$7,0)),0)</f>
        <v>0</v>
      </c>
      <c r="AY77" s="45">
        <f>_xlfn.IFNA(INDEX(SAM!$B$8:$HA$215,MATCH($AL77,SAM!$A$8:$A$215,0),MATCH(AY$48,SAM!$B$7:$HA$7,0)),0)</f>
        <v>0</v>
      </c>
      <c r="AZ77" s="45">
        <f>_xlfn.IFNA(INDEX(SAM!$B$8:$HA$215,MATCH($AL77,SAM!$A$8:$A$215,0),MATCH(AZ$48,SAM!$B$7:$HA$7,0)),0)</f>
        <v>0</v>
      </c>
      <c r="BA77" s="45">
        <f>_xlfn.IFNA(INDEX(SAM!$B$8:$HA$215,MATCH($AL77,SAM!$A$8:$A$215,0),MATCH(BA$48,SAM!$B$7:$HA$7,0)),0)</f>
        <v>0</v>
      </c>
      <c r="BB77" s="45"/>
      <c r="BC77" s="26" t="str">
        <f t="shared" si="115"/>
        <v>amino</v>
      </c>
      <c r="BD77" s="45">
        <f>_xlfn.IFNA(INDEX(SAM!$B$8:$HA$215,MATCH($BC77,SAM!$A$8:$A$215,0),MATCH(BD$48,SAM!$B$7:$HA$7,0)),0)</f>
        <v>0</v>
      </c>
      <c r="BE77" s="45">
        <f>_xlfn.IFNA(INDEX(SAM!$B$8:$HA$215,MATCH($BC77,SAM!$A$8:$A$215,0),MATCH(BE$48,SAM!$B$7:$HA$7,0)),0)</f>
        <v>0</v>
      </c>
      <c r="BF77" s="45">
        <f>_xlfn.IFNA(INDEX(SAM!$B$8:$HA$215,MATCH($BC77,SAM!$A$8:$A$215,0),MATCH(BF$48,SAM!$B$7:$HA$7,0)),0)</f>
        <v>0</v>
      </c>
      <c r="BG77" s="45">
        <f>_xlfn.IFNA(INDEX(SAM!$B$8:$HA$215,MATCH($BC77,SAM!$A$8:$A$215,0),MATCH(BG$48,SAM!$B$7:$HA$7,0)),0)</f>
        <v>0</v>
      </c>
      <c r="BH77" s="45">
        <f>_xlfn.IFNA(INDEX(SAM!$B$8:$HA$215,MATCH($BC77,SAM!$A$8:$A$215,0),MATCH(BH$48,SAM!$B$7:$HA$7,0)),0)</f>
        <v>0</v>
      </c>
      <c r="BI77" s="45">
        <f>_xlfn.IFNA(INDEX(SAM!$B$8:$HA$215,MATCH($BC77,SAM!$A$8:$A$215,0),MATCH(BI$48,SAM!$B$7:$HA$7,0)),0)</f>
        <v>0</v>
      </c>
      <c r="BJ77" s="45">
        <f>_xlfn.IFNA(INDEX(SAM!$B$8:$HA$215,MATCH($BC77,SAM!$A$8:$A$215,0),MATCH(BJ$48,SAM!$B$7:$HA$7,0)),0)</f>
        <v>0</v>
      </c>
      <c r="BK77" s="45">
        <f>_xlfn.IFNA(INDEX(SAM!$B$8:$HA$215,MATCH($BC77,SAM!$A$8:$A$215,0),MATCH(BK$48,SAM!$B$7:$HA$7,0)),0)</f>
        <v>0</v>
      </c>
      <c r="BL77" s="45">
        <f>_xlfn.IFNA(INDEX(SAM!$B$8:$HA$215,MATCH($BC77,SAM!$A$8:$A$215,0),MATCH(BL$48,SAM!$B$7:$HA$7,0)),0)</f>
        <v>0</v>
      </c>
      <c r="BM77" s="45">
        <f>_xlfn.IFNA(INDEX(SAM!$B$8:$HA$215,MATCH($BC77,SAM!$A$8:$A$215,0),MATCH(BM$48,SAM!$B$7:$HA$7,0)),0)</f>
        <v>0</v>
      </c>
      <c r="BN77" s="45">
        <f>_xlfn.IFNA(INDEX(SAM!$B$8:$HA$215,MATCH($BC77,SAM!$A$8:$A$215,0),MATCH(BN$48,SAM!$B$7:$HA$7,0)),0)</f>
        <v>0</v>
      </c>
      <c r="BO77" s="45">
        <f>_xlfn.IFNA(INDEX(SAM!$B$8:$HA$215,MATCH($BC77,SAM!$A$8:$A$215,0),MATCH(BO$48,SAM!$B$7:$HA$7,0)),0)</f>
        <v>0</v>
      </c>
      <c r="BP77" s="45">
        <f>_xlfn.IFNA(INDEX(SAM!$B$8:$HA$215,MATCH($BC77,SAM!$A$8:$A$215,0),MATCH(BP$48,SAM!$B$7:$HA$7,0)),0)</f>
        <v>0</v>
      </c>
      <c r="BQ77" s="45">
        <f>_xlfn.IFNA(INDEX(SAM!$B$8:$HA$215,MATCH($BC77,SAM!$A$8:$A$215,0),MATCH(BQ$48,SAM!$B$7:$HA$7,0)),0)</f>
        <v>0</v>
      </c>
      <c r="BR77" s="45">
        <f>_xlfn.IFNA(INDEX(SAM!$B$8:$HA$215,MATCH($BC77,SAM!$A$8:$A$215,0),MATCH(BR$48,SAM!$B$7:$HA$7,0)),0)</f>
        <v>0</v>
      </c>
      <c r="BT77" t="str">
        <f t="shared" si="109"/>
        <v>cmino</v>
      </c>
      <c r="BU77" s="7">
        <f t="shared" si="110"/>
        <v>0</v>
      </c>
      <c r="BW77" s="51" t="s">
        <v>193</v>
      </c>
      <c r="BX77" s="43">
        <f t="shared" si="116"/>
        <v>9.6680907385477133E-2</v>
      </c>
    </row>
    <row r="78" spans="1:76" x14ac:dyDescent="0.35">
      <c r="A78" t="str">
        <f t="shared" ref="A78:A94" si="136">HLOOKUP(B78,$B$6:$BR$9,4,FALSE)</f>
        <v>manufacturing</v>
      </c>
      <c r="B78" t="s">
        <v>37</v>
      </c>
      <c r="C78" s="18">
        <f t="shared" si="79"/>
        <v>0.60770222578768962</v>
      </c>
      <c r="D78" s="18">
        <f t="shared" si="80"/>
        <v>0.63678445128043915</v>
      </c>
      <c r="E78" s="18">
        <f t="shared" si="81"/>
        <v>0.59745264660349373</v>
      </c>
      <c r="F78" s="18">
        <f t="shared" si="82"/>
        <v>0.47309099173665509</v>
      </c>
      <c r="G78" s="18">
        <f t="shared" si="83"/>
        <v>0.30964922798156147</v>
      </c>
      <c r="H78" s="18">
        <f t="shared" si="84"/>
        <v>0.41211746336230737</v>
      </c>
      <c r="I78" s="18">
        <f t="shared" si="85"/>
        <v>0.47812389502482033</v>
      </c>
      <c r="J78" s="18">
        <f t="shared" si="86"/>
        <v>0.41861634626908528</v>
      </c>
      <c r="K78" s="18">
        <f t="shared" si="87"/>
        <v>0.29176056575008347</v>
      </c>
      <c r="L78" s="18">
        <f t="shared" si="88"/>
        <v>0.66122356716989483</v>
      </c>
      <c r="M78" s="18">
        <f t="shared" si="89"/>
        <v>0.64686469401375157</v>
      </c>
      <c r="N78" s="18">
        <f t="shared" si="90"/>
        <v>0.59437270713864265</v>
      </c>
      <c r="O78" s="18">
        <f t="shared" si="91"/>
        <v>0.73162767845722709</v>
      </c>
      <c r="P78" s="18">
        <f t="shared" si="92"/>
        <v>0.59727197463854609</v>
      </c>
      <c r="Q78" s="18">
        <f t="shared" si="93"/>
        <v>0.42299426953435598</v>
      </c>
      <c r="R78" s="18">
        <f t="shared" si="94"/>
        <v>0.47582035630850872</v>
      </c>
      <c r="T78" t="str">
        <f t="shared" ref="T78:T95" si="137">B78</f>
        <v>wood</v>
      </c>
      <c r="U78" s="18">
        <f t="shared" ref="U78:U94" si="138">IFERROR(AM78+BD78,"")</f>
        <v>1.506146656181645</v>
      </c>
      <c r="V78" s="18">
        <f t="shared" ref="V78:V94" si="139">IFERROR(AN78+BE78,"")</f>
        <v>2.3291801363694504</v>
      </c>
      <c r="W78" s="18">
        <f t="shared" ref="W78:W94" si="140">IFERROR(AO78+BF78,"")</f>
        <v>2.9288696627458299</v>
      </c>
      <c r="X78" s="18">
        <f t="shared" ref="X78:X94" si="141">IFERROR(AP78+BG78,"")</f>
        <v>2.4128004944883945</v>
      </c>
      <c r="Y78" s="18">
        <f t="shared" ref="Y78:Y94" si="142">IFERROR(AQ78+BH78,"")</f>
        <v>1.4286929051454638</v>
      </c>
      <c r="Z78" s="18">
        <f t="shared" ref="Z78:Z94" si="143">IFERROR(AR78+BI78,"")</f>
        <v>0.35244377702967417</v>
      </c>
      <c r="AA78" s="18">
        <f t="shared" ref="AA78:AA94" si="144">IFERROR(AS78+BJ78,"")</f>
        <v>0.51727282542612996</v>
      </c>
      <c r="AB78" s="18">
        <f t="shared" ref="AB78:AB94" si="145">IFERROR(AT78+BK78,"")</f>
        <v>0.57455328836984465</v>
      </c>
      <c r="AC78" s="18">
        <f t="shared" ref="AC78:AC94" si="146">IFERROR(AU78+BL78,"")</f>
        <v>1.0623252542094257</v>
      </c>
      <c r="AD78" s="18">
        <f t="shared" ref="AD78:AD94" si="147">IFERROR(AV78+BM78,"")</f>
        <v>2.2319129545056162</v>
      </c>
      <c r="AE78" s="18">
        <f t="shared" ref="AE78:AE94" si="148">IFERROR(AW78+BN78,"")</f>
        <v>0.28145851132067112</v>
      </c>
      <c r="AF78" s="18">
        <f t="shared" ref="AF78:AF94" si="149">IFERROR(AX78+BO78,"")</f>
        <v>0.6571831193422385</v>
      </c>
      <c r="AG78" s="18">
        <f t="shared" ref="AG78:AG94" si="150">IFERROR(AY78+BP78,"")</f>
        <v>1.7215524333790526</v>
      </c>
      <c r="AH78" s="18">
        <f t="shared" ref="AH78:AH94" si="151">IFERROR(AZ78+BQ78,"")</f>
        <v>3.4570191350692494</v>
      </c>
      <c r="AI78" s="18">
        <f t="shared" ref="AI78:AI94" si="152">IFERROR(BA78+BR78,"")</f>
        <v>16.549555355425522</v>
      </c>
      <c r="AJ78" s="18">
        <f t="shared" ref="AJ78:AJ94" si="153">SUM(U78:AI78)</f>
        <v>38.010966509008213</v>
      </c>
      <c r="AL78" t="str">
        <f t="shared" ref="AL78:AL94" si="154">"c"&amp;T78</f>
        <v>cwood</v>
      </c>
      <c r="AM78" s="18">
        <f>_xlfn.IFNA(INDEX(SAM!$B$8:$HA$215,MATCH($AL78,SAM!$A$8:$A$215,0),MATCH(AM$48,SAM!$B$7:$HA$7,0)),0)</f>
        <v>1.506146656181645</v>
      </c>
      <c r="AN78" s="18">
        <f>_xlfn.IFNA(INDEX(SAM!$B$8:$HA$215,MATCH($AL78,SAM!$A$8:$A$215,0),MATCH(AN$48,SAM!$B$7:$HA$7,0)),0)</f>
        <v>2.3291801363694504</v>
      </c>
      <c r="AO78" s="18">
        <f>_xlfn.IFNA(INDEX(SAM!$B$8:$HA$215,MATCH($AL78,SAM!$A$8:$A$215,0),MATCH(AO$48,SAM!$B$7:$HA$7,0)),0)</f>
        <v>2.9288696627458299</v>
      </c>
      <c r="AP78" s="18">
        <f>_xlfn.IFNA(INDEX(SAM!$B$8:$HA$215,MATCH($AL78,SAM!$A$8:$A$215,0),MATCH(AP$48,SAM!$B$7:$HA$7,0)),0)</f>
        <v>2.4128004944883945</v>
      </c>
      <c r="AQ78" s="18">
        <f>_xlfn.IFNA(INDEX(SAM!$B$8:$HA$215,MATCH($AL78,SAM!$A$8:$A$215,0),MATCH(AQ$48,SAM!$B$7:$HA$7,0)),0)</f>
        <v>1.4286929051454638</v>
      </c>
      <c r="AR78" s="18">
        <f>_xlfn.IFNA(INDEX(SAM!$B$8:$HA$215,MATCH($AL78,SAM!$A$8:$A$215,0),MATCH(AR$48,SAM!$B$7:$HA$7,0)),0)</f>
        <v>0.35244377702967417</v>
      </c>
      <c r="AS78" s="18">
        <f>_xlfn.IFNA(INDEX(SAM!$B$8:$HA$215,MATCH($AL78,SAM!$A$8:$A$215,0),MATCH(AS$48,SAM!$B$7:$HA$7,0)),0)</f>
        <v>0.51727282542612996</v>
      </c>
      <c r="AT78" s="18">
        <f>_xlfn.IFNA(INDEX(SAM!$B$8:$HA$215,MATCH($AL78,SAM!$A$8:$A$215,0),MATCH(AT$48,SAM!$B$7:$HA$7,0)),0)</f>
        <v>0.57455328836984465</v>
      </c>
      <c r="AU78" s="18">
        <f>_xlfn.IFNA(INDEX(SAM!$B$8:$HA$215,MATCH($AL78,SAM!$A$8:$A$215,0),MATCH(AU$48,SAM!$B$7:$HA$7,0)),0)</f>
        <v>1.0623252542094257</v>
      </c>
      <c r="AV78" s="18">
        <f>_xlfn.IFNA(INDEX(SAM!$B$8:$HA$215,MATCH($AL78,SAM!$A$8:$A$215,0),MATCH(AV$48,SAM!$B$7:$HA$7,0)),0)</f>
        <v>2.2319129545056162</v>
      </c>
      <c r="AW78" s="18">
        <f>_xlfn.IFNA(INDEX(SAM!$B$8:$HA$215,MATCH($AL78,SAM!$A$8:$A$215,0),MATCH(AW$48,SAM!$B$7:$HA$7,0)),0)</f>
        <v>0.28145851132067112</v>
      </c>
      <c r="AX78" s="18">
        <f>_xlfn.IFNA(INDEX(SAM!$B$8:$HA$215,MATCH($AL78,SAM!$A$8:$A$215,0),MATCH(AX$48,SAM!$B$7:$HA$7,0)),0)</f>
        <v>0.6571831193422385</v>
      </c>
      <c r="AY78" s="18">
        <f>_xlfn.IFNA(INDEX(SAM!$B$8:$HA$215,MATCH($AL78,SAM!$A$8:$A$215,0),MATCH(AY$48,SAM!$B$7:$HA$7,0)),0)</f>
        <v>1.7215524333790526</v>
      </c>
      <c r="AZ78" s="18">
        <f>_xlfn.IFNA(INDEX(SAM!$B$8:$HA$215,MATCH($AL78,SAM!$A$8:$A$215,0),MATCH(AZ$48,SAM!$B$7:$HA$7,0)),0)</f>
        <v>3.4570191350692494</v>
      </c>
      <c r="BA78" s="18">
        <f>_xlfn.IFNA(INDEX(SAM!$B$8:$HA$215,MATCH($AL78,SAM!$A$8:$A$215,0),MATCH(BA$48,SAM!$B$7:$HA$7,0)),0)</f>
        <v>16.549555355425522</v>
      </c>
      <c r="BB78" s="18"/>
      <c r="BC78" t="str">
        <f t="shared" ref="BC78:BC94" si="155">"a"&amp;T78</f>
        <v>awood</v>
      </c>
      <c r="BD78" s="18">
        <f>_xlfn.IFNA(INDEX(SAM!$B$8:$HA$215,MATCH($BC78,SAM!$A$8:$A$215,0),MATCH(BD$48,SAM!$B$7:$HA$7,0)),0)</f>
        <v>0</v>
      </c>
      <c r="BE78" s="18">
        <f>_xlfn.IFNA(INDEX(SAM!$B$8:$HA$215,MATCH($BC78,SAM!$A$8:$A$215,0),MATCH(BE$48,SAM!$B$7:$HA$7,0)),0)</f>
        <v>0</v>
      </c>
      <c r="BF78" s="18">
        <f>_xlfn.IFNA(INDEX(SAM!$B$8:$HA$215,MATCH($BC78,SAM!$A$8:$A$215,0),MATCH(BF$48,SAM!$B$7:$HA$7,0)),0)</f>
        <v>0</v>
      </c>
      <c r="BG78" s="18">
        <f>_xlfn.IFNA(INDEX(SAM!$B$8:$HA$215,MATCH($BC78,SAM!$A$8:$A$215,0),MATCH(BG$48,SAM!$B$7:$HA$7,0)),0)</f>
        <v>0</v>
      </c>
      <c r="BH78" s="18">
        <f>_xlfn.IFNA(INDEX(SAM!$B$8:$HA$215,MATCH($BC78,SAM!$A$8:$A$215,0),MATCH(BH$48,SAM!$B$7:$HA$7,0)),0)</f>
        <v>0</v>
      </c>
      <c r="BI78" s="18">
        <f>_xlfn.IFNA(INDEX(SAM!$B$8:$HA$215,MATCH($BC78,SAM!$A$8:$A$215,0),MATCH(BI$48,SAM!$B$7:$HA$7,0)),0)</f>
        <v>0</v>
      </c>
      <c r="BJ78" s="18">
        <f>_xlfn.IFNA(INDEX(SAM!$B$8:$HA$215,MATCH($BC78,SAM!$A$8:$A$215,0),MATCH(BJ$48,SAM!$B$7:$HA$7,0)),0)</f>
        <v>0</v>
      </c>
      <c r="BK78" s="18">
        <f>_xlfn.IFNA(INDEX(SAM!$B$8:$HA$215,MATCH($BC78,SAM!$A$8:$A$215,0),MATCH(BK$48,SAM!$B$7:$HA$7,0)),0)</f>
        <v>0</v>
      </c>
      <c r="BL78" s="18">
        <f>_xlfn.IFNA(INDEX(SAM!$B$8:$HA$215,MATCH($BC78,SAM!$A$8:$A$215,0),MATCH(BL$48,SAM!$B$7:$HA$7,0)),0)</f>
        <v>0</v>
      </c>
      <c r="BM78" s="18">
        <f>_xlfn.IFNA(INDEX(SAM!$B$8:$HA$215,MATCH($BC78,SAM!$A$8:$A$215,0),MATCH(BM$48,SAM!$B$7:$HA$7,0)),0)</f>
        <v>0</v>
      </c>
      <c r="BN78" s="18">
        <f>_xlfn.IFNA(INDEX(SAM!$B$8:$HA$215,MATCH($BC78,SAM!$A$8:$A$215,0),MATCH(BN$48,SAM!$B$7:$HA$7,0)),0)</f>
        <v>0</v>
      </c>
      <c r="BO78" s="18">
        <f>_xlfn.IFNA(INDEX(SAM!$B$8:$HA$215,MATCH($BC78,SAM!$A$8:$A$215,0),MATCH(BO$48,SAM!$B$7:$HA$7,0)),0)</f>
        <v>0</v>
      </c>
      <c r="BP78" s="18">
        <f>_xlfn.IFNA(INDEX(SAM!$B$8:$HA$215,MATCH($BC78,SAM!$A$8:$A$215,0),MATCH(BP$48,SAM!$B$7:$HA$7,0)),0)</f>
        <v>0</v>
      </c>
      <c r="BQ78" s="18">
        <f>_xlfn.IFNA(INDEX(SAM!$B$8:$HA$215,MATCH($BC78,SAM!$A$8:$A$215,0),MATCH(BQ$48,SAM!$B$7:$HA$7,0)),0)</f>
        <v>0</v>
      </c>
      <c r="BR78" s="18">
        <f>_xlfn.IFNA(INDEX(SAM!$B$8:$HA$215,MATCH($BC78,SAM!$A$8:$A$215,0),MATCH(BR$48,SAM!$B$7:$HA$7,0)),0)</f>
        <v>0</v>
      </c>
      <c r="BT78" t="str">
        <f t="shared" si="109"/>
        <v>cwood</v>
      </c>
      <c r="BU78" s="7">
        <f t="shared" si="110"/>
        <v>38.010966509008213</v>
      </c>
      <c r="BW78" s="51" t="s">
        <v>194</v>
      </c>
      <c r="BX78" s="43">
        <f t="shared" si="116"/>
        <v>0.95372311235933804</v>
      </c>
    </row>
    <row r="79" spans="1:76" x14ac:dyDescent="0.35">
      <c r="A79" t="str">
        <f t="shared" si="136"/>
        <v>manufacturing</v>
      </c>
      <c r="B79" t="s">
        <v>38</v>
      </c>
      <c r="C79" s="18">
        <f t="shared" si="79"/>
        <v>0.5991443505743953</v>
      </c>
      <c r="D79" s="18">
        <f t="shared" si="80"/>
        <v>0.8240858501609708</v>
      </c>
      <c r="E79" s="18">
        <f t="shared" si="81"/>
        <v>0.79949613592346269</v>
      </c>
      <c r="F79" s="18">
        <f t="shared" si="82"/>
        <v>1.7587483773849766</v>
      </c>
      <c r="G79" s="18">
        <f t="shared" si="83"/>
        <v>2.3000627435284451</v>
      </c>
      <c r="H79" s="18">
        <f t="shared" si="84"/>
        <v>0.50528721398904763</v>
      </c>
      <c r="I79" s="18">
        <f t="shared" si="85"/>
        <v>0.68541133319438574</v>
      </c>
      <c r="J79" s="18">
        <f t="shared" si="86"/>
        <v>1.0822151292614643</v>
      </c>
      <c r="K79" s="18">
        <f t="shared" si="87"/>
        <v>1.0223214017232891</v>
      </c>
      <c r="L79" s="18">
        <f t="shared" si="88"/>
        <v>2.7738340988390626</v>
      </c>
      <c r="M79" s="18">
        <f t="shared" si="89"/>
        <v>0.82586125254172937</v>
      </c>
      <c r="N79" s="18">
        <f t="shared" si="90"/>
        <v>1.0750166749442183</v>
      </c>
      <c r="O79" s="18">
        <f t="shared" si="91"/>
        <v>1.1947929000646436</v>
      </c>
      <c r="P79" s="18">
        <f t="shared" si="92"/>
        <v>1.5224953162853341</v>
      </c>
      <c r="Q79" s="18">
        <f t="shared" si="93"/>
        <v>1.7832294787822074</v>
      </c>
      <c r="R79" s="18">
        <f t="shared" si="94"/>
        <v>1.5858380245838506</v>
      </c>
      <c r="T79" t="str">
        <f t="shared" si="137"/>
        <v>petr</v>
      </c>
      <c r="U79" s="18">
        <f t="shared" si="138"/>
        <v>1.4849365723781571</v>
      </c>
      <c r="V79" s="18">
        <f t="shared" si="139"/>
        <v>3.0142764776973854</v>
      </c>
      <c r="W79" s="18">
        <f t="shared" si="140"/>
        <v>3.9193398695290895</v>
      </c>
      <c r="X79" s="18">
        <f t="shared" si="141"/>
        <v>8.9697521803528044</v>
      </c>
      <c r="Y79" s="18">
        <f t="shared" si="142"/>
        <v>10.61227681557202</v>
      </c>
      <c r="Z79" s="18">
        <f t="shared" si="143"/>
        <v>0.43212275628936392</v>
      </c>
      <c r="AA79" s="18">
        <f t="shared" si="144"/>
        <v>0.74153302227688367</v>
      </c>
      <c r="AB79" s="18">
        <f t="shared" si="145"/>
        <v>1.4853463482314329</v>
      </c>
      <c r="AC79" s="18">
        <f t="shared" si="146"/>
        <v>3.7223599432546637</v>
      </c>
      <c r="AD79" s="18">
        <f t="shared" si="147"/>
        <v>9.3628790113247895</v>
      </c>
      <c r="AE79" s="18">
        <f t="shared" si="148"/>
        <v>0.3593420399179777</v>
      </c>
      <c r="AF79" s="18">
        <f t="shared" si="149"/>
        <v>1.188619200208278</v>
      </c>
      <c r="AG79" s="18">
        <f t="shared" si="150"/>
        <v>2.8114007780947481</v>
      </c>
      <c r="AH79" s="18">
        <f t="shared" si="151"/>
        <v>8.8122256943947885</v>
      </c>
      <c r="AI79" s="18">
        <f t="shared" si="152"/>
        <v>69.768451007669682</v>
      </c>
      <c r="AJ79" s="18">
        <f t="shared" si="153"/>
        <v>126.68486171719206</v>
      </c>
      <c r="AL79" t="str">
        <f t="shared" si="154"/>
        <v>cpetr</v>
      </c>
      <c r="AM79" s="18">
        <f>_xlfn.IFNA(INDEX(SAM!$B$8:$HA$215,MATCH($AL79,SAM!$A$8:$A$215,0),MATCH(AM$48,SAM!$B$7:$HA$7,0)),0)</f>
        <v>1.4849365723781571</v>
      </c>
      <c r="AN79" s="18">
        <f>_xlfn.IFNA(INDEX(SAM!$B$8:$HA$215,MATCH($AL79,SAM!$A$8:$A$215,0),MATCH(AN$48,SAM!$B$7:$HA$7,0)),0)</f>
        <v>3.0142764776973854</v>
      </c>
      <c r="AO79" s="18">
        <f>_xlfn.IFNA(INDEX(SAM!$B$8:$HA$215,MATCH($AL79,SAM!$A$8:$A$215,0),MATCH(AO$48,SAM!$B$7:$HA$7,0)),0)</f>
        <v>3.9193398695290895</v>
      </c>
      <c r="AP79" s="18">
        <f>_xlfn.IFNA(INDEX(SAM!$B$8:$HA$215,MATCH($AL79,SAM!$A$8:$A$215,0),MATCH(AP$48,SAM!$B$7:$HA$7,0)),0)</f>
        <v>8.9697521803528044</v>
      </c>
      <c r="AQ79" s="18">
        <f>_xlfn.IFNA(INDEX(SAM!$B$8:$HA$215,MATCH($AL79,SAM!$A$8:$A$215,0),MATCH(AQ$48,SAM!$B$7:$HA$7,0)),0)</f>
        <v>10.61227681557202</v>
      </c>
      <c r="AR79" s="18">
        <f>_xlfn.IFNA(INDEX(SAM!$B$8:$HA$215,MATCH($AL79,SAM!$A$8:$A$215,0),MATCH(AR$48,SAM!$B$7:$HA$7,0)),0)</f>
        <v>0.43212275628936392</v>
      </c>
      <c r="AS79" s="18">
        <f>_xlfn.IFNA(INDEX(SAM!$B$8:$HA$215,MATCH($AL79,SAM!$A$8:$A$215,0),MATCH(AS$48,SAM!$B$7:$HA$7,0)),0)</f>
        <v>0.74153302227688367</v>
      </c>
      <c r="AT79" s="18">
        <f>_xlfn.IFNA(INDEX(SAM!$B$8:$HA$215,MATCH($AL79,SAM!$A$8:$A$215,0),MATCH(AT$48,SAM!$B$7:$HA$7,0)),0)</f>
        <v>1.4853463482314329</v>
      </c>
      <c r="AU79" s="18">
        <f>_xlfn.IFNA(INDEX(SAM!$B$8:$HA$215,MATCH($AL79,SAM!$A$8:$A$215,0),MATCH(AU$48,SAM!$B$7:$HA$7,0)),0)</f>
        <v>3.7223599432546637</v>
      </c>
      <c r="AV79" s="18">
        <f>_xlfn.IFNA(INDEX(SAM!$B$8:$HA$215,MATCH($AL79,SAM!$A$8:$A$215,0),MATCH(AV$48,SAM!$B$7:$HA$7,0)),0)</f>
        <v>9.3628790113247895</v>
      </c>
      <c r="AW79" s="18">
        <f>_xlfn.IFNA(INDEX(SAM!$B$8:$HA$215,MATCH($AL79,SAM!$A$8:$A$215,0),MATCH(AW$48,SAM!$B$7:$HA$7,0)),0)</f>
        <v>0.3593420399179777</v>
      </c>
      <c r="AX79" s="18">
        <f>_xlfn.IFNA(INDEX(SAM!$B$8:$HA$215,MATCH($AL79,SAM!$A$8:$A$215,0),MATCH(AX$48,SAM!$B$7:$HA$7,0)),0)</f>
        <v>1.188619200208278</v>
      </c>
      <c r="AY79" s="18">
        <f>_xlfn.IFNA(INDEX(SAM!$B$8:$HA$215,MATCH($AL79,SAM!$A$8:$A$215,0),MATCH(AY$48,SAM!$B$7:$HA$7,0)),0)</f>
        <v>2.8114007780947481</v>
      </c>
      <c r="AZ79" s="18">
        <f>_xlfn.IFNA(INDEX(SAM!$B$8:$HA$215,MATCH($AL79,SAM!$A$8:$A$215,0),MATCH(AZ$48,SAM!$B$7:$HA$7,0)),0)</f>
        <v>8.8122256943947885</v>
      </c>
      <c r="BA79" s="18">
        <f>_xlfn.IFNA(INDEX(SAM!$B$8:$HA$215,MATCH($AL79,SAM!$A$8:$A$215,0),MATCH(BA$48,SAM!$B$7:$HA$7,0)),0)</f>
        <v>69.768451007669682</v>
      </c>
      <c r="BB79" s="18"/>
      <c r="BC79" t="str">
        <f t="shared" si="155"/>
        <v>apetr</v>
      </c>
      <c r="BD79" s="18">
        <f>_xlfn.IFNA(INDEX(SAM!$B$8:$HA$215,MATCH($BC79,SAM!$A$8:$A$215,0),MATCH(BD$48,SAM!$B$7:$HA$7,0)),0)</f>
        <v>0</v>
      </c>
      <c r="BE79" s="18">
        <f>_xlfn.IFNA(INDEX(SAM!$B$8:$HA$215,MATCH($BC79,SAM!$A$8:$A$215,0),MATCH(BE$48,SAM!$B$7:$HA$7,0)),0)</f>
        <v>0</v>
      </c>
      <c r="BF79" s="18">
        <f>_xlfn.IFNA(INDEX(SAM!$B$8:$HA$215,MATCH($BC79,SAM!$A$8:$A$215,0),MATCH(BF$48,SAM!$B$7:$HA$7,0)),0)</f>
        <v>0</v>
      </c>
      <c r="BG79" s="18">
        <f>_xlfn.IFNA(INDEX(SAM!$B$8:$HA$215,MATCH($BC79,SAM!$A$8:$A$215,0),MATCH(BG$48,SAM!$B$7:$HA$7,0)),0)</f>
        <v>0</v>
      </c>
      <c r="BH79" s="18">
        <f>_xlfn.IFNA(INDEX(SAM!$B$8:$HA$215,MATCH($BC79,SAM!$A$8:$A$215,0),MATCH(BH$48,SAM!$B$7:$HA$7,0)),0)</f>
        <v>0</v>
      </c>
      <c r="BI79" s="18">
        <f>_xlfn.IFNA(INDEX(SAM!$B$8:$HA$215,MATCH($BC79,SAM!$A$8:$A$215,0),MATCH(BI$48,SAM!$B$7:$HA$7,0)),0)</f>
        <v>0</v>
      </c>
      <c r="BJ79" s="18">
        <f>_xlfn.IFNA(INDEX(SAM!$B$8:$HA$215,MATCH($BC79,SAM!$A$8:$A$215,0),MATCH(BJ$48,SAM!$B$7:$HA$7,0)),0)</f>
        <v>0</v>
      </c>
      <c r="BK79" s="18">
        <f>_xlfn.IFNA(INDEX(SAM!$B$8:$HA$215,MATCH($BC79,SAM!$A$8:$A$215,0),MATCH(BK$48,SAM!$B$7:$HA$7,0)),0)</f>
        <v>0</v>
      </c>
      <c r="BL79" s="18">
        <f>_xlfn.IFNA(INDEX(SAM!$B$8:$HA$215,MATCH($BC79,SAM!$A$8:$A$215,0),MATCH(BL$48,SAM!$B$7:$HA$7,0)),0)</f>
        <v>0</v>
      </c>
      <c r="BM79" s="18">
        <f>_xlfn.IFNA(INDEX(SAM!$B$8:$HA$215,MATCH($BC79,SAM!$A$8:$A$215,0),MATCH(BM$48,SAM!$B$7:$HA$7,0)),0)</f>
        <v>0</v>
      </c>
      <c r="BN79" s="18">
        <f>_xlfn.IFNA(INDEX(SAM!$B$8:$HA$215,MATCH($BC79,SAM!$A$8:$A$215,0),MATCH(BN$48,SAM!$B$7:$HA$7,0)),0)</f>
        <v>0</v>
      </c>
      <c r="BO79" s="18">
        <f>_xlfn.IFNA(INDEX(SAM!$B$8:$HA$215,MATCH($BC79,SAM!$A$8:$A$215,0),MATCH(BO$48,SAM!$B$7:$HA$7,0)),0)</f>
        <v>0</v>
      </c>
      <c r="BP79" s="18">
        <f>_xlfn.IFNA(INDEX(SAM!$B$8:$HA$215,MATCH($BC79,SAM!$A$8:$A$215,0),MATCH(BP$48,SAM!$B$7:$HA$7,0)),0)</f>
        <v>0</v>
      </c>
      <c r="BQ79" s="18">
        <f>_xlfn.IFNA(INDEX(SAM!$B$8:$HA$215,MATCH($BC79,SAM!$A$8:$A$215,0),MATCH(BQ$48,SAM!$B$7:$HA$7,0)),0)</f>
        <v>0</v>
      </c>
      <c r="BR79" s="18">
        <f>_xlfn.IFNA(INDEX(SAM!$B$8:$HA$215,MATCH($BC79,SAM!$A$8:$A$215,0),MATCH(BR$48,SAM!$B$7:$HA$7,0)),0)</f>
        <v>0</v>
      </c>
      <c r="BT79" t="str">
        <f t="shared" si="109"/>
        <v>cpetr</v>
      </c>
      <c r="BU79" s="7">
        <f t="shared" si="110"/>
        <v>126.68486171719206</v>
      </c>
      <c r="BW79" s="51" t="s">
        <v>195</v>
      </c>
      <c r="BX79" s="43">
        <f t="shared" si="116"/>
        <v>0.5760186740383858</v>
      </c>
    </row>
    <row r="80" spans="1:76" x14ac:dyDescent="0.35">
      <c r="A80" t="str">
        <f t="shared" si="136"/>
        <v>manufacturing</v>
      </c>
      <c r="B80" t="s">
        <v>502</v>
      </c>
      <c r="C80" s="18">
        <f t="shared" si="79"/>
        <v>0</v>
      </c>
      <c r="D80" s="18">
        <f t="shared" si="80"/>
        <v>0</v>
      </c>
      <c r="E80" s="18">
        <f t="shared" si="81"/>
        <v>0</v>
      </c>
      <c r="F80" s="18">
        <f t="shared" si="82"/>
        <v>0</v>
      </c>
      <c r="G80" s="18">
        <f t="shared" si="83"/>
        <v>0</v>
      </c>
      <c r="H80" s="18">
        <f t="shared" si="84"/>
        <v>0</v>
      </c>
      <c r="I80" s="18">
        <f t="shared" si="85"/>
        <v>0</v>
      </c>
      <c r="J80" s="18">
        <f t="shared" si="86"/>
        <v>0</v>
      </c>
      <c r="K80" s="18">
        <f t="shared" si="87"/>
        <v>0</v>
      </c>
      <c r="L80" s="18">
        <f t="shared" si="88"/>
        <v>0</v>
      </c>
      <c r="M80" s="18">
        <f t="shared" si="89"/>
        <v>0</v>
      </c>
      <c r="N80" s="18">
        <f t="shared" si="90"/>
        <v>0</v>
      </c>
      <c r="O80" s="18">
        <f t="shared" si="91"/>
        <v>0</v>
      </c>
      <c r="P80" s="18">
        <f t="shared" si="92"/>
        <v>0</v>
      </c>
      <c r="Q80" s="18">
        <f t="shared" si="93"/>
        <v>0</v>
      </c>
      <c r="R80" s="18">
        <f t="shared" si="94"/>
        <v>0</v>
      </c>
      <c r="T80" t="str">
        <f t="shared" si="137"/>
        <v>fert</v>
      </c>
      <c r="U80" s="18">
        <f t="shared" si="138"/>
        <v>0</v>
      </c>
      <c r="V80" s="18">
        <f t="shared" si="139"/>
        <v>0</v>
      </c>
      <c r="W80" s="18">
        <f t="shared" si="140"/>
        <v>0</v>
      </c>
      <c r="X80" s="18">
        <f t="shared" si="141"/>
        <v>0</v>
      </c>
      <c r="Y80" s="18">
        <f t="shared" si="142"/>
        <v>0</v>
      </c>
      <c r="Z80" s="18">
        <f t="shared" si="143"/>
        <v>0</v>
      </c>
      <c r="AA80" s="18">
        <f t="shared" si="144"/>
        <v>0</v>
      </c>
      <c r="AB80" s="18">
        <f t="shared" si="145"/>
        <v>0</v>
      </c>
      <c r="AC80" s="18">
        <f t="shared" si="146"/>
        <v>0</v>
      </c>
      <c r="AD80" s="18">
        <f t="shared" si="147"/>
        <v>0</v>
      </c>
      <c r="AE80" s="18">
        <f t="shared" si="148"/>
        <v>0</v>
      </c>
      <c r="AF80" s="18">
        <f t="shared" si="149"/>
        <v>0</v>
      </c>
      <c r="AG80" s="18">
        <f t="shared" si="150"/>
        <v>0</v>
      </c>
      <c r="AH80" s="18">
        <f t="shared" si="151"/>
        <v>0</v>
      </c>
      <c r="AI80" s="18">
        <f t="shared" si="152"/>
        <v>0</v>
      </c>
      <c r="AJ80" s="18">
        <f t="shared" si="153"/>
        <v>0</v>
      </c>
      <c r="AL80" t="str">
        <f t="shared" si="154"/>
        <v>cfert</v>
      </c>
      <c r="AM80" s="18">
        <f>_xlfn.IFNA(INDEX(SAM!$B$8:$HA$215,MATCH($AL80,SAM!$A$8:$A$215,0),MATCH(AM$48,SAM!$B$7:$HA$7,0)),0)</f>
        <v>0</v>
      </c>
      <c r="AN80" s="18">
        <f>_xlfn.IFNA(INDEX(SAM!$B$8:$HA$215,MATCH($AL80,SAM!$A$8:$A$215,0),MATCH(AN$48,SAM!$B$7:$HA$7,0)),0)</f>
        <v>0</v>
      </c>
      <c r="AO80" s="18">
        <f>_xlfn.IFNA(INDEX(SAM!$B$8:$HA$215,MATCH($AL80,SAM!$A$8:$A$215,0),MATCH(AO$48,SAM!$B$7:$HA$7,0)),0)</f>
        <v>0</v>
      </c>
      <c r="AP80" s="18">
        <f>_xlfn.IFNA(INDEX(SAM!$B$8:$HA$215,MATCH($AL80,SAM!$A$8:$A$215,0),MATCH(AP$48,SAM!$B$7:$HA$7,0)),0)</f>
        <v>0</v>
      </c>
      <c r="AQ80" s="18">
        <f>_xlfn.IFNA(INDEX(SAM!$B$8:$HA$215,MATCH($AL80,SAM!$A$8:$A$215,0),MATCH(AQ$48,SAM!$B$7:$HA$7,0)),0)</f>
        <v>0</v>
      </c>
      <c r="AR80" s="18">
        <f>_xlfn.IFNA(INDEX(SAM!$B$8:$HA$215,MATCH($AL80,SAM!$A$8:$A$215,0),MATCH(AR$48,SAM!$B$7:$HA$7,0)),0)</f>
        <v>0</v>
      </c>
      <c r="AS80" s="18">
        <f>_xlfn.IFNA(INDEX(SAM!$B$8:$HA$215,MATCH($AL80,SAM!$A$8:$A$215,0),MATCH(AS$48,SAM!$B$7:$HA$7,0)),0)</f>
        <v>0</v>
      </c>
      <c r="AT80" s="18">
        <f>_xlfn.IFNA(INDEX(SAM!$B$8:$HA$215,MATCH($AL80,SAM!$A$8:$A$215,0),MATCH(AT$48,SAM!$B$7:$HA$7,0)),0)</f>
        <v>0</v>
      </c>
      <c r="AU80" s="18">
        <f>_xlfn.IFNA(INDEX(SAM!$B$8:$HA$215,MATCH($AL80,SAM!$A$8:$A$215,0),MATCH(AU$48,SAM!$B$7:$HA$7,0)),0)</f>
        <v>0</v>
      </c>
      <c r="AV80" s="18">
        <f>_xlfn.IFNA(INDEX(SAM!$B$8:$HA$215,MATCH($AL80,SAM!$A$8:$A$215,0),MATCH(AV$48,SAM!$B$7:$HA$7,0)),0)</f>
        <v>0</v>
      </c>
      <c r="AW80" s="18">
        <f>_xlfn.IFNA(INDEX(SAM!$B$8:$HA$215,MATCH($AL80,SAM!$A$8:$A$215,0),MATCH(AW$48,SAM!$B$7:$HA$7,0)),0)</f>
        <v>0</v>
      </c>
      <c r="AX80" s="18">
        <f>_xlfn.IFNA(INDEX(SAM!$B$8:$HA$215,MATCH($AL80,SAM!$A$8:$A$215,0),MATCH(AX$48,SAM!$B$7:$HA$7,0)),0)</f>
        <v>0</v>
      </c>
      <c r="AY80" s="18">
        <f>_xlfn.IFNA(INDEX(SAM!$B$8:$HA$215,MATCH($AL80,SAM!$A$8:$A$215,0),MATCH(AY$48,SAM!$B$7:$HA$7,0)),0)</f>
        <v>0</v>
      </c>
      <c r="AZ80" s="18">
        <f>_xlfn.IFNA(INDEX(SAM!$B$8:$HA$215,MATCH($AL80,SAM!$A$8:$A$215,0),MATCH(AZ$48,SAM!$B$7:$HA$7,0)),0)</f>
        <v>0</v>
      </c>
      <c r="BA80" s="18">
        <f>_xlfn.IFNA(INDEX(SAM!$B$8:$HA$215,MATCH($AL80,SAM!$A$8:$A$215,0),MATCH(BA$48,SAM!$B$7:$HA$7,0)),0)</f>
        <v>0</v>
      </c>
      <c r="BB80" s="18"/>
      <c r="BC80" t="str">
        <f t="shared" si="155"/>
        <v>afert</v>
      </c>
      <c r="BD80" s="18">
        <f>_xlfn.IFNA(INDEX(SAM!$B$8:$HA$215,MATCH($BC80,SAM!$A$8:$A$215,0),MATCH(BD$48,SAM!$B$7:$HA$7,0)),0)</f>
        <v>0</v>
      </c>
      <c r="BE80" s="18">
        <f>_xlfn.IFNA(INDEX(SAM!$B$8:$HA$215,MATCH($BC80,SAM!$A$8:$A$215,0),MATCH(BE$48,SAM!$B$7:$HA$7,0)),0)</f>
        <v>0</v>
      </c>
      <c r="BF80" s="18">
        <f>_xlfn.IFNA(INDEX(SAM!$B$8:$HA$215,MATCH($BC80,SAM!$A$8:$A$215,0),MATCH(BF$48,SAM!$B$7:$HA$7,0)),0)</f>
        <v>0</v>
      </c>
      <c r="BG80" s="18">
        <f>_xlfn.IFNA(INDEX(SAM!$B$8:$HA$215,MATCH($BC80,SAM!$A$8:$A$215,0),MATCH(BG$48,SAM!$B$7:$HA$7,0)),0)</f>
        <v>0</v>
      </c>
      <c r="BH80" s="18">
        <f>_xlfn.IFNA(INDEX(SAM!$B$8:$HA$215,MATCH($BC80,SAM!$A$8:$A$215,0),MATCH(BH$48,SAM!$B$7:$HA$7,0)),0)</f>
        <v>0</v>
      </c>
      <c r="BI80" s="18">
        <f>_xlfn.IFNA(INDEX(SAM!$B$8:$HA$215,MATCH($BC80,SAM!$A$8:$A$215,0),MATCH(BI$48,SAM!$B$7:$HA$7,0)),0)</f>
        <v>0</v>
      </c>
      <c r="BJ80" s="18">
        <f>_xlfn.IFNA(INDEX(SAM!$B$8:$HA$215,MATCH($BC80,SAM!$A$8:$A$215,0),MATCH(BJ$48,SAM!$B$7:$HA$7,0)),0)</f>
        <v>0</v>
      </c>
      <c r="BK80" s="18">
        <f>_xlfn.IFNA(INDEX(SAM!$B$8:$HA$215,MATCH($BC80,SAM!$A$8:$A$215,0),MATCH(BK$48,SAM!$B$7:$HA$7,0)),0)</f>
        <v>0</v>
      </c>
      <c r="BL80" s="18">
        <f>_xlfn.IFNA(INDEX(SAM!$B$8:$HA$215,MATCH($BC80,SAM!$A$8:$A$215,0),MATCH(BL$48,SAM!$B$7:$HA$7,0)),0)</f>
        <v>0</v>
      </c>
      <c r="BM80" s="18">
        <f>_xlfn.IFNA(INDEX(SAM!$B$8:$HA$215,MATCH($BC80,SAM!$A$8:$A$215,0),MATCH(BM$48,SAM!$B$7:$HA$7,0)),0)</f>
        <v>0</v>
      </c>
      <c r="BN80" s="18">
        <f>_xlfn.IFNA(INDEX(SAM!$B$8:$HA$215,MATCH($BC80,SAM!$A$8:$A$215,0),MATCH(BN$48,SAM!$B$7:$HA$7,0)),0)</f>
        <v>0</v>
      </c>
      <c r="BO80" s="18">
        <f>_xlfn.IFNA(INDEX(SAM!$B$8:$HA$215,MATCH($BC80,SAM!$A$8:$A$215,0),MATCH(BO$48,SAM!$B$7:$HA$7,0)),0)</f>
        <v>0</v>
      </c>
      <c r="BP80" s="18">
        <f>_xlfn.IFNA(INDEX(SAM!$B$8:$HA$215,MATCH($BC80,SAM!$A$8:$A$215,0),MATCH(BP$48,SAM!$B$7:$HA$7,0)),0)</f>
        <v>0</v>
      </c>
      <c r="BQ80" s="18">
        <f>_xlfn.IFNA(INDEX(SAM!$B$8:$HA$215,MATCH($BC80,SAM!$A$8:$A$215,0),MATCH(BQ$48,SAM!$B$7:$HA$7,0)),0)</f>
        <v>0</v>
      </c>
      <c r="BR80" s="18">
        <f>_xlfn.IFNA(INDEX(SAM!$B$8:$HA$215,MATCH($BC80,SAM!$A$8:$A$215,0),MATCH(BR$48,SAM!$B$7:$HA$7,0)),0)</f>
        <v>0</v>
      </c>
      <c r="BT80" t="str">
        <f t="shared" si="109"/>
        <v>cfert</v>
      </c>
      <c r="BU80" s="7">
        <f t="shared" si="110"/>
        <v>0</v>
      </c>
      <c r="BW80" s="51" t="s">
        <v>196</v>
      </c>
      <c r="BX80" s="43">
        <f t="shared" si="116"/>
        <v>0.59513235689735466</v>
      </c>
    </row>
    <row r="81" spans="1:76" x14ac:dyDescent="0.35">
      <c r="A81" t="str">
        <f t="shared" si="136"/>
        <v>manufacturing</v>
      </c>
      <c r="B81" t="s">
        <v>39</v>
      </c>
      <c r="C81" s="18">
        <f t="shared" si="79"/>
        <v>1.9785703662011822</v>
      </c>
      <c r="D81" s="18">
        <f t="shared" si="80"/>
        <v>2.1943419942986977</v>
      </c>
      <c r="E81" s="18">
        <f t="shared" si="81"/>
        <v>1.9605811715219688</v>
      </c>
      <c r="F81" s="18">
        <f t="shared" si="82"/>
        <v>1.9706016200778036</v>
      </c>
      <c r="G81" s="18">
        <f t="shared" si="83"/>
        <v>1.8144673803771545</v>
      </c>
      <c r="H81" s="18">
        <f t="shared" si="84"/>
        <v>1.6492213715904909</v>
      </c>
      <c r="I81" s="18">
        <f t="shared" si="85"/>
        <v>2.0566433305692664</v>
      </c>
      <c r="J81" s="18">
        <f t="shared" si="86"/>
        <v>2.1070147106664119</v>
      </c>
      <c r="K81" s="18">
        <f t="shared" si="87"/>
        <v>1.3115526384550178</v>
      </c>
      <c r="L81" s="18">
        <f t="shared" si="88"/>
        <v>1.6403545789265401</v>
      </c>
      <c r="M81" s="18">
        <f t="shared" si="89"/>
        <v>2.0649988588882744</v>
      </c>
      <c r="N81" s="18">
        <f t="shared" si="90"/>
        <v>2.1615864083139487</v>
      </c>
      <c r="O81" s="18">
        <f t="shared" si="91"/>
        <v>2.2824996951951273</v>
      </c>
      <c r="P81" s="18">
        <f t="shared" si="92"/>
        <v>2.275394442503619</v>
      </c>
      <c r="Q81" s="18">
        <f t="shared" si="93"/>
        <v>1.3781763387222941</v>
      </c>
      <c r="R81" s="18">
        <f t="shared" si="94"/>
        <v>1.6718163018682299</v>
      </c>
      <c r="T81" t="str">
        <f t="shared" si="137"/>
        <v>chem</v>
      </c>
      <c r="U81" s="18">
        <f t="shared" si="138"/>
        <v>4.9037456415621543</v>
      </c>
      <c r="V81" s="18">
        <f t="shared" si="139"/>
        <v>8.0262917463588721</v>
      </c>
      <c r="W81" s="18">
        <f t="shared" si="140"/>
        <v>9.6112834167965566</v>
      </c>
      <c r="X81" s="18">
        <f t="shared" si="141"/>
        <v>10.050220034648282</v>
      </c>
      <c r="Y81" s="18">
        <f t="shared" si="142"/>
        <v>8.3717847122069351</v>
      </c>
      <c r="Z81" s="18">
        <f t="shared" si="143"/>
        <v>1.4104178081150804</v>
      </c>
      <c r="AA81" s="18">
        <f t="shared" si="144"/>
        <v>2.2250419139627908</v>
      </c>
      <c r="AB81" s="18">
        <f t="shared" si="145"/>
        <v>2.8918895342869835</v>
      </c>
      <c r="AC81" s="18">
        <f t="shared" si="146"/>
        <v>4.775475693480935</v>
      </c>
      <c r="AD81" s="18">
        <f t="shared" si="147"/>
        <v>5.5368997967794149</v>
      </c>
      <c r="AE81" s="18">
        <f t="shared" si="148"/>
        <v>0.89850552995124888</v>
      </c>
      <c r="AF81" s="18">
        <f t="shared" si="149"/>
        <v>2.390012329775749</v>
      </c>
      <c r="AG81" s="18">
        <f t="shared" si="150"/>
        <v>5.370823193480156</v>
      </c>
      <c r="AH81" s="18">
        <f t="shared" si="151"/>
        <v>13.170017113770644</v>
      </c>
      <c r="AI81" s="18">
        <f t="shared" si="152"/>
        <v>53.920838294878543</v>
      </c>
      <c r="AJ81" s="18">
        <f t="shared" si="153"/>
        <v>133.55324676005435</v>
      </c>
      <c r="AL81" t="str">
        <f t="shared" si="154"/>
        <v>cchem</v>
      </c>
      <c r="AM81" s="18">
        <f>_xlfn.IFNA(INDEX(SAM!$B$8:$HA$215,MATCH($AL81,SAM!$A$8:$A$215,0),MATCH(AM$48,SAM!$B$7:$HA$7,0)),0)</f>
        <v>4.9037456415621543</v>
      </c>
      <c r="AN81" s="18">
        <f>_xlfn.IFNA(INDEX(SAM!$B$8:$HA$215,MATCH($AL81,SAM!$A$8:$A$215,0),MATCH(AN$48,SAM!$B$7:$HA$7,0)),0)</f>
        <v>8.0262917463588721</v>
      </c>
      <c r="AO81" s="18">
        <f>_xlfn.IFNA(INDEX(SAM!$B$8:$HA$215,MATCH($AL81,SAM!$A$8:$A$215,0),MATCH(AO$48,SAM!$B$7:$HA$7,0)),0)</f>
        <v>9.6112834167965566</v>
      </c>
      <c r="AP81" s="18">
        <f>_xlfn.IFNA(INDEX(SAM!$B$8:$HA$215,MATCH($AL81,SAM!$A$8:$A$215,0),MATCH(AP$48,SAM!$B$7:$HA$7,0)),0)</f>
        <v>10.050220034648282</v>
      </c>
      <c r="AQ81" s="18">
        <f>_xlfn.IFNA(INDEX(SAM!$B$8:$HA$215,MATCH($AL81,SAM!$A$8:$A$215,0),MATCH(AQ$48,SAM!$B$7:$HA$7,0)),0)</f>
        <v>8.3717847122069351</v>
      </c>
      <c r="AR81" s="18">
        <f>_xlfn.IFNA(INDEX(SAM!$B$8:$HA$215,MATCH($AL81,SAM!$A$8:$A$215,0),MATCH(AR$48,SAM!$B$7:$HA$7,0)),0)</f>
        <v>1.4104178081150804</v>
      </c>
      <c r="AS81" s="18">
        <f>_xlfn.IFNA(INDEX(SAM!$B$8:$HA$215,MATCH($AL81,SAM!$A$8:$A$215,0),MATCH(AS$48,SAM!$B$7:$HA$7,0)),0)</f>
        <v>2.2250419139627908</v>
      </c>
      <c r="AT81" s="18">
        <f>_xlfn.IFNA(INDEX(SAM!$B$8:$HA$215,MATCH($AL81,SAM!$A$8:$A$215,0),MATCH(AT$48,SAM!$B$7:$HA$7,0)),0)</f>
        <v>2.8918895342869835</v>
      </c>
      <c r="AU81" s="18">
        <f>_xlfn.IFNA(INDEX(SAM!$B$8:$HA$215,MATCH($AL81,SAM!$A$8:$A$215,0),MATCH(AU$48,SAM!$B$7:$HA$7,0)),0)</f>
        <v>4.775475693480935</v>
      </c>
      <c r="AV81" s="18">
        <f>_xlfn.IFNA(INDEX(SAM!$B$8:$HA$215,MATCH($AL81,SAM!$A$8:$A$215,0),MATCH(AV$48,SAM!$B$7:$HA$7,0)),0)</f>
        <v>5.5368997967794149</v>
      </c>
      <c r="AW81" s="18">
        <f>_xlfn.IFNA(INDEX(SAM!$B$8:$HA$215,MATCH($AL81,SAM!$A$8:$A$215,0),MATCH(AW$48,SAM!$B$7:$HA$7,0)),0)</f>
        <v>0.89850552995124888</v>
      </c>
      <c r="AX81" s="18">
        <f>_xlfn.IFNA(INDEX(SAM!$B$8:$HA$215,MATCH($AL81,SAM!$A$8:$A$215,0),MATCH(AX$48,SAM!$B$7:$HA$7,0)),0)</f>
        <v>2.390012329775749</v>
      </c>
      <c r="AY81" s="18">
        <f>_xlfn.IFNA(INDEX(SAM!$B$8:$HA$215,MATCH($AL81,SAM!$A$8:$A$215,0),MATCH(AY$48,SAM!$B$7:$HA$7,0)),0)</f>
        <v>5.370823193480156</v>
      </c>
      <c r="AZ81" s="18">
        <f>_xlfn.IFNA(INDEX(SAM!$B$8:$HA$215,MATCH($AL81,SAM!$A$8:$A$215,0),MATCH(AZ$48,SAM!$B$7:$HA$7,0)),0)</f>
        <v>13.170017113770644</v>
      </c>
      <c r="BA81" s="18">
        <f>_xlfn.IFNA(INDEX(SAM!$B$8:$HA$215,MATCH($AL81,SAM!$A$8:$A$215,0),MATCH(BA$48,SAM!$B$7:$HA$7,0)),0)</f>
        <v>53.920838294878543</v>
      </c>
      <c r="BB81" s="18"/>
      <c r="BC81" t="str">
        <f t="shared" si="155"/>
        <v>achem</v>
      </c>
      <c r="BD81" s="18">
        <f>_xlfn.IFNA(INDEX(SAM!$B$8:$HA$215,MATCH($BC81,SAM!$A$8:$A$215,0),MATCH(BD$48,SAM!$B$7:$HA$7,0)),0)</f>
        <v>0</v>
      </c>
      <c r="BE81" s="18">
        <f>_xlfn.IFNA(INDEX(SAM!$B$8:$HA$215,MATCH($BC81,SAM!$A$8:$A$215,0),MATCH(BE$48,SAM!$B$7:$HA$7,0)),0)</f>
        <v>0</v>
      </c>
      <c r="BF81" s="18">
        <f>_xlfn.IFNA(INDEX(SAM!$B$8:$HA$215,MATCH($BC81,SAM!$A$8:$A$215,0),MATCH(BF$48,SAM!$B$7:$HA$7,0)),0)</f>
        <v>0</v>
      </c>
      <c r="BG81" s="18">
        <f>_xlfn.IFNA(INDEX(SAM!$B$8:$HA$215,MATCH($BC81,SAM!$A$8:$A$215,0),MATCH(BG$48,SAM!$B$7:$HA$7,0)),0)</f>
        <v>0</v>
      </c>
      <c r="BH81" s="18">
        <f>_xlfn.IFNA(INDEX(SAM!$B$8:$HA$215,MATCH($BC81,SAM!$A$8:$A$215,0),MATCH(BH$48,SAM!$B$7:$HA$7,0)),0)</f>
        <v>0</v>
      </c>
      <c r="BI81" s="18">
        <f>_xlfn.IFNA(INDEX(SAM!$B$8:$HA$215,MATCH($BC81,SAM!$A$8:$A$215,0),MATCH(BI$48,SAM!$B$7:$HA$7,0)),0)</f>
        <v>0</v>
      </c>
      <c r="BJ81" s="18">
        <f>_xlfn.IFNA(INDEX(SAM!$B$8:$HA$215,MATCH($BC81,SAM!$A$8:$A$215,0),MATCH(BJ$48,SAM!$B$7:$HA$7,0)),0)</f>
        <v>0</v>
      </c>
      <c r="BK81" s="18">
        <f>_xlfn.IFNA(INDEX(SAM!$B$8:$HA$215,MATCH($BC81,SAM!$A$8:$A$215,0),MATCH(BK$48,SAM!$B$7:$HA$7,0)),0)</f>
        <v>0</v>
      </c>
      <c r="BL81" s="18">
        <f>_xlfn.IFNA(INDEX(SAM!$B$8:$HA$215,MATCH($BC81,SAM!$A$8:$A$215,0),MATCH(BL$48,SAM!$B$7:$HA$7,0)),0)</f>
        <v>0</v>
      </c>
      <c r="BM81" s="18">
        <f>_xlfn.IFNA(INDEX(SAM!$B$8:$HA$215,MATCH($BC81,SAM!$A$8:$A$215,0),MATCH(BM$48,SAM!$B$7:$HA$7,0)),0)</f>
        <v>0</v>
      </c>
      <c r="BN81" s="18">
        <f>_xlfn.IFNA(INDEX(SAM!$B$8:$HA$215,MATCH($BC81,SAM!$A$8:$A$215,0),MATCH(BN$48,SAM!$B$7:$HA$7,0)),0)</f>
        <v>0</v>
      </c>
      <c r="BO81" s="18">
        <f>_xlfn.IFNA(INDEX(SAM!$B$8:$HA$215,MATCH($BC81,SAM!$A$8:$A$215,0),MATCH(BO$48,SAM!$B$7:$HA$7,0)),0)</f>
        <v>0</v>
      </c>
      <c r="BP81" s="18">
        <f>_xlfn.IFNA(INDEX(SAM!$B$8:$HA$215,MATCH($BC81,SAM!$A$8:$A$215,0),MATCH(BP$48,SAM!$B$7:$HA$7,0)),0)</f>
        <v>0</v>
      </c>
      <c r="BQ81" s="18">
        <f>_xlfn.IFNA(INDEX(SAM!$B$8:$HA$215,MATCH($BC81,SAM!$A$8:$A$215,0),MATCH(BQ$48,SAM!$B$7:$HA$7,0)),0)</f>
        <v>0</v>
      </c>
      <c r="BR81" s="18">
        <f>_xlfn.IFNA(INDEX(SAM!$B$8:$HA$215,MATCH($BC81,SAM!$A$8:$A$215,0),MATCH(BR$48,SAM!$B$7:$HA$7,0)),0)</f>
        <v>0</v>
      </c>
      <c r="BT81" t="str">
        <f t="shared" si="109"/>
        <v>cchem</v>
      </c>
      <c r="BU81" s="7">
        <f t="shared" si="110"/>
        <v>133.55324676005435</v>
      </c>
      <c r="BW81" s="51" t="s">
        <v>197</v>
      </c>
      <c r="BX81" s="43">
        <f t="shared" si="116"/>
        <v>0.59771308428942871</v>
      </c>
    </row>
    <row r="82" spans="1:76" x14ac:dyDescent="0.35">
      <c r="A82" t="str">
        <f t="shared" si="136"/>
        <v>manufacturing</v>
      </c>
      <c r="B82" t="s">
        <v>40</v>
      </c>
      <c r="C82" s="18">
        <f t="shared" si="79"/>
        <v>7.7361163235336761E-2</v>
      </c>
      <c r="D82" s="18">
        <f t="shared" si="80"/>
        <v>3.1416150125744814E-2</v>
      </c>
      <c r="E82" s="18">
        <f t="shared" si="81"/>
        <v>7.3712087102397489E-2</v>
      </c>
      <c r="F82" s="18">
        <f t="shared" si="82"/>
        <v>6.3977572129626015E-2</v>
      </c>
      <c r="G82" s="18">
        <f t="shared" si="83"/>
        <v>0.17186222543470672</v>
      </c>
      <c r="H82" s="18">
        <f t="shared" si="84"/>
        <v>5.8491332900715938E-3</v>
      </c>
      <c r="I82" s="18">
        <f t="shared" si="85"/>
        <v>2.4706312519900679E-2</v>
      </c>
      <c r="J82" s="18">
        <f t="shared" si="86"/>
        <v>0.12303839535254921</v>
      </c>
      <c r="K82" s="18">
        <f t="shared" si="87"/>
        <v>0.15074239367415065</v>
      </c>
      <c r="L82" s="18">
        <f t="shared" si="88"/>
        <v>0.1131863836189167</v>
      </c>
      <c r="M82" s="18">
        <f t="shared" si="89"/>
        <v>1.8733393635183258E-2</v>
      </c>
      <c r="N82" s="18">
        <f t="shared" si="90"/>
        <v>4.6154872280973251E-2</v>
      </c>
      <c r="O82" s="18">
        <f t="shared" si="91"/>
        <v>7.0666178758636983E-2</v>
      </c>
      <c r="P82" s="18">
        <f t="shared" si="92"/>
        <v>5.3740738231635291E-2</v>
      </c>
      <c r="Q82" s="18">
        <f t="shared" si="93"/>
        <v>5.4497087962481518E-2</v>
      </c>
      <c r="R82" s="18">
        <f t="shared" si="94"/>
        <v>6.9943839621566084E-2</v>
      </c>
      <c r="T82" t="str">
        <f t="shared" si="137"/>
        <v>nmet</v>
      </c>
      <c r="U82" s="18">
        <f t="shared" si="138"/>
        <v>0.19173412961290029</v>
      </c>
      <c r="V82" s="18">
        <f t="shared" si="139"/>
        <v>0.11491152569279639</v>
      </c>
      <c r="W82" s="18">
        <f t="shared" si="140"/>
        <v>0.361355995189306</v>
      </c>
      <c r="X82" s="18">
        <f t="shared" si="141"/>
        <v>0.32629054530054447</v>
      </c>
      <c r="Y82" s="18">
        <f t="shared" si="142"/>
        <v>0.79295641633473313</v>
      </c>
      <c r="Z82" s="18">
        <f t="shared" si="143"/>
        <v>5.0021918806447338E-3</v>
      </c>
      <c r="AA82" s="18">
        <f t="shared" si="144"/>
        <v>2.6729272926981747E-2</v>
      </c>
      <c r="AB82" s="18">
        <f t="shared" si="145"/>
        <v>0.16887088924166255</v>
      </c>
      <c r="AC82" s="18">
        <f t="shared" si="146"/>
        <v>0.54886598971431966</v>
      </c>
      <c r="AD82" s="18">
        <f t="shared" si="147"/>
        <v>0.38205255894606327</v>
      </c>
      <c r="AE82" s="18">
        <f t="shared" si="148"/>
        <v>8.1511220713349434E-3</v>
      </c>
      <c r="AF82" s="18">
        <f t="shared" si="149"/>
        <v>5.1032294340152745E-2</v>
      </c>
      <c r="AG82" s="18">
        <f t="shared" si="150"/>
        <v>0.16628065829338759</v>
      </c>
      <c r="AH82" s="18">
        <f t="shared" si="151"/>
        <v>0.31105219780643784</v>
      </c>
      <c r="AI82" s="18">
        <f t="shared" si="152"/>
        <v>2.1321862703658407</v>
      </c>
      <c r="AJ82" s="18">
        <f t="shared" si="153"/>
        <v>5.5874720577171066</v>
      </c>
      <c r="AL82" t="str">
        <f t="shared" si="154"/>
        <v>cnmet</v>
      </c>
      <c r="AM82" s="18">
        <f>_xlfn.IFNA(INDEX(SAM!$B$8:$HA$215,MATCH($AL82,SAM!$A$8:$A$215,0),MATCH(AM$48,SAM!$B$7:$HA$7,0)),0)</f>
        <v>0.19173412961290029</v>
      </c>
      <c r="AN82" s="18">
        <f>_xlfn.IFNA(INDEX(SAM!$B$8:$HA$215,MATCH($AL82,SAM!$A$8:$A$215,0),MATCH(AN$48,SAM!$B$7:$HA$7,0)),0)</f>
        <v>0.11491152569279639</v>
      </c>
      <c r="AO82" s="18">
        <f>_xlfn.IFNA(INDEX(SAM!$B$8:$HA$215,MATCH($AL82,SAM!$A$8:$A$215,0),MATCH(AO$48,SAM!$B$7:$HA$7,0)),0)</f>
        <v>0.361355995189306</v>
      </c>
      <c r="AP82" s="18">
        <f>_xlfn.IFNA(INDEX(SAM!$B$8:$HA$215,MATCH($AL82,SAM!$A$8:$A$215,0),MATCH(AP$48,SAM!$B$7:$HA$7,0)),0)</f>
        <v>0.32629054530054447</v>
      </c>
      <c r="AQ82" s="18">
        <f>_xlfn.IFNA(INDEX(SAM!$B$8:$HA$215,MATCH($AL82,SAM!$A$8:$A$215,0),MATCH(AQ$48,SAM!$B$7:$HA$7,0)),0)</f>
        <v>0.79295641633473313</v>
      </c>
      <c r="AR82" s="18">
        <f>_xlfn.IFNA(INDEX(SAM!$B$8:$HA$215,MATCH($AL82,SAM!$A$8:$A$215,0),MATCH(AR$48,SAM!$B$7:$HA$7,0)),0)</f>
        <v>5.0021918806447338E-3</v>
      </c>
      <c r="AS82" s="18">
        <f>_xlfn.IFNA(INDEX(SAM!$B$8:$HA$215,MATCH($AL82,SAM!$A$8:$A$215,0),MATCH(AS$48,SAM!$B$7:$HA$7,0)),0)</f>
        <v>2.6729272926981747E-2</v>
      </c>
      <c r="AT82" s="18">
        <f>_xlfn.IFNA(INDEX(SAM!$B$8:$HA$215,MATCH($AL82,SAM!$A$8:$A$215,0),MATCH(AT$48,SAM!$B$7:$HA$7,0)),0)</f>
        <v>0.16887088924166255</v>
      </c>
      <c r="AU82" s="18">
        <f>_xlfn.IFNA(INDEX(SAM!$B$8:$HA$215,MATCH($AL82,SAM!$A$8:$A$215,0),MATCH(AU$48,SAM!$B$7:$HA$7,0)),0)</f>
        <v>0.54886598971431966</v>
      </c>
      <c r="AV82" s="18">
        <f>_xlfn.IFNA(INDEX(SAM!$B$8:$HA$215,MATCH($AL82,SAM!$A$8:$A$215,0),MATCH(AV$48,SAM!$B$7:$HA$7,0)),0)</f>
        <v>0.38205255894606327</v>
      </c>
      <c r="AW82" s="18">
        <f>_xlfn.IFNA(INDEX(SAM!$B$8:$HA$215,MATCH($AL82,SAM!$A$8:$A$215,0),MATCH(AW$48,SAM!$B$7:$HA$7,0)),0)</f>
        <v>8.1511220713349434E-3</v>
      </c>
      <c r="AX82" s="18">
        <f>_xlfn.IFNA(INDEX(SAM!$B$8:$HA$215,MATCH($AL82,SAM!$A$8:$A$215,0),MATCH(AX$48,SAM!$B$7:$HA$7,0)),0)</f>
        <v>5.1032294340152745E-2</v>
      </c>
      <c r="AY82" s="18">
        <f>_xlfn.IFNA(INDEX(SAM!$B$8:$HA$215,MATCH($AL82,SAM!$A$8:$A$215,0),MATCH(AY$48,SAM!$B$7:$HA$7,0)),0)</f>
        <v>0.16628065829338759</v>
      </c>
      <c r="AZ82" s="18">
        <f>_xlfn.IFNA(INDEX(SAM!$B$8:$HA$215,MATCH($AL82,SAM!$A$8:$A$215,0),MATCH(AZ$48,SAM!$B$7:$HA$7,0)),0)</f>
        <v>0.31105219780643784</v>
      </c>
      <c r="BA82" s="18">
        <f>_xlfn.IFNA(INDEX(SAM!$B$8:$HA$215,MATCH($AL82,SAM!$A$8:$A$215,0),MATCH(BA$48,SAM!$B$7:$HA$7,0)),0)</f>
        <v>2.1321862703658407</v>
      </c>
      <c r="BB82" s="18"/>
      <c r="BC82" t="str">
        <f t="shared" si="155"/>
        <v>anmet</v>
      </c>
      <c r="BD82" s="18">
        <f>_xlfn.IFNA(INDEX(SAM!$B$8:$HA$215,MATCH($BC82,SAM!$A$8:$A$215,0),MATCH(BD$48,SAM!$B$7:$HA$7,0)),0)</f>
        <v>0</v>
      </c>
      <c r="BE82" s="18">
        <f>_xlfn.IFNA(INDEX(SAM!$B$8:$HA$215,MATCH($BC82,SAM!$A$8:$A$215,0),MATCH(BE$48,SAM!$B$7:$HA$7,0)),0)</f>
        <v>0</v>
      </c>
      <c r="BF82" s="18">
        <f>_xlfn.IFNA(INDEX(SAM!$B$8:$HA$215,MATCH($BC82,SAM!$A$8:$A$215,0),MATCH(BF$48,SAM!$B$7:$HA$7,0)),0)</f>
        <v>0</v>
      </c>
      <c r="BG82" s="18">
        <f>_xlfn.IFNA(INDEX(SAM!$B$8:$HA$215,MATCH($BC82,SAM!$A$8:$A$215,0),MATCH(BG$48,SAM!$B$7:$HA$7,0)),0)</f>
        <v>0</v>
      </c>
      <c r="BH82" s="18">
        <f>_xlfn.IFNA(INDEX(SAM!$B$8:$HA$215,MATCH($BC82,SAM!$A$8:$A$215,0),MATCH(BH$48,SAM!$B$7:$HA$7,0)),0)</f>
        <v>0</v>
      </c>
      <c r="BI82" s="18">
        <f>_xlfn.IFNA(INDEX(SAM!$B$8:$HA$215,MATCH($BC82,SAM!$A$8:$A$215,0),MATCH(BI$48,SAM!$B$7:$HA$7,0)),0)</f>
        <v>0</v>
      </c>
      <c r="BJ82" s="18">
        <f>_xlfn.IFNA(INDEX(SAM!$B$8:$HA$215,MATCH($BC82,SAM!$A$8:$A$215,0),MATCH(BJ$48,SAM!$B$7:$HA$7,0)),0)</f>
        <v>0</v>
      </c>
      <c r="BK82" s="18">
        <f>_xlfn.IFNA(INDEX(SAM!$B$8:$HA$215,MATCH($BC82,SAM!$A$8:$A$215,0),MATCH(BK$48,SAM!$B$7:$HA$7,0)),0)</f>
        <v>0</v>
      </c>
      <c r="BL82" s="18">
        <f>_xlfn.IFNA(INDEX(SAM!$B$8:$HA$215,MATCH($BC82,SAM!$A$8:$A$215,0),MATCH(BL$48,SAM!$B$7:$HA$7,0)),0)</f>
        <v>0</v>
      </c>
      <c r="BM82" s="18">
        <f>_xlfn.IFNA(INDEX(SAM!$B$8:$HA$215,MATCH($BC82,SAM!$A$8:$A$215,0),MATCH(BM$48,SAM!$B$7:$HA$7,0)),0)</f>
        <v>0</v>
      </c>
      <c r="BN82" s="18">
        <f>_xlfn.IFNA(INDEX(SAM!$B$8:$HA$215,MATCH($BC82,SAM!$A$8:$A$215,0),MATCH(BN$48,SAM!$B$7:$HA$7,0)),0)</f>
        <v>0</v>
      </c>
      <c r="BO82" s="18">
        <f>_xlfn.IFNA(INDEX(SAM!$B$8:$HA$215,MATCH($BC82,SAM!$A$8:$A$215,0),MATCH(BO$48,SAM!$B$7:$HA$7,0)),0)</f>
        <v>0</v>
      </c>
      <c r="BP82" s="18">
        <f>_xlfn.IFNA(INDEX(SAM!$B$8:$HA$215,MATCH($BC82,SAM!$A$8:$A$215,0),MATCH(BP$48,SAM!$B$7:$HA$7,0)),0)</f>
        <v>0</v>
      </c>
      <c r="BQ82" s="18">
        <f>_xlfn.IFNA(INDEX(SAM!$B$8:$HA$215,MATCH($BC82,SAM!$A$8:$A$215,0),MATCH(BQ$48,SAM!$B$7:$HA$7,0)),0)</f>
        <v>0</v>
      </c>
      <c r="BR82" s="18">
        <f>_xlfn.IFNA(INDEX(SAM!$B$8:$HA$215,MATCH($BC82,SAM!$A$8:$A$215,0),MATCH(BR$48,SAM!$B$7:$HA$7,0)),0)</f>
        <v>0</v>
      </c>
      <c r="BT82" t="str">
        <f t="shared" si="109"/>
        <v>cnmet</v>
      </c>
      <c r="BU82" s="7">
        <f t="shared" si="110"/>
        <v>5.5874720577171066</v>
      </c>
      <c r="BW82" s="51" t="s">
        <v>198</v>
      </c>
      <c r="BX82" s="43">
        <f t="shared" si="116"/>
        <v>0</v>
      </c>
    </row>
    <row r="83" spans="1:76" x14ac:dyDescent="0.35">
      <c r="A83" t="str">
        <f t="shared" si="136"/>
        <v>manufacturing</v>
      </c>
      <c r="B83" t="s">
        <v>41</v>
      </c>
      <c r="C83" s="18">
        <f t="shared" si="79"/>
        <v>5.406467751809569E-2</v>
      </c>
      <c r="D83" s="18">
        <f t="shared" si="80"/>
        <v>0</v>
      </c>
      <c r="E83" s="18">
        <f t="shared" si="81"/>
        <v>5.3133375184559205E-2</v>
      </c>
      <c r="F83" s="18">
        <f t="shared" si="82"/>
        <v>3.3335678442729097E-2</v>
      </c>
      <c r="G83" s="18">
        <f t="shared" si="83"/>
        <v>0.12014663792735172</v>
      </c>
      <c r="H83" s="18">
        <f t="shared" si="84"/>
        <v>0</v>
      </c>
      <c r="I83" s="18">
        <f t="shared" si="85"/>
        <v>3.3998229572223461E-2</v>
      </c>
      <c r="J83" s="18">
        <f t="shared" si="86"/>
        <v>0</v>
      </c>
      <c r="K83" s="18">
        <f t="shared" si="87"/>
        <v>9.5039692793259748E-3</v>
      </c>
      <c r="L83" s="18">
        <f t="shared" si="88"/>
        <v>1.3402384365856643</v>
      </c>
      <c r="M83" s="18">
        <f t="shared" si="89"/>
        <v>9.7914071723542787E-3</v>
      </c>
      <c r="N83" s="18">
        <f t="shared" si="90"/>
        <v>7.5368231598089627E-2</v>
      </c>
      <c r="O83" s="18">
        <f t="shared" si="91"/>
        <v>1.3070748969840285E-2</v>
      </c>
      <c r="P83" s="18">
        <f t="shared" si="92"/>
        <v>6.0740118914576209E-2</v>
      </c>
      <c r="Q83" s="18">
        <f t="shared" si="93"/>
        <v>3.9344811279798712E-2</v>
      </c>
      <c r="R83" s="18">
        <f t="shared" si="94"/>
        <v>9.6680907385477133E-2</v>
      </c>
      <c r="T83" t="str">
        <f t="shared" si="137"/>
        <v>metl</v>
      </c>
      <c r="U83" s="18">
        <f t="shared" si="138"/>
        <v>0.13399545008391561</v>
      </c>
      <c r="V83" s="18">
        <f t="shared" si="139"/>
        <v>0</v>
      </c>
      <c r="W83" s="18">
        <f t="shared" si="140"/>
        <v>0.26047374891055936</v>
      </c>
      <c r="X83" s="18">
        <f t="shared" si="141"/>
        <v>0.17001452751291307</v>
      </c>
      <c r="Y83" s="18">
        <f t="shared" si="142"/>
        <v>0.55434547763222453</v>
      </c>
      <c r="Z83" s="18">
        <f t="shared" si="143"/>
        <v>0</v>
      </c>
      <c r="AA83" s="18">
        <f t="shared" si="144"/>
        <v>3.6782014982533542E-2</v>
      </c>
      <c r="AB83" s="18">
        <f t="shared" si="145"/>
        <v>0</v>
      </c>
      <c r="AC83" s="18">
        <f t="shared" si="146"/>
        <v>3.4604767627530723E-2</v>
      </c>
      <c r="AD83" s="18">
        <f t="shared" si="147"/>
        <v>4.5238791798437434</v>
      </c>
      <c r="AE83" s="18">
        <f t="shared" si="148"/>
        <v>4.2603575554036816E-3</v>
      </c>
      <c r="AF83" s="18">
        <f t="shared" si="149"/>
        <v>8.3332779157013551E-2</v>
      </c>
      <c r="AG83" s="18">
        <f t="shared" si="150"/>
        <v>3.0756053054970384E-2</v>
      </c>
      <c r="AH83" s="18">
        <f t="shared" si="151"/>
        <v>0.35156471803510625</v>
      </c>
      <c r="AI83" s="18">
        <f t="shared" si="152"/>
        <v>1.5393568639608086</v>
      </c>
      <c r="AJ83" s="18">
        <f t="shared" si="153"/>
        <v>7.7233659383567232</v>
      </c>
      <c r="AL83" t="str">
        <f t="shared" si="154"/>
        <v>cmetl</v>
      </c>
      <c r="AM83" s="18">
        <f>_xlfn.IFNA(INDEX(SAM!$B$8:$HA$215,MATCH($AL83,SAM!$A$8:$A$215,0),MATCH(AM$48,SAM!$B$7:$HA$7,0)),0)</f>
        <v>0.13399545008391561</v>
      </c>
      <c r="AN83" s="18">
        <f>_xlfn.IFNA(INDEX(SAM!$B$8:$HA$215,MATCH($AL83,SAM!$A$8:$A$215,0),MATCH(AN$48,SAM!$B$7:$HA$7,0)),0)</f>
        <v>0</v>
      </c>
      <c r="AO83" s="18">
        <f>_xlfn.IFNA(INDEX(SAM!$B$8:$HA$215,MATCH($AL83,SAM!$A$8:$A$215,0),MATCH(AO$48,SAM!$B$7:$HA$7,0)),0)</f>
        <v>0.26047374891055936</v>
      </c>
      <c r="AP83" s="18">
        <f>_xlfn.IFNA(INDEX(SAM!$B$8:$HA$215,MATCH($AL83,SAM!$A$8:$A$215,0),MATCH(AP$48,SAM!$B$7:$HA$7,0)),0)</f>
        <v>0.17001452751291307</v>
      </c>
      <c r="AQ83" s="18">
        <f>_xlfn.IFNA(INDEX(SAM!$B$8:$HA$215,MATCH($AL83,SAM!$A$8:$A$215,0),MATCH(AQ$48,SAM!$B$7:$HA$7,0)),0)</f>
        <v>0.55434547763222453</v>
      </c>
      <c r="AR83" s="18">
        <f>_xlfn.IFNA(INDEX(SAM!$B$8:$HA$215,MATCH($AL83,SAM!$A$8:$A$215,0),MATCH(AR$48,SAM!$B$7:$HA$7,0)),0)</f>
        <v>0</v>
      </c>
      <c r="AS83" s="18">
        <f>_xlfn.IFNA(INDEX(SAM!$B$8:$HA$215,MATCH($AL83,SAM!$A$8:$A$215,0),MATCH(AS$48,SAM!$B$7:$HA$7,0)),0)</f>
        <v>3.6782014982533542E-2</v>
      </c>
      <c r="AT83" s="18">
        <f>_xlfn.IFNA(INDEX(SAM!$B$8:$HA$215,MATCH($AL83,SAM!$A$8:$A$215,0),MATCH(AT$48,SAM!$B$7:$HA$7,0)),0)</f>
        <v>0</v>
      </c>
      <c r="AU83" s="18">
        <f>_xlfn.IFNA(INDEX(SAM!$B$8:$HA$215,MATCH($AL83,SAM!$A$8:$A$215,0),MATCH(AU$48,SAM!$B$7:$HA$7,0)),0)</f>
        <v>3.4604767627530723E-2</v>
      </c>
      <c r="AV83" s="18">
        <f>_xlfn.IFNA(INDEX(SAM!$B$8:$HA$215,MATCH($AL83,SAM!$A$8:$A$215,0),MATCH(AV$48,SAM!$B$7:$HA$7,0)),0)</f>
        <v>4.5238791798437434</v>
      </c>
      <c r="AW83" s="18">
        <f>_xlfn.IFNA(INDEX(SAM!$B$8:$HA$215,MATCH($AL83,SAM!$A$8:$A$215,0),MATCH(AW$48,SAM!$B$7:$HA$7,0)),0)</f>
        <v>4.2603575554036816E-3</v>
      </c>
      <c r="AX83" s="18">
        <f>_xlfn.IFNA(INDEX(SAM!$B$8:$HA$215,MATCH($AL83,SAM!$A$8:$A$215,0),MATCH(AX$48,SAM!$B$7:$HA$7,0)),0)</f>
        <v>8.3332779157013551E-2</v>
      </c>
      <c r="AY83" s="18">
        <f>_xlfn.IFNA(INDEX(SAM!$B$8:$HA$215,MATCH($AL83,SAM!$A$8:$A$215,0),MATCH(AY$48,SAM!$B$7:$HA$7,0)),0)</f>
        <v>3.0756053054970384E-2</v>
      </c>
      <c r="AZ83" s="18">
        <f>_xlfn.IFNA(INDEX(SAM!$B$8:$HA$215,MATCH($AL83,SAM!$A$8:$A$215,0),MATCH(AZ$48,SAM!$B$7:$HA$7,0)),0)</f>
        <v>0.35156471803510625</v>
      </c>
      <c r="BA83" s="18">
        <f>_xlfn.IFNA(INDEX(SAM!$B$8:$HA$215,MATCH($AL83,SAM!$A$8:$A$215,0),MATCH(BA$48,SAM!$B$7:$HA$7,0)),0)</f>
        <v>1.5393568639608086</v>
      </c>
      <c r="BB83" s="18"/>
      <c r="BC83" t="str">
        <f t="shared" si="155"/>
        <v>ametl</v>
      </c>
      <c r="BD83" s="18">
        <f>_xlfn.IFNA(INDEX(SAM!$B$8:$HA$215,MATCH($BC83,SAM!$A$8:$A$215,0),MATCH(BD$48,SAM!$B$7:$HA$7,0)),0)</f>
        <v>0</v>
      </c>
      <c r="BE83" s="18">
        <f>_xlfn.IFNA(INDEX(SAM!$B$8:$HA$215,MATCH($BC83,SAM!$A$8:$A$215,0),MATCH(BE$48,SAM!$B$7:$HA$7,0)),0)</f>
        <v>0</v>
      </c>
      <c r="BF83" s="18">
        <f>_xlfn.IFNA(INDEX(SAM!$B$8:$HA$215,MATCH($BC83,SAM!$A$8:$A$215,0),MATCH(BF$48,SAM!$B$7:$HA$7,0)),0)</f>
        <v>0</v>
      </c>
      <c r="BG83" s="18">
        <f>_xlfn.IFNA(INDEX(SAM!$B$8:$HA$215,MATCH($BC83,SAM!$A$8:$A$215,0),MATCH(BG$48,SAM!$B$7:$HA$7,0)),0)</f>
        <v>0</v>
      </c>
      <c r="BH83" s="18">
        <f>_xlfn.IFNA(INDEX(SAM!$B$8:$HA$215,MATCH($BC83,SAM!$A$8:$A$215,0),MATCH(BH$48,SAM!$B$7:$HA$7,0)),0)</f>
        <v>0</v>
      </c>
      <c r="BI83" s="18">
        <f>_xlfn.IFNA(INDEX(SAM!$B$8:$HA$215,MATCH($BC83,SAM!$A$8:$A$215,0),MATCH(BI$48,SAM!$B$7:$HA$7,0)),0)</f>
        <v>0</v>
      </c>
      <c r="BJ83" s="18">
        <f>_xlfn.IFNA(INDEX(SAM!$B$8:$HA$215,MATCH($BC83,SAM!$A$8:$A$215,0),MATCH(BJ$48,SAM!$B$7:$HA$7,0)),0)</f>
        <v>0</v>
      </c>
      <c r="BK83" s="18">
        <f>_xlfn.IFNA(INDEX(SAM!$B$8:$HA$215,MATCH($BC83,SAM!$A$8:$A$215,0),MATCH(BK$48,SAM!$B$7:$HA$7,0)),0)</f>
        <v>0</v>
      </c>
      <c r="BL83" s="18">
        <f>_xlfn.IFNA(INDEX(SAM!$B$8:$HA$215,MATCH($BC83,SAM!$A$8:$A$215,0),MATCH(BL$48,SAM!$B$7:$HA$7,0)),0)</f>
        <v>0</v>
      </c>
      <c r="BM83" s="18">
        <f>_xlfn.IFNA(INDEX(SAM!$B$8:$HA$215,MATCH($BC83,SAM!$A$8:$A$215,0),MATCH(BM$48,SAM!$B$7:$HA$7,0)),0)</f>
        <v>0</v>
      </c>
      <c r="BN83" s="18">
        <f>_xlfn.IFNA(INDEX(SAM!$B$8:$HA$215,MATCH($BC83,SAM!$A$8:$A$215,0),MATCH(BN$48,SAM!$B$7:$HA$7,0)),0)</f>
        <v>0</v>
      </c>
      <c r="BO83" s="18">
        <f>_xlfn.IFNA(INDEX(SAM!$B$8:$HA$215,MATCH($BC83,SAM!$A$8:$A$215,0),MATCH(BO$48,SAM!$B$7:$HA$7,0)),0)</f>
        <v>0</v>
      </c>
      <c r="BP83" s="18">
        <f>_xlfn.IFNA(INDEX(SAM!$B$8:$HA$215,MATCH($BC83,SAM!$A$8:$A$215,0),MATCH(BP$48,SAM!$B$7:$HA$7,0)),0)</f>
        <v>0</v>
      </c>
      <c r="BQ83" s="18">
        <f>_xlfn.IFNA(INDEX(SAM!$B$8:$HA$215,MATCH($BC83,SAM!$A$8:$A$215,0),MATCH(BQ$48,SAM!$B$7:$HA$7,0)),0)</f>
        <v>0</v>
      </c>
      <c r="BR83" s="18">
        <f>_xlfn.IFNA(INDEX(SAM!$B$8:$HA$215,MATCH($BC83,SAM!$A$8:$A$215,0),MATCH(BR$48,SAM!$B$7:$HA$7,0)),0)</f>
        <v>0</v>
      </c>
      <c r="BT83" t="str">
        <f t="shared" si="109"/>
        <v>cmetl</v>
      </c>
      <c r="BU83" s="7">
        <f t="shared" si="110"/>
        <v>7.7233659383567232</v>
      </c>
      <c r="BW83" s="51" t="s">
        <v>199</v>
      </c>
      <c r="BX83" s="43">
        <f t="shared" si="116"/>
        <v>3.2785434310034147</v>
      </c>
    </row>
    <row r="84" spans="1:76" x14ac:dyDescent="0.35">
      <c r="A84" t="str">
        <f t="shared" si="136"/>
        <v>manufacturing</v>
      </c>
      <c r="B84" t="s">
        <v>42</v>
      </c>
      <c r="C84" s="18">
        <f t="shared" si="79"/>
        <v>0.32760358685046181</v>
      </c>
      <c r="D84" s="18">
        <f t="shared" si="80"/>
        <v>0.38426491204367724</v>
      </c>
      <c r="E84" s="18">
        <f t="shared" si="81"/>
        <v>0.41985076597253523</v>
      </c>
      <c r="F84" s="18">
        <f t="shared" si="82"/>
        <v>0.73471793104757432</v>
      </c>
      <c r="G84" s="18">
        <f t="shared" si="83"/>
        <v>1.0743620673884675</v>
      </c>
      <c r="H84" s="18">
        <f t="shared" si="84"/>
        <v>0.31385721666601557</v>
      </c>
      <c r="I84" s="18">
        <f t="shared" si="85"/>
        <v>0.33846279435230647</v>
      </c>
      <c r="J84" s="18">
        <f t="shared" si="86"/>
        <v>1.4000960455457985</v>
      </c>
      <c r="K84" s="18">
        <f t="shared" si="87"/>
        <v>0.33109000609528949</v>
      </c>
      <c r="L84" s="18">
        <f t="shared" si="88"/>
        <v>1.1368761589601435</v>
      </c>
      <c r="M84" s="18">
        <f t="shared" si="89"/>
        <v>0.17792300004770115</v>
      </c>
      <c r="N84" s="18">
        <f t="shared" si="90"/>
        <v>0.26718524425523715</v>
      </c>
      <c r="O84" s="18">
        <f t="shared" si="91"/>
        <v>0.33578614558750114</v>
      </c>
      <c r="P84" s="18">
        <f t="shared" si="92"/>
        <v>0.78107204797836116</v>
      </c>
      <c r="Q84" s="18">
        <f t="shared" si="93"/>
        <v>1.2760573021918891</v>
      </c>
      <c r="R84" s="18">
        <f t="shared" si="94"/>
        <v>0.95372311235933804</v>
      </c>
      <c r="T84" t="str">
        <f t="shared" si="137"/>
        <v>mach</v>
      </c>
      <c r="U84" s="18">
        <f t="shared" si="138"/>
        <v>0.81194214197319714</v>
      </c>
      <c r="V84" s="18">
        <f t="shared" si="139"/>
        <v>1.4055340051664049</v>
      </c>
      <c r="W84" s="18">
        <f t="shared" si="140"/>
        <v>2.058218635951</v>
      </c>
      <c r="X84" s="18">
        <f t="shared" si="141"/>
        <v>3.7471180350182229</v>
      </c>
      <c r="Y84" s="18">
        <f t="shared" si="142"/>
        <v>4.9570072344140188</v>
      </c>
      <c r="Z84" s="18">
        <f t="shared" si="143"/>
        <v>0.2684113941382385</v>
      </c>
      <c r="AA84" s="18">
        <f t="shared" si="144"/>
        <v>0.36617623121963427</v>
      </c>
      <c r="AB84" s="18">
        <f t="shared" si="145"/>
        <v>1.9216396926957775</v>
      </c>
      <c r="AC84" s="18">
        <f t="shared" si="146"/>
        <v>1.2055271211417236</v>
      </c>
      <c r="AD84" s="18">
        <f t="shared" si="147"/>
        <v>3.837444327207062</v>
      </c>
      <c r="AE84" s="18">
        <f t="shared" si="148"/>
        <v>7.7416410551646317E-2</v>
      </c>
      <c r="AF84" s="18">
        <f t="shared" si="149"/>
        <v>0.29542007927513536</v>
      </c>
      <c r="AG84" s="18">
        <f t="shared" si="150"/>
        <v>0.79011971943176162</v>
      </c>
      <c r="AH84" s="18">
        <f t="shared" si="151"/>
        <v>4.5208567124935044</v>
      </c>
      <c r="AI84" s="18">
        <f t="shared" si="152"/>
        <v>49.925454031722722</v>
      </c>
      <c r="AJ84" s="18">
        <f t="shared" si="153"/>
        <v>76.18828577240005</v>
      </c>
      <c r="AL84" t="str">
        <f t="shared" si="154"/>
        <v>cmach</v>
      </c>
      <c r="AM84" s="18">
        <f>_xlfn.IFNA(INDEX(SAM!$B$8:$HA$215,MATCH($AL84,SAM!$A$8:$A$215,0),MATCH(AM$48,SAM!$B$7:$HA$7,0)),0)</f>
        <v>0.81194214197319714</v>
      </c>
      <c r="AN84" s="18">
        <f>_xlfn.IFNA(INDEX(SAM!$B$8:$HA$215,MATCH($AL84,SAM!$A$8:$A$215,0),MATCH(AN$48,SAM!$B$7:$HA$7,0)),0)</f>
        <v>1.4055340051664049</v>
      </c>
      <c r="AO84" s="18">
        <f>_xlfn.IFNA(INDEX(SAM!$B$8:$HA$215,MATCH($AL84,SAM!$A$8:$A$215,0),MATCH(AO$48,SAM!$B$7:$HA$7,0)),0)</f>
        <v>2.058218635951</v>
      </c>
      <c r="AP84" s="18">
        <f>_xlfn.IFNA(INDEX(SAM!$B$8:$HA$215,MATCH($AL84,SAM!$A$8:$A$215,0),MATCH(AP$48,SAM!$B$7:$HA$7,0)),0)</f>
        <v>3.7471180350182229</v>
      </c>
      <c r="AQ84" s="18">
        <f>_xlfn.IFNA(INDEX(SAM!$B$8:$HA$215,MATCH($AL84,SAM!$A$8:$A$215,0),MATCH(AQ$48,SAM!$B$7:$HA$7,0)),0)</f>
        <v>4.9570072344140188</v>
      </c>
      <c r="AR84" s="18">
        <f>_xlfn.IFNA(INDEX(SAM!$B$8:$HA$215,MATCH($AL84,SAM!$A$8:$A$215,0),MATCH(AR$48,SAM!$B$7:$HA$7,0)),0)</f>
        <v>0.2684113941382385</v>
      </c>
      <c r="AS84" s="18">
        <f>_xlfn.IFNA(INDEX(SAM!$B$8:$HA$215,MATCH($AL84,SAM!$A$8:$A$215,0),MATCH(AS$48,SAM!$B$7:$HA$7,0)),0)</f>
        <v>0.36617623121963427</v>
      </c>
      <c r="AT84" s="18">
        <f>_xlfn.IFNA(INDEX(SAM!$B$8:$HA$215,MATCH($AL84,SAM!$A$8:$A$215,0),MATCH(AT$48,SAM!$B$7:$HA$7,0)),0)</f>
        <v>1.9216396926957775</v>
      </c>
      <c r="AU84" s="18">
        <f>_xlfn.IFNA(INDEX(SAM!$B$8:$HA$215,MATCH($AL84,SAM!$A$8:$A$215,0),MATCH(AU$48,SAM!$B$7:$HA$7,0)),0)</f>
        <v>1.2055271211417236</v>
      </c>
      <c r="AV84" s="18">
        <f>_xlfn.IFNA(INDEX(SAM!$B$8:$HA$215,MATCH($AL84,SAM!$A$8:$A$215,0),MATCH(AV$48,SAM!$B$7:$HA$7,0)),0)</f>
        <v>3.837444327207062</v>
      </c>
      <c r="AW84" s="18">
        <f>_xlfn.IFNA(INDEX(SAM!$B$8:$HA$215,MATCH($AL84,SAM!$A$8:$A$215,0),MATCH(AW$48,SAM!$B$7:$HA$7,0)),0)</f>
        <v>7.7416410551646317E-2</v>
      </c>
      <c r="AX84" s="18">
        <f>_xlfn.IFNA(INDEX(SAM!$B$8:$HA$215,MATCH($AL84,SAM!$A$8:$A$215,0),MATCH(AX$48,SAM!$B$7:$HA$7,0)),0)</f>
        <v>0.29542007927513536</v>
      </c>
      <c r="AY84" s="18">
        <f>_xlfn.IFNA(INDEX(SAM!$B$8:$HA$215,MATCH($AL84,SAM!$A$8:$A$215,0),MATCH(AY$48,SAM!$B$7:$HA$7,0)),0)</f>
        <v>0.79011971943176162</v>
      </c>
      <c r="AZ84" s="18">
        <f>_xlfn.IFNA(INDEX(SAM!$B$8:$HA$215,MATCH($AL84,SAM!$A$8:$A$215,0),MATCH(AZ$48,SAM!$B$7:$HA$7,0)),0)</f>
        <v>4.5208567124935044</v>
      </c>
      <c r="BA84" s="18">
        <f>_xlfn.IFNA(INDEX(SAM!$B$8:$HA$215,MATCH($AL84,SAM!$A$8:$A$215,0),MATCH(BA$48,SAM!$B$7:$HA$7,0)),0)</f>
        <v>49.925454031722722</v>
      </c>
      <c r="BB84" s="18"/>
      <c r="BC84" t="str">
        <f t="shared" si="155"/>
        <v>amach</v>
      </c>
      <c r="BD84" s="18">
        <f>_xlfn.IFNA(INDEX(SAM!$B$8:$HA$215,MATCH($BC84,SAM!$A$8:$A$215,0),MATCH(BD$48,SAM!$B$7:$HA$7,0)),0)</f>
        <v>0</v>
      </c>
      <c r="BE84" s="18">
        <f>_xlfn.IFNA(INDEX(SAM!$B$8:$HA$215,MATCH($BC84,SAM!$A$8:$A$215,0),MATCH(BE$48,SAM!$B$7:$HA$7,0)),0)</f>
        <v>0</v>
      </c>
      <c r="BF84" s="18">
        <f>_xlfn.IFNA(INDEX(SAM!$B$8:$HA$215,MATCH($BC84,SAM!$A$8:$A$215,0),MATCH(BF$48,SAM!$B$7:$HA$7,0)),0)</f>
        <v>0</v>
      </c>
      <c r="BG84" s="18">
        <f>_xlfn.IFNA(INDEX(SAM!$B$8:$HA$215,MATCH($BC84,SAM!$A$8:$A$215,0),MATCH(BG$48,SAM!$B$7:$HA$7,0)),0)</f>
        <v>0</v>
      </c>
      <c r="BH84" s="18">
        <f>_xlfn.IFNA(INDEX(SAM!$B$8:$HA$215,MATCH($BC84,SAM!$A$8:$A$215,0),MATCH(BH$48,SAM!$B$7:$HA$7,0)),0)</f>
        <v>0</v>
      </c>
      <c r="BI84" s="18">
        <f>_xlfn.IFNA(INDEX(SAM!$B$8:$HA$215,MATCH($BC84,SAM!$A$8:$A$215,0),MATCH(BI$48,SAM!$B$7:$HA$7,0)),0)</f>
        <v>0</v>
      </c>
      <c r="BJ84" s="18">
        <f>_xlfn.IFNA(INDEX(SAM!$B$8:$HA$215,MATCH($BC84,SAM!$A$8:$A$215,0),MATCH(BJ$48,SAM!$B$7:$HA$7,0)),0)</f>
        <v>0</v>
      </c>
      <c r="BK84" s="18">
        <f>_xlfn.IFNA(INDEX(SAM!$B$8:$HA$215,MATCH($BC84,SAM!$A$8:$A$215,0),MATCH(BK$48,SAM!$B$7:$HA$7,0)),0)</f>
        <v>0</v>
      </c>
      <c r="BL84" s="18">
        <f>_xlfn.IFNA(INDEX(SAM!$B$8:$HA$215,MATCH($BC84,SAM!$A$8:$A$215,0),MATCH(BL$48,SAM!$B$7:$HA$7,0)),0)</f>
        <v>0</v>
      </c>
      <c r="BM84" s="18">
        <f>_xlfn.IFNA(INDEX(SAM!$B$8:$HA$215,MATCH($BC84,SAM!$A$8:$A$215,0),MATCH(BM$48,SAM!$B$7:$HA$7,0)),0)</f>
        <v>0</v>
      </c>
      <c r="BN84" s="18">
        <f>_xlfn.IFNA(INDEX(SAM!$B$8:$HA$215,MATCH($BC84,SAM!$A$8:$A$215,0),MATCH(BN$48,SAM!$B$7:$HA$7,0)),0)</f>
        <v>0</v>
      </c>
      <c r="BO84" s="18">
        <f>_xlfn.IFNA(INDEX(SAM!$B$8:$HA$215,MATCH($BC84,SAM!$A$8:$A$215,0),MATCH(BO$48,SAM!$B$7:$HA$7,0)),0)</f>
        <v>0</v>
      </c>
      <c r="BP84" s="18">
        <f>_xlfn.IFNA(INDEX(SAM!$B$8:$HA$215,MATCH($BC84,SAM!$A$8:$A$215,0),MATCH(BP$48,SAM!$B$7:$HA$7,0)),0)</f>
        <v>0</v>
      </c>
      <c r="BQ84" s="18">
        <f>_xlfn.IFNA(INDEX(SAM!$B$8:$HA$215,MATCH($BC84,SAM!$A$8:$A$215,0),MATCH(BQ$48,SAM!$B$7:$HA$7,0)),0)</f>
        <v>0</v>
      </c>
      <c r="BR84" s="18">
        <f>_xlfn.IFNA(INDEX(SAM!$B$8:$HA$215,MATCH($BC84,SAM!$A$8:$A$215,0),MATCH(BR$48,SAM!$B$7:$HA$7,0)),0)</f>
        <v>0</v>
      </c>
      <c r="BT84" t="str">
        <f t="shared" si="109"/>
        <v>cmach</v>
      </c>
      <c r="BU84" s="7">
        <f t="shared" si="110"/>
        <v>76.18828577240005</v>
      </c>
      <c r="BW84" s="51" t="s">
        <v>200</v>
      </c>
      <c r="BX84" s="43">
        <f t="shared" si="116"/>
        <v>13.294652467254581</v>
      </c>
    </row>
    <row r="85" spans="1:76" x14ac:dyDescent="0.35">
      <c r="A85" s="26" t="str">
        <f t="shared" si="136"/>
        <v>manufacturing</v>
      </c>
      <c r="B85" s="26" t="s">
        <v>43</v>
      </c>
      <c r="C85" s="45">
        <f t="shared" si="79"/>
        <v>0.49712397549257903</v>
      </c>
      <c r="D85" s="45">
        <f t="shared" si="80"/>
        <v>0.58705663578800293</v>
      </c>
      <c r="E85" s="45">
        <f t="shared" si="81"/>
        <v>0.56505223070149369</v>
      </c>
      <c r="F85" s="45">
        <f t="shared" si="82"/>
        <v>0.70537453548290774</v>
      </c>
      <c r="G85" s="45">
        <f t="shared" si="83"/>
        <v>0.59691701664187669</v>
      </c>
      <c r="H85" s="45">
        <f t="shared" si="84"/>
        <v>0.38364728160534661</v>
      </c>
      <c r="I85" s="45">
        <f t="shared" si="85"/>
        <v>0.41358091281819981</v>
      </c>
      <c r="J85" s="45">
        <f t="shared" si="86"/>
        <v>0.61667729235647051</v>
      </c>
      <c r="K85" s="45">
        <f t="shared" si="87"/>
        <v>0.42126624784190869</v>
      </c>
      <c r="L85" s="45">
        <f t="shared" si="88"/>
        <v>0.6344163226445082</v>
      </c>
      <c r="M85" s="45">
        <f t="shared" si="89"/>
        <v>0.44838926999470108</v>
      </c>
      <c r="N85" s="45">
        <f t="shared" si="90"/>
        <v>0.48952568755064729</v>
      </c>
      <c r="O85" s="45">
        <f t="shared" si="91"/>
        <v>0.45286514929827959</v>
      </c>
      <c r="P85" s="45">
        <f t="shared" si="92"/>
        <v>0.57015435478880616</v>
      </c>
      <c r="Q85" s="45">
        <f t="shared" si="93"/>
        <v>0.59080389788493548</v>
      </c>
      <c r="R85" s="45">
        <f t="shared" si="94"/>
        <v>0.5760186740383858</v>
      </c>
      <c r="S85" s="26"/>
      <c r="T85" s="26" t="str">
        <f t="shared" si="137"/>
        <v>oman</v>
      </c>
      <c r="U85" s="45">
        <f t="shared" si="138"/>
        <v>1.2320863436453147</v>
      </c>
      <c r="V85" s="45">
        <f t="shared" si="139"/>
        <v>2.1472896397702828</v>
      </c>
      <c r="W85" s="45">
        <f t="shared" si="140"/>
        <v>2.770034321174911</v>
      </c>
      <c r="X85" s="45">
        <f t="shared" si="141"/>
        <v>3.5974644576619954</v>
      </c>
      <c r="Y85" s="45">
        <f t="shared" si="142"/>
        <v>2.7541199188380596</v>
      </c>
      <c r="Z85" s="45">
        <f t="shared" si="143"/>
        <v>0.32809601387186016</v>
      </c>
      <c r="AA85" s="45">
        <f t="shared" si="144"/>
        <v>0.44744504414422209</v>
      </c>
      <c r="AB85" s="45">
        <f t="shared" si="145"/>
        <v>0.84639305020991762</v>
      </c>
      <c r="AC85" s="45">
        <f t="shared" si="146"/>
        <v>1.5338665548511623</v>
      </c>
      <c r="AD85" s="45">
        <f t="shared" si="147"/>
        <v>2.1414270140439129</v>
      </c>
      <c r="AE85" s="45">
        <f t="shared" si="148"/>
        <v>0.19509949699339768</v>
      </c>
      <c r="AF85" s="45">
        <f t="shared" si="149"/>
        <v>0.54125637748647015</v>
      </c>
      <c r="AG85" s="45">
        <f t="shared" si="150"/>
        <v>1.0656118169435829</v>
      </c>
      <c r="AH85" s="45">
        <f t="shared" si="151"/>
        <v>3.3000619452147992</v>
      </c>
      <c r="AI85" s="45">
        <f t="shared" si="152"/>
        <v>23.115069201791552</v>
      </c>
      <c r="AJ85" s="45">
        <f t="shared" si="153"/>
        <v>46.015321196641437</v>
      </c>
      <c r="AK85" s="26"/>
      <c r="AL85" s="26" t="str">
        <f t="shared" si="154"/>
        <v>coman</v>
      </c>
      <c r="AM85" s="45">
        <f>_xlfn.IFNA(INDEX(SAM!$B$8:$HA$215,MATCH($AL85,SAM!$A$8:$A$215,0),MATCH(AM$48,SAM!$B$7:$HA$7,0)),0)</f>
        <v>1.2320863436453147</v>
      </c>
      <c r="AN85" s="45">
        <f>_xlfn.IFNA(INDEX(SAM!$B$8:$HA$215,MATCH($AL85,SAM!$A$8:$A$215,0),MATCH(AN$48,SAM!$B$7:$HA$7,0)),0)</f>
        <v>2.1472896397702828</v>
      </c>
      <c r="AO85" s="45">
        <f>_xlfn.IFNA(INDEX(SAM!$B$8:$HA$215,MATCH($AL85,SAM!$A$8:$A$215,0),MATCH(AO$48,SAM!$B$7:$HA$7,0)),0)</f>
        <v>2.770034321174911</v>
      </c>
      <c r="AP85" s="45">
        <f>_xlfn.IFNA(INDEX(SAM!$B$8:$HA$215,MATCH($AL85,SAM!$A$8:$A$215,0),MATCH(AP$48,SAM!$B$7:$HA$7,0)),0)</f>
        <v>3.5974644576619954</v>
      </c>
      <c r="AQ85" s="45">
        <f>_xlfn.IFNA(INDEX(SAM!$B$8:$HA$215,MATCH($AL85,SAM!$A$8:$A$215,0),MATCH(AQ$48,SAM!$B$7:$HA$7,0)),0)</f>
        <v>2.7541199188380596</v>
      </c>
      <c r="AR85" s="45">
        <f>_xlfn.IFNA(INDEX(SAM!$B$8:$HA$215,MATCH($AL85,SAM!$A$8:$A$215,0),MATCH(AR$48,SAM!$B$7:$HA$7,0)),0)</f>
        <v>0.32809601387186016</v>
      </c>
      <c r="AS85" s="45">
        <f>_xlfn.IFNA(INDEX(SAM!$B$8:$HA$215,MATCH($AL85,SAM!$A$8:$A$215,0),MATCH(AS$48,SAM!$B$7:$HA$7,0)),0)</f>
        <v>0.44744504414422209</v>
      </c>
      <c r="AT85" s="45">
        <f>_xlfn.IFNA(INDEX(SAM!$B$8:$HA$215,MATCH($AL85,SAM!$A$8:$A$215,0),MATCH(AT$48,SAM!$B$7:$HA$7,0)),0)</f>
        <v>0.84639305020991762</v>
      </c>
      <c r="AU85" s="45">
        <f>_xlfn.IFNA(INDEX(SAM!$B$8:$HA$215,MATCH($AL85,SAM!$A$8:$A$215,0),MATCH(AU$48,SAM!$B$7:$HA$7,0)),0)</f>
        <v>1.5338665548511623</v>
      </c>
      <c r="AV85" s="45">
        <f>_xlfn.IFNA(INDEX(SAM!$B$8:$HA$215,MATCH($AL85,SAM!$A$8:$A$215,0),MATCH(AV$48,SAM!$B$7:$HA$7,0)),0)</f>
        <v>2.1414270140439129</v>
      </c>
      <c r="AW85" s="45">
        <f>_xlfn.IFNA(INDEX(SAM!$B$8:$HA$215,MATCH($AL85,SAM!$A$8:$A$215,0),MATCH(AW$48,SAM!$B$7:$HA$7,0)),0)</f>
        <v>0.19509949699339768</v>
      </c>
      <c r="AX85" s="45">
        <f>_xlfn.IFNA(INDEX(SAM!$B$8:$HA$215,MATCH($AL85,SAM!$A$8:$A$215,0),MATCH(AX$48,SAM!$B$7:$HA$7,0)),0)</f>
        <v>0.54125637748647015</v>
      </c>
      <c r="AY85" s="45">
        <f>_xlfn.IFNA(INDEX(SAM!$B$8:$HA$215,MATCH($AL85,SAM!$A$8:$A$215,0),MATCH(AY$48,SAM!$B$7:$HA$7,0)),0)</f>
        <v>1.0656118169435829</v>
      </c>
      <c r="AZ85" s="45">
        <f>_xlfn.IFNA(INDEX(SAM!$B$8:$HA$215,MATCH($AL85,SAM!$A$8:$A$215,0),MATCH(AZ$48,SAM!$B$7:$HA$7,0)),0)</f>
        <v>3.3000619452147992</v>
      </c>
      <c r="BA85" s="45">
        <f>_xlfn.IFNA(INDEX(SAM!$B$8:$HA$215,MATCH($AL85,SAM!$A$8:$A$215,0),MATCH(BA$48,SAM!$B$7:$HA$7,0)),0)</f>
        <v>23.115069201791552</v>
      </c>
      <c r="BB85" s="45"/>
      <c r="BC85" s="26" t="str">
        <f t="shared" si="155"/>
        <v>aoman</v>
      </c>
      <c r="BD85" s="45">
        <f>_xlfn.IFNA(INDEX(SAM!$B$8:$HA$215,MATCH($BC85,SAM!$A$8:$A$215,0),MATCH(BD$48,SAM!$B$7:$HA$7,0)),0)</f>
        <v>0</v>
      </c>
      <c r="BE85" s="45">
        <f>_xlfn.IFNA(INDEX(SAM!$B$8:$HA$215,MATCH($BC85,SAM!$A$8:$A$215,0),MATCH(BE$48,SAM!$B$7:$HA$7,0)),0)</f>
        <v>0</v>
      </c>
      <c r="BF85" s="45">
        <f>_xlfn.IFNA(INDEX(SAM!$B$8:$HA$215,MATCH($BC85,SAM!$A$8:$A$215,0),MATCH(BF$48,SAM!$B$7:$HA$7,0)),0)</f>
        <v>0</v>
      </c>
      <c r="BG85" s="45">
        <f>_xlfn.IFNA(INDEX(SAM!$B$8:$HA$215,MATCH($BC85,SAM!$A$8:$A$215,0),MATCH(BG$48,SAM!$B$7:$HA$7,0)),0)</f>
        <v>0</v>
      </c>
      <c r="BH85" s="45">
        <f>_xlfn.IFNA(INDEX(SAM!$B$8:$HA$215,MATCH($BC85,SAM!$A$8:$A$215,0),MATCH(BH$48,SAM!$B$7:$HA$7,0)),0)</f>
        <v>0</v>
      </c>
      <c r="BI85" s="45">
        <f>_xlfn.IFNA(INDEX(SAM!$B$8:$HA$215,MATCH($BC85,SAM!$A$8:$A$215,0),MATCH(BI$48,SAM!$B$7:$HA$7,0)),0)</f>
        <v>0</v>
      </c>
      <c r="BJ85" s="45">
        <f>_xlfn.IFNA(INDEX(SAM!$B$8:$HA$215,MATCH($BC85,SAM!$A$8:$A$215,0),MATCH(BJ$48,SAM!$B$7:$HA$7,0)),0)</f>
        <v>0</v>
      </c>
      <c r="BK85" s="45">
        <f>_xlfn.IFNA(INDEX(SAM!$B$8:$HA$215,MATCH($BC85,SAM!$A$8:$A$215,0),MATCH(BK$48,SAM!$B$7:$HA$7,0)),0)</f>
        <v>0</v>
      </c>
      <c r="BL85" s="45">
        <f>_xlfn.IFNA(INDEX(SAM!$B$8:$HA$215,MATCH($BC85,SAM!$A$8:$A$215,0),MATCH(BL$48,SAM!$B$7:$HA$7,0)),0)</f>
        <v>0</v>
      </c>
      <c r="BM85" s="45">
        <f>_xlfn.IFNA(INDEX(SAM!$B$8:$HA$215,MATCH($BC85,SAM!$A$8:$A$215,0),MATCH(BM$48,SAM!$B$7:$HA$7,0)),0)</f>
        <v>0</v>
      </c>
      <c r="BN85" s="45">
        <f>_xlfn.IFNA(INDEX(SAM!$B$8:$HA$215,MATCH($BC85,SAM!$A$8:$A$215,0),MATCH(BN$48,SAM!$B$7:$HA$7,0)),0)</f>
        <v>0</v>
      </c>
      <c r="BO85" s="45">
        <f>_xlfn.IFNA(INDEX(SAM!$B$8:$HA$215,MATCH($BC85,SAM!$A$8:$A$215,0),MATCH(BO$48,SAM!$B$7:$HA$7,0)),0)</f>
        <v>0</v>
      </c>
      <c r="BP85" s="45">
        <f>_xlfn.IFNA(INDEX(SAM!$B$8:$HA$215,MATCH($BC85,SAM!$A$8:$A$215,0),MATCH(BP$48,SAM!$B$7:$HA$7,0)),0)</f>
        <v>0</v>
      </c>
      <c r="BQ85" s="45">
        <f>_xlfn.IFNA(INDEX(SAM!$B$8:$HA$215,MATCH($BC85,SAM!$A$8:$A$215,0),MATCH(BQ$48,SAM!$B$7:$HA$7,0)),0)</f>
        <v>0</v>
      </c>
      <c r="BR85" s="45">
        <f>_xlfn.IFNA(INDEX(SAM!$B$8:$HA$215,MATCH($BC85,SAM!$A$8:$A$215,0),MATCH(BR$48,SAM!$B$7:$HA$7,0)),0)</f>
        <v>0</v>
      </c>
      <c r="BT85" t="str">
        <f t="shared" si="109"/>
        <v>coman</v>
      </c>
      <c r="BU85" s="7">
        <f t="shared" si="110"/>
        <v>46.015321196641437</v>
      </c>
      <c r="BW85" s="51" t="s">
        <v>201</v>
      </c>
      <c r="BX85" s="43">
        <f t="shared" si="116"/>
        <v>1.117640387887368</v>
      </c>
    </row>
    <row r="86" spans="1:76" x14ac:dyDescent="0.35">
      <c r="A86" s="47" t="str">
        <f t="shared" si="136"/>
        <v>contruction</v>
      </c>
      <c r="B86" s="47" t="s">
        <v>46</v>
      </c>
      <c r="C86" s="48">
        <f t="shared" si="79"/>
        <v>0</v>
      </c>
      <c r="D86" s="48">
        <f t="shared" si="80"/>
        <v>0</v>
      </c>
      <c r="E86" s="48">
        <f t="shared" si="81"/>
        <v>0</v>
      </c>
      <c r="F86" s="48">
        <f t="shared" si="82"/>
        <v>0</v>
      </c>
      <c r="G86" s="48">
        <f t="shared" si="83"/>
        <v>0</v>
      </c>
      <c r="H86" s="48">
        <f t="shared" si="84"/>
        <v>0</v>
      </c>
      <c r="I86" s="48">
        <f t="shared" si="85"/>
        <v>0</v>
      </c>
      <c r="J86" s="48">
        <f t="shared" si="86"/>
        <v>0</v>
      </c>
      <c r="K86" s="48">
        <f t="shared" si="87"/>
        <v>0</v>
      </c>
      <c r="L86" s="48">
        <f t="shared" si="88"/>
        <v>0</v>
      </c>
      <c r="M86" s="48">
        <f t="shared" si="89"/>
        <v>0</v>
      </c>
      <c r="N86" s="48">
        <f t="shared" si="90"/>
        <v>0</v>
      </c>
      <c r="O86" s="48">
        <f t="shared" si="91"/>
        <v>0</v>
      </c>
      <c r="P86" s="48">
        <f t="shared" si="92"/>
        <v>0</v>
      </c>
      <c r="Q86" s="48">
        <f t="shared" si="93"/>
        <v>0</v>
      </c>
      <c r="R86" s="48">
        <f t="shared" si="94"/>
        <v>0</v>
      </c>
      <c r="S86" s="47"/>
      <c r="T86" s="47" t="str">
        <f t="shared" si="137"/>
        <v>cons</v>
      </c>
      <c r="U86" s="48">
        <f t="shared" si="138"/>
        <v>0</v>
      </c>
      <c r="V86" s="48">
        <f t="shared" si="139"/>
        <v>0</v>
      </c>
      <c r="W86" s="48">
        <f t="shared" si="140"/>
        <v>0</v>
      </c>
      <c r="X86" s="48">
        <f t="shared" si="141"/>
        <v>0</v>
      </c>
      <c r="Y86" s="48">
        <f t="shared" si="142"/>
        <v>0</v>
      </c>
      <c r="Z86" s="48">
        <f t="shared" si="143"/>
        <v>0</v>
      </c>
      <c r="AA86" s="48">
        <f t="shared" si="144"/>
        <v>0</v>
      </c>
      <c r="AB86" s="48">
        <f t="shared" si="145"/>
        <v>0</v>
      </c>
      <c r="AC86" s="48">
        <f t="shared" si="146"/>
        <v>0</v>
      </c>
      <c r="AD86" s="48">
        <f t="shared" si="147"/>
        <v>0</v>
      </c>
      <c r="AE86" s="48">
        <f t="shared" si="148"/>
        <v>0</v>
      </c>
      <c r="AF86" s="48">
        <f t="shared" si="149"/>
        <v>0</v>
      </c>
      <c r="AG86" s="48">
        <f t="shared" si="150"/>
        <v>0</v>
      </c>
      <c r="AH86" s="48">
        <f t="shared" si="151"/>
        <v>0</v>
      </c>
      <c r="AI86" s="48">
        <f t="shared" si="152"/>
        <v>0</v>
      </c>
      <c r="AJ86" s="48">
        <f t="shared" si="153"/>
        <v>0</v>
      </c>
      <c r="AK86" s="47"/>
      <c r="AL86" s="47" t="str">
        <f t="shared" si="154"/>
        <v>ccons</v>
      </c>
      <c r="AM86" s="48">
        <f>_xlfn.IFNA(INDEX(SAM!$B$8:$HA$215,MATCH($AL86,SAM!$A$8:$A$215,0),MATCH(AM$48,SAM!$B$7:$HA$7,0)),0)</f>
        <v>0</v>
      </c>
      <c r="AN86" s="48">
        <f>_xlfn.IFNA(INDEX(SAM!$B$8:$HA$215,MATCH($AL86,SAM!$A$8:$A$215,0),MATCH(AN$48,SAM!$B$7:$HA$7,0)),0)</f>
        <v>0</v>
      </c>
      <c r="AO86" s="48">
        <f>_xlfn.IFNA(INDEX(SAM!$B$8:$HA$215,MATCH($AL86,SAM!$A$8:$A$215,0),MATCH(AO$48,SAM!$B$7:$HA$7,0)),0)</f>
        <v>0</v>
      </c>
      <c r="AP86" s="48">
        <f>_xlfn.IFNA(INDEX(SAM!$B$8:$HA$215,MATCH($AL86,SAM!$A$8:$A$215,0),MATCH(AP$48,SAM!$B$7:$HA$7,0)),0)</f>
        <v>0</v>
      </c>
      <c r="AQ86" s="48">
        <f>_xlfn.IFNA(INDEX(SAM!$B$8:$HA$215,MATCH($AL86,SAM!$A$8:$A$215,0),MATCH(AQ$48,SAM!$B$7:$HA$7,0)),0)</f>
        <v>0</v>
      </c>
      <c r="AR86" s="48">
        <f>_xlfn.IFNA(INDEX(SAM!$B$8:$HA$215,MATCH($AL86,SAM!$A$8:$A$215,0),MATCH(AR$48,SAM!$B$7:$HA$7,0)),0)</f>
        <v>0</v>
      </c>
      <c r="AS86" s="48">
        <f>_xlfn.IFNA(INDEX(SAM!$B$8:$HA$215,MATCH($AL86,SAM!$A$8:$A$215,0),MATCH(AS$48,SAM!$B$7:$HA$7,0)),0)</f>
        <v>0</v>
      </c>
      <c r="AT86" s="48">
        <f>_xlfn.IFNA(INDEX(SAM!$B$8:$HA$215,MATCH($AL86,SAM!$A$8:$A$215,0),MATCH(AT$48,SAM!$B$7:$HA$7,0)),0)</f>
        <v>0</v>
      </c>
      <c r="AU86" s="48">
        <f>_xlfn.IFNA(INDEX(SAM!$B$8:$HA$215,MATCH($AL86,SAM!$A$8:$A$215,0),MATCH(AU$48,SAM!$B$7:$HA$7,0)),0)</f>
        <v>0</v>
      </c>
      <c r="AV86" s="48">
        <f>_xlfn.IFNA(INDEX(SAM!$B$8:$HA$215,MATCH($AL86,SAM!$A$8:$A$215,0),MATCH(AV$48,SAM!$B$7:$HA$7,0)),0)</f>
        <v>0</v>
      </c>
      <c r="AW86" s="48">
        <f>_xlfn.IFNA(INDEX(SAM!$B$8:$HA$215,MATCH($AL86,SAM!$A$8:$A$215,0),MATCH(AW$48,SAM!$B$7:$HA$7,0)),0)</f>
        <v>0</v>
      </c>
      <c r="AX86" s="48">
        <f>_xlfn.IFNA(INDEX(SAM!$B$8:$HA$215,MATCH($AL86,SAM!$A$8:$A$215,0),MATCH(AX$48,SAM!$B$7:$HA$7,0)),0)</f>
        <v>0</v>
      </c>
      <c r="AY86" s="48">
        <f>_xlfn.IFNA(INDEX(SAM!$B$8:$HA$215,MATCH($AL86,SAM!$A$8:$A$215,0),MATCH(AY$48,SAM!$B$7:$HA$7,0)),0)</f>
        <v>0</v>
      </c>
      <c r="AZ86" s="48">
        <f>_xlfn.IFNA(INDEX(SAM!$B$8:$HA$215,MATCH($AL86,SAM!$A$8:$A$215,0),MATCH(AZ$48,SAM!$B$7:$HA$7,0)),0)</f>
        <v>0</v>
      </c>
      <c r="BA86" s="48">
        <f>_xlfn.IFNA(INDEX(SAM!$B$8:$HA$215,MATCH($AL86,SAM!$A$8:$A$215,0),MATCH(BA$48,SAM!$B$7:$HA$7,0)),0)</f>
        <v>0</v>
      </c>
      <c r="BB86" s="48"/>
      <c r="BC86" s="47" t="str">
        <f t="shared" si="155"/>
        <v>acons</v>
      </c>
      <c r="BD86" s="48">
        <f>_xlfn.IFNA(INDEX(SAM!$B$8:$HA$215,MATCH($BC86,SAM!$A$8:$A$215,0),MATCH(BD$48,SAM!$B$7:$HA$7,0)),0)</f>
        <v>0</v>
      </c>
      <c r="BE86" s="48">
        <f>_xlfn.IFNA(INDEX(SAM!$B$8:$HA$215,MATCH($BC86,SAM!$A$8:$A$215,0),MATCH(BE$48,SAM!$B$7:$HA$7,0)),0)</f>
        <v>0</v>
      </c>
      <c r="BF86" s="48">
        <f>_xlfn.IFNA(INDEX(SAM!$B$8:$HA$215,MATCH($BC86,SAM!$A$8:$A$215,0),MATCH(BF$48,SAM!$B$7:$HA$7,0)),0)</f>
        <v>0</v>
      </c>
      <c r="BG86" s="48">
        <f>_xlfn.IFNA(INDEX(SAM!$B$8:$HA$215,MATCH($BC86,SAM!$A$8:$A$215,0),MATCH(BG$48,SAM!$B$7:$HA$7,0)),0)</f>
        <v>0</v>
      </c>
      <c r="BH86" s="48">
        <f>_xlfn.IFNA(INDEX(SAM!$B$8:$HA$215,MATCH($BC86,SAM!$A$8:$A$215,0),MATCH(BH$48,SAM!$B$7:$HA$7,0)),0)</f>
        <v>0</v>
      </c>
      <c r="BI86" s="48">
        <f>_xlfn.IFNA(INDEX(SAM!$B$8:$HA$215,MATCH($BC86,SAM!$A$8:$A$215,0),MATCH(BI$48,SAM!$B$7:$HA$7,0)),0)</f>
        <v>0</v>
      </c>
      <c r="BJ86" s="48">
        <f>_xlfn.IFNA(INDEX(SAM!$B$8:$HA$215,MATCH($BC86,SAM!$A$8:$A$215,0),MATCH(BJ$48,SAM!$B$7:$HA$7,0)),0)</f>
        <v>0</v>
      </c>
      <c r="BK86" s="48">
        <f>_xlfn.IFNA(INDEX(SAM!$B$8:$HA$215,MATCH($BC86,SAM!$A$8:$A$215,0),MATCH(BK$48,SAM!$B$7:$HA$7,0)),0)</f>
        <v>0</v>
      </c>
      <c r="BL86" s="48">
        <f>_xlfn.IFNA(INDEX(SAM!$B$8:$HA$215,MATCH($BC86,SAM!$A$8:$A$215,0),MATCH(BL$48,SAM!$B$7:$HA$7,0)),0)</f>
        <v>0</v>
      </c>
      <c r="BM86" s="48">
        <f>_xlfn.IFNA(INDEX(SAM!$B$8:$HA$215,MATCH($BC86,SAM!$A$8:$A$215,0),MATCH(BM$48,SAM!$B$7:$HA$7,0)),0)</f>
        <v>0</v>
      </c>
      <c r="BN86" s="48">
        <f>_xlfn.IFNA(INDEX(SAM!$B$8:$HA$215,MATCH($BC86,SAM!$A$8:$A$215,0),MATCH(BN$48,SAM!$B$7:$HA$7,0)),0)</f>
        <v>0</v>
      </c>
      <c r="BO86" s="48">
        <f>_xlfn.IFNA(INDEX(SAM!$B$8:$HA$215,MATCH($BC86,SAM!$A$8:$A$215,0),MATCH(BO$48,SAM!$B$7:$HA$7,0)),0)</f>
        <v>0</v>
      </c>
      <c r="BP86" s="48">
        <f>_xlfn.IFNA(INDEX(SAM!$B$8:$HA$215,MATCH($BC86,SAM!$A$8:$A$215,0),MATCH(BP$48,SAM!$B$7:$HA$7,0)),0)</f>
        <v>0</v>
      </c>
      <c r="BQ86" s="48">
        <f>_xlfn.IFNA(INDEX(SAM!$B$8:$HA$215,MATCH($BC86,SAM!$A$8:$A$215,0),MATCH(BQ$48,SAM!$B$7:$HA$7,0)),0)</f>
        <v>0</v>
      </c>
      <c r="BR86" s="48">
        <f>_xlfn.IFNA(INDEX(SAM!$B$8:$HA$215,MATCH($BC86,SAM!$A$8:$A$215,0),MATCH(BR$48,SAM!$B$7:$HA$7,0)),0)</f>
        <v>0</v>
      </c>
      <c r="BT86" t="str">
        <f t="shared" si="109"/>
        <v>ccons</v>
      </c>
      <c r="BU86" s="7">
        <f t="shared" si="110"/>
        <v>0</v>
      </c>
      <c r="BW86" s="51" t="s">
        <v>549</v>
      </c>
      <c r="BX86" s="43">
        <f t="shared" si="116"/>
        <v>1.8617075375698795</v>
      </c>
    </row>
    <row r="87" spans="1:76" x14ac:dyDescent="0.35">
      <c r="A87" s="38" t="str">
        <f t="shared" si="136"/>
        <v>hotels and restaurants</v>
      </c>
      <c r="B87" s="38" t="s">
        <v>49</v>
      </c>
      <c r="C87" s="46">
        <f t="shared" si="79"/>
        <v>7.1536231335197619E-4</v>
      </c>
      <c r="D87" s="46">
        <f t="shared" si="80"/>
        <v>5.5602474337935158E-3</v>
      </c>
      <c r="E87" s="46">
        <f t="shared" si="81"/>
        <v>0.10051673573282173</v>
      </c>
      <c r="F87" s="46">
        <f t="shared" si="82"/>
        <v>5.6005776321978118E-2</v>
      </c>
      <c r="G87" s="46">
        <f t="shared" si="83"/>
        <v>0.23937820020601391</v>
      </c>
      <c r="H87" s="46">
        <f t="shared" si="84"/>
        <v>0</v>
      </c>
      <c r="I87" s="46">
        <f t="shared" si="85"/>
        <v>0.12143956985434767</v>
      </c>
      <c r="J87" s="46">
        <f t="shared" si="86"/>
        <v>0</v>
      </c>
      <c r="K87" s="46">
        <f t="shared" si="87"/>
        <v>3.6661108107719075E-2</v>
      </c>
      <c r="L87" s="46">
        <f t="shared" si="88"/>
        <v>0.19177329818451655</v>
      </c>
      <c r="M87" s="46">
        <f t="shared" si="89"/>
        <v>0</v>
      </c>
      <c r="N87" s="46">
        <f t="shared" si="90"/>
        <v>1.8012971585828666E-3</v>
      </c>
      <c r="O87" s="46">
        <f t="shared" si="91"/>
        <v>6.140210244697817E-2</v>
      </c>
      <c r="P87" s="46">
        <f t="shared" si="92"/>
        <v>7.832567714096085E-2</v>
      </c>
      <c r="Q87" s="46">
        <f t="shared" si="93"/>
        <v>2.1946670739425409</v>
      </c>
      <c r="R87" s="46">
        <f t="shared" si="94"/>
        <v>1.117640387887368</v>
      </c>
      <c r="S87" s="38"/>
      <c r="T87" s="38" t="str">
        <f t="shared" si="137"/>
        <v>hotl</v>
      </c>
      <c r="U87" s="46">
        <f t="shared" si="138"/>
        <v>1.7729745103646632E-3</v>
      </c>
      <c r="V87" s="46">
        <f t="shared" si="139"/>
        <v>2.0337836217655295E-2</v>
      </c>
      <c r="W87" s="46">
        <f t="shared" si="140"/>
        <v>0.49275941710152554</v>
      </c>
      <c r="X87" s="46">
        <f t="shared" si="141"/>
        <v>0.28563377270792639</v>
      </c>
      <c r="Y87" s="46">
        <f t="shared" si="142"/>
        <v>1.1044688808369554</v>
      </c>
      <c r="Z87" s="46">
        <f t="shared" si="143"/>
        <v>0</v>
      </c>
      <c r="AA87" s="46">
        <f t="shared" si="144"/>
        <v>0.13138307888550796</v>
      </c>
      <c r="AB87" s="46">
        <f t="shared" si="145"/>
        <v>0</v>
      </c>
      <c r="AC87" s="46">
        <f t="shared" si="146"/>
        <v>0.13348624030120751</v>
      </c>
      <c r="AD87" s="46">
        <f t="shared" si="147"/>
        <v>0.64731707972579722</v>
      </c>
      <c r="AE87" s="46">
        <f t="shared" si="148"/>
        <v>0</v>
      </c>
      <c r="AF87" s="46">
        <f t="shared" si="149"/>
        <v>1.9916494672822709E-3</v>
      </c>
      <c r="AG87" s="46">
        <f t="shared" si="150"/>
        <v>0.14448187513229116</v>
      </c>
      <c r="AH87" s="46">
        <f t="shared" si="151"/>
        <v>0.45335019244360653</v>
      </c>
      <c r="AI87" s="46">
        <f t="shared" si="152"/>
        <v>85.865854085741532</v>
      </c>
      <c r="AJ87" s="46">
        <f t="shared" si="153"/>
        <v>89.282837083071655</v>
      </c>
      <c r="AK87" s="38"/>
      <c r="AL87" s="38" t="str">
        <f t="shared" si="154"/>
        <v>chotl</v>
      </c>
      <c r="AM87" s="46">
        <f>_xlfn.IFNA(INDEX(SAM!$B$8:$HA$215,MATCH($AL87,SAM!$A$8:$A$215,0),MATCH(AM$48,SAM!$B$7:$HA$7,0)),0)</f>
        <v>1.7729745103646632E-3</v>
      </c>
      <c r="AN87" s="46">
        <f>_xlfn.IFNA(INDEX(SAM!$B$8:$HA$215,MATCH($AL87,SAM!$A$8:$A$215,0),MATCH(AN$48,SAM!$B$7:$HA$7,0)),0)</f>
        <v>2.0337836217655295E-2</v>
      </c>
      <c r="AO87" s="46">
        <f>_xlfn.IFNA(INDEX(SAM!$B$8:$HA$215,MATCH($AL87,SAM!$A$8:$A$215,0),MATCH(AO$48,SAM!$B$7:$HA$7,0)),0)</f>
        <v>0.49275941710152554</v>
      </c>
      <c r="AP87" s="46">
        <f>_xlfn.IFNA(INDEX(SAM!$B$8:$HA$215,MATCH($AL87,SAM!$A$8:$A$215,0),MATCH(AP$48,SAM!$B$7:$HA$7,0)),0)</f>
        <v>0.28563377270792639</v>
      </c>
      <c r="AQ87" s="46">
        <f>_xlfn.IFNA(INDEX(SAM!$B$8:$HA$215,MATCH($AL87,SAM!$A$8:$A$215,0),MATCH(AQ$48,SAM!$B$7:$HA$7,0)),0)</f>
        <v>1.1044688808369554</v>
      </c>
      <c r="AR87" s="46">
        <f>_xlfn.IFNA(INDEX(SAM!$B$8:$HA$215,MATCH($AL87,SAM!$A$8:$A$215,0),MATCH(AR$48,SAM!$B$7:$HA$7,0)),0)</f>
        <v>0</v>
      </c>
      <c r="AS87" s="46">
        <f>_xlfn.IFNA(INDEX(SAM!$B$8:$HA$215,MATCH($AL87,SAM!$A$8:$A$215,0),MATCH(AS$48,SAM!$B$7:$HA$7,0)),0)</f>
        <v>0.13138307888550796</v>
      </c>
      <c r="AT87" s="46">
        <f>_xlfn.IFNA(INDEX(SAM!$B$8:$HA$215,MATCH($AL87,SAM!$A$8:$A$215,0),MATCH(AT$48,SAM!$B$7:$HA$7,0)),0)</f>
        <v>0</v>
      </c>
      <c r="AU87" s="46">
        <f>_xlfn.IFNA(INDEX(SAM!$B$8:$HA$215,MATCH($AL87,SAM!$A$8:$A$215,0),MATCH(AU$48,SAM!$B$7:$HA$7,0)),0)</f>
        <v>0.13348624030120751</v>
      </c>
      <c r="AV87" s="46">
        <f>_xlfn.IFNA(INDEX(SAM!$B$8:$HA$215,MATCH($AL87,SAM!$A$8:$A$215,0),MATCH(AV$48,SAM!$B$7:$HA$7,0)),0)</f>
        <v>0.64731707972579722</v>
      </c>
      <c r="AW87" s="46">
        <f>_xlfn.IFNA(INDEX(SAM!$B$8:$HA$215,MATCH($AL87,SAM!$A$8:$A$215,0),MATCH(AW$48,SAM!$B$7:$HA$7,0)),0)</f>
        <v>0</v>
      </c>
      <c r="AX87" s="46">
        <f>_xlfn.IFNA(INDEX(SAM!$B$8:$HA$215,MATCH($AL87,SAM!$A$8:$A$215,0),MATCH(AX$48,SAM!$B$7:$HA$7,0)),0)</f>
        <v>1.9916494672822709E-3</v>
      </c>
      <c r="AY87" s="46">
        <f>_xlfn.IFNA(INDEX(SAM!$B$8:$HA$215,MATCH($AL87,SAM!$A$8:$A$215,0),MATCH(AY$48,SAM!$B$7:$HA$7,0)),0)</f>
        <v>0.14448187513229116</v>
      </c>
      <c r="AZ87" s="46">
        <f>_xlfn.IFNA(INDEX(SAM!$B$8:$HA$215,MATCH($AL87,SAM!$A$8:$A$215,0),MATCH(AZ$48,SAM!$B$7:$HA$7,0)),0)</f>
        <v>0.45335019244360653</v>
      </c>
      <c r="BA87" s="46">
        <f>_xlfn.IFNA(INDEX(SAM!$B$8:$HA$215,MATCH($AL87,SAM!$A$8:$A$215,0),MATCH(BA$48,SAM!$B$7:$HA$7,0)),0)</f>
        <v>85.865854085741532</v>
      </c>
      <c r="BB87" s="46"/>
      <c r="BC87" s="38" t="str">
        <f t="shared" si="155"/>
        <v>ahotl</v>
      </c>
      <c r="BD87" s="46">
        <f>_xlfn.IFNA(INDEX(SAM!$B$8:$HA$215,MATCH($BC87,SAM!$A$8:$A$215,0),MATCH(BD$48,SAM!$B$7:$HA$7,0)),0)</f>
        <v>0</v>
      </c>
      <c r="BE87" s="46">
        <f>_xlfn.IFNA(INDEX(SAM!$B$8:$HA$215,MATCH($BC87,SAM!$A$8:$A$215,0),MATCH(BE$48,SAM!$B$7:$HA$7,0)),0)</f>
        <v>0</v>
      </c>
      <c r="BF87" s="46">
        <f>_xlfn.IFNA(INDEX(SAM!$B$8:$HA$215,MATCH($BC87,SAM!$A$8:$A$215,0),MATCH(BF$48,SAM!$B$7:$HA$7,0)),0)</f>
        <v>0</v>
      </c>
      <c r="BG87" s="46">
        <f>_xlfn.IFNA(INDEX(SAM!$B$8:$HA$215,MATCH($BC87,SAM!$A$8:$A$215,0),MATCH(BG$48,SAM!$B$7:$HA$7,0)),0)</f>
        <v>0</v>
      </c>
      <c r="BH87" s="46">
        <f>_xlfn.IFNA(INDEX(SAM!$B$8:$HA$215,MATCH($BC87,SAM!$A$8:$A$215,0),MATCH(BH$48,SAM!$B$7:$HA$7,0)),0)</f>
        <v>0</v>
      </c>
      <c r="BI87" s="46">
        <f>_xlfn.IFNA(INDEX(SAM!$B$8:$HA$215,MATCH($BC87,SAM!$A$8:$A$215,0),MATCH(BI$48,SAM!$B$7:$HA$7,0)),0)</f>
        <v>0</v>
      </c>
      <c r="BJ87" s="46">
        <f>_xlfn.IFNA(INDEX(SAM!$B$8:$HA$215,MATCH($BC87,SAM!$A$8:$A$215,0),MATCH(BJ$48,SAM!$B$7:$HA$7,0)),0)</f>
        <v>0</v>
      </c>
      <c r="BK87" s="46">
        <f>_xlfn.IFNA(INDEX(SAM!$B$8:$HA$215,MATCH($BC87,SAM!$A$8:$A$215,0),MATCH(BK$48,SAM!$B$7:$HA$7,0)),0)</f>
        <v>0</v>
      </c>
      <c r="BL87" s="46">
        <f>_xlfn.IFNA(INDEX(SAM!$B$8:$HA$215,MATCH($BC87,SAM!$A$8:$A$215,0),MATCH(BL$48,SAM!$B$7:$HA$7,0)),0)</f>
        <v>0</v>
      </c>
      <c r="BM87" s="46">
        <f>_xlfn.IFNA(INDEX(SAM!$B$8:$HA$215,MATCH($BC87,SAM!$A$8:$A$215,0),MATCH(BM$48,SAM!$B$7:$HA$7,0)),0)</f>
        <v>0</v>
      </c>
      <c r="BN87" s="46">
        <f>_xlfn.IFNA(INDEX(SAM!$B$8:$HA$215,MATCH($BC87,SAM!$A$8:$A$215,0),MATCH(BN$48,SAM!$B$7:$HA$7,0)),0)</f>
        <v>0</v>
      </c>
      <c r="BO87" s="46">
        <f>_xlfn.IFNA(INDEX(SAM!$B$8:$HA$215,MATCH($BC87,SAM!$A$8:$A$215,0),MATCH(BO$48,SAM!$B$7:$HA$7,0)),0)</f>
        <v>0</v>
      </c>
      <c r="BP87" s="46">
        <f>_xlfn.IFNA(INDEX(SAM!$B$8:$HA$215,MATCH($BC87,SAM!$A$8:$A$215,0),MATCH(BP$48,SAM!$B$7:$HA$7,0)),0)</f>
        <v>0</v>
      </c>
      <c r="BQ87" s="46">
        <f>_xlfn.IFNA(INDEX(SAM!$B$8:$HA$215,MATCH($BC87,SAM!$A$8:$A$215,0),MATCH(BQ$48,SAM!$B$7:$HA$7,0)),0)</f>
        <v>0</v>
      </c>
      <c r="BR87" s="46">
        <f>_xlfn.IFNA(INDEX(SAM!$B$8:$HA$215,MATCH($BC87,SAM!$A$8:$A$215,0),MATCH(BR$48,SAM!$B$7:$HA$7,0)),0)</f>
        <v>0</v>
      </c>
      <c r="BT87" t="str">
        <f t="shared" si="109"/>
        <v>chotl</v>
      </c>
      <c r="BU87" s="7">
        <f t="shared" si="110"/>
        <v>89.282837083071655</v>
      </c>
      <c r="BW87" s="51" t="s">
        <v>202</v>
      </c>
      <c r="BX87" s="43">
        <f t="shared" si="116"/>
        <v>3.4365878265756296</v>
      </c>
    </row>
    <row r="88" spans="1:76" x14ac:dyDescent="0.35">
      <c r="A88" s="26" t="str">
        <f t="shared" si="136"/>
        <v>hotels and restaurants</v>
      </c>
      <c r="B88" s="26" t="s">
        <v>550</v>
      </c>
      <c r="C88" s="45">
        <f t="shared" si="79"/>
        <v>0.49446225899244844</v>
      </c>
      <c r="D88" s="45">
        <f t="shared" si="80"/>
        <v>0.74689926372942061</v>
      </c>
      <c r="E88" s="45">
        <f t="shared" si="81"/>
        <v>0.93989304382025596</v>
      </c>
      <c r="F88" s="45">
        <f t="shared" si="82"/>
        <v>1.12549688779942</v>
      </c>
      <c r="G88" s="45">
        <f t="shared" si="83"/>
        <v>1.2579761958171545</v>
      </c>
      <c r="H88" s="45">
        <f t="shared" si="84"/>
        <v>0.61807796440132723</v>
      </c>
      <c r="I88" s="45">
        <f t="shared" si="85"/>
        <v>1.442880229376363</v>
      </c>
      <c r="J88" s="45">
        <f t="shared" si="86"/>
        <v>1.5538496298555307</v>
      </c>
      <c r="K88" s="45">
        <f t="shared" si="87"/>
        <v>1.0608917230334118</v>
      </c>
      <c r="L88" s="45">
        <f t="shared" si="88"/>
        <v>2.4582322684202911</v>
      </c>
      <c r="M88" s="45">
        <f t="shared" si="89"/>
        <v>0.96473525244319847</v>
      </c>
      <c r="N88" s="45">
        <f t="shared" si="90"/>
        <v>1.0600593138817354</v>
      </c>
      <c r="O88" s="45">
        <f t="shared" si="91"/>
        <v>1.9093664971777711</v>
      </c>
      <c r="P88" s="45">
        <f t="shared" si="92"/>
        <v>2.8155094199852249</v>
      </c>
      <c r="Q88" s="45">
        <f t="shared" si="93"/>
        <v>2.2964948062983193</v>
      </c>
      <c r="R88" s="45">
        <f t="shared" si="94"/>
        <v>1.8617075375698795</v>
      </c>
      <c r="S88" s="26"/>
      <c r="T88" s="26" t="str">
        <f t="shared" si="137"/>
        <v>rest</v>
      </c>
      <c r="U88" s="45">
        <f t="shared" si="138"/>
        <v>1.2254894689980664</v>
      </c>
      <c r="V88" s="45">
        <f t="shared" si="139"/>
        <v>2.731949446079343</v>
      </c>
      <c r="W88" s="45">
        <f t="shared" si="140"/>
        <v>4.6076023563051152</v>
      </c>
      <c r="X88" s="45">
        <f t="shared" si="141"/>
        <v>5.7401208115567366</v>
      </c>
      <c r="Y88" s="45">
        <f t="shared" si="142"/>
        <v>5.8041858444835839</v>
      </c>
      <c r="Z88" s="45">
        <f t="shared" si="143"/>
        <v>0.528581658479508</v>
      </c>
      <c r="AA88" s="45">
        <f t="shared" si="144"/>
        <v>1.5610237027837075</v>
      </c>
      <c r="AB88" s="45">
        <f t="shared" si="145"/>
        <v>2.1326673514366101</v>
      </c>
      <c r="AC88" s="45">
        <f t="shared" si="146"/>
        <v>3.8627977926445407</v>
      </c>
      <c r="AD88" s="45">
        <f t="shared" si="147"/>
        <v>8.2975875596116762</v>
      </c>
      <c r="AE88" s="45">
        <f t="shared" si="148"/>
        <v>0.41976776671237215</v>
      </c>
      <c r="AF88" s="45">
        <f t="shared" si="149"/>
        <v>1.1720812180935007</v>
      </c>
      <c r="AG88" s="45">
        <f t="shared" si="150"/>
        <v>4.4928242003640939</v>
      </c>
      <c r="AH88" s="45">
        <f t="shared" si="151"/>
        <v>16.296210693205513</v>
      </c>
      <c r="AI88" s="45">
        <f t="shared" si="152"/>
        <v>89.849841138791987</v>
      </c>
      <c r="AJ88" s="45">
        <f t="shared" si="153"/>
        <v>148.72273100954635</v>
      </c>
      <c r="AK88" s="26"/>
      <c r="AL88" s="26" t="str">
        <f t="shared" si="154"/>
        <v>crest</v>
      </c>
      <c r="AM88" s="45">
        <f>_xlfn.IFNA(INDEX(SAM!$B$8:$HA$215,MATCH($AL88,SAM!$A$8:$A$215,0),MATCH(AM$48,SAM!$B$7:$HA$7,0)),0)</f>
        <v>1.2254894689980664</v>
      </c>
      <c r="AN88" s="45">
        <f>_xlfn.IFNA(INDEX(SAM!$B$8:$HA$215,MATCH($AL88,SAM!$A$8:$A$215,0),MATCH(AN$48,SAM!$B$7:$HA$7,0)),0)</f>
        <v>2.731949446079343</v>
      </c>
      <c r="AO88" s="45">
        <f>_xlfn.IFNA(INDEX(SAM!$B$8:$HA$215,MATCH($AL88,SAM!$A$8:$A$215,0),MATCH(AO$48,SAM!$B$7:$HA$7,0)),0)</f>
        <v>4.6076023563051152</v>
      </c>
      <c r="AP88" s="45">
        <f>_xlfn.IFNA(INDEX(SAM!$B$8:$HA$215,MATCH($AL88,SAM!$A$8:$A$215,0),MATCH(AP$48,SAM!$B$7:$HA$7,0)),0)</f>
        <v>5.7401208115567366</v>
      </c>
      <c r="AQ88" s="45">
        <f>_xlfn.IFNA(INDEX(SAM!$B$8:$HA$215,MATCH($AL88,SAM!$A$8:$A$215,0),MATCH(AQ$48,SAM!$B$7:$HA$7,0)),0)</f>
        <v>5.8041858444835839</v>
      </c>
      <c r="AR88" s="45">
        <f>_xlfn.IFNA(INDEX(SAM!$B$8:$HA$215,MATCH($AL88,SAM!$A$8:$A$215,0),MATCH(AR$48,SAM!$B$7:$HA$7,0)),0)</f>
        <v>0.528581658479508</v>
      </c>
      <c r="AS88" s="45">
        <f>_xlfn.IFNA(INDEX(SAM!$B$8:$HA$215,MATCH($AL88,SAM!$A$8:$A$215,0),MATCH(AS$48,SAM!$B$7:$HA$7,0)),0)</f>
        <v>1.5610237027837075</v>
      </c>
      <c r="AT88" s="45">
        <f>_xlfn.IFNA(INDEX(SAM!$B$8:$HA$215,MATCH($AL88,SAM!$A$8:$A$215,0),MATCH(AT$48,SAM!$B$7:$HA$7,0)),0)</f>
        <v>2.1326673514366101</v>
      </c>
      <c r="AU88" s="45">
        <f>_xlfn.IFNA(INDEX(SAM!$B$8:$HA$215,MATCH($AL88,SAM!$A$8:$A$215,0),MATCH(AU$48,SAM!$B$7:$HA$7,0)),0)</f>
        <v>3.8627977926445407</v>
      </c>
      <c r="AV88" s="45">
        <f>_xlfn.IFNA(INDEX(SAM!$B$8:$HA$215,MATCH($AL88,SAM!$A$8:$A$215,0),MATCH(AV$48,SAM!$B$7:$HA$7,0)),0)</f>
        <v>8.2975875596116762</v>
      </c>
      <c r="AW88" s="45">
        <f>_xlfn.IFNA(INDEX(SAM!$B$8:$HA$215,MATCH($AL88,SAM!$A$8:$A$215,0),MATCH(AW$48,SAM!$B$7:$HA$7,0)),0)</f>
        <v>0.41976776671237215</v>
      </c>
      <c r="AX88" s="45">
        <f>_xlfn.IFNA(INDEX(SAM!$B$8:$HA$215,MATCH($AL88,SAM!$A$8:$A$215,0),MATCH(AX$48,SAM!$B$7:$HA$7,0)),0)</f>
        <v>1.1720812180935007</v>
      </c>
      <c r="AY88" s="45">
        <f>_xlfn.IFNA(INDEX(SAM!$B$8:$HA$215,MATCH($AL88,SAM!$A$8:$A$215,0),MATCH(AY$48,SAM!$B$7:$HA$7,0)),0)</f>
        <v>4.4928242003640939</v>
      </c>
      <c r="AZ88" s="45">
        <f>_xlfn.IFNA(INDEX(SAM!$B$8:$HA$215,MATCH($AL88,SAM!$A$8:$A$215,0),MATCH(AZ$48,SAM!$B$7:$HA$7,0)),0)</f>
        <v>16.296210693205513</v>
      </c>
      <c r="BA88" s="45">
        <f>_xlfn.IFNA(INDEX(SAM!$B$8:$HA$215,MATCH($AL88,SAM!$A$8:$A$215,0),MATCH(BA$48,SAM!$B$7:$HA$7,0)),0)</f>
        <v>89.849841138791987</v>
      </c>
      <c r="BB88" s="45"/>
      <c r="BC88" s="26" t="str">
        <f t="shared" si="155"/>
        <v>arest</v>
      </c>
      <c r="BD88" s="45">
        <f>_xlfn.IFNA(INDEX(SAM!$B$8:$HA$215,MATCH($BC88,SAM!$A$8:$A$215,0),MATCH(BD$48,SAM!$B$7:$HA$7,0)),0)</f>
        <v>0</v>
      </c>
      <c r="BE88" s="45">
        <f>_xlfn.IFNA(INDEX(SAM!$B$8:$HA$215,MATCH($BC88,SAM!$A$8:$A$215,0),MATCH(BE$48,SAM!$B$7:$HA$7,0)),0)</f>
        <v>0</v>
      </c>
      <c r="BF88" s="45">
        <f>_xlfn.IFNA(INDEX(SAM!$B$8:$HA$215,MATCH($BC88,SAM!$A$8:$A$215,0),MATCH(BF$48,SAM!$B$7:$HA$7,0)),0)</f>
        <v>0</v>
      </c>
      <c r="BG88" s="45">
        <f>_xlfn.IFNA(INDEX(SAM!$B$8:$HA$215,MATCH($BC88,SAM!$A$8:$A$215,0),MATCH(BG$48,SAM!$B$7:$HA$7,0)),0)</f>
        <v>0</v>
      </c>
      <c r="BH88" s="45">
        <f>_xlfn.IFNA(INDEX(SAM!$B$8:$HA$215,MATCH($BC88,SAM!$A$8:$A$215,0),MATCH(BH$48,SAM!$B$7:$HA$7,0)),0)</f>
        <v>0</v>
      </c>
      <c r="BI88" s="45">
        <f>_xlfn.IFNA(INDEX(SAM!$B$8:$HA$215,MATCH($BC88,SAM!$A$8:$A$215,0),MATCH(BI$48,SAM!$B$7:$HA$7,0)),0)</f>
        <v>0</v>
      </c>
      <c r="BJ88" s="45">
        <f>_xlfn.IFNA(INDEX(SAM!$B$8:$HA$215,MATCH($BC88,SAM!$A$8:$A$215,0),MATCH(BJ$48,SAM!$B$7:$HA$7,0)),0)</f>
        <v>0</v>
      </c>
      <c r="BK88" s="45">
        <f>_xlfn.IFNA(INDEX(SAM!$B$8:$HA$215,MATCH($BC88,SAM!$A$8:$A$215,0),MATCH(BK$48,SAM!$B$7:$HA$7,0)),0)</f>
        <v>0</v>
      </c>
      <c r="BL88" s="45">
        <f>_xlfn.IFNA(INDEX(SAM!$B$8:$HA$215,MATCH($BC88,SAM!$A$8:$A$215,0),MATCH(BL$48,SAM!$B$7:$HA$7,0)),0)</f>
        <v>0</v>
      </c>
      <c r="BM88" s="45">
        <f>_xlfn.IFNA(INDEX(SAM!$B$8:$HA$215,MATCH($BC88,SAM!$A$8:$A$215,0),MATCH(BM$48,SAM!$B$7:$HA$7,0)),0)</f>
        <v>0</v>
      </c>
      <c r="BN88" s="45">
        <f>_xlfn.IFNA(INDEX(SAM!$B$8:$HA$215,MATCH($BC88,SAM!$A$8:$A$215,0),MATCH(BN$48,SAM!$B$7:$HA$7,0)),0)</f>
        <v>0</v>
      </c>
      <c r="BO88" s="45">
        <f>_xlfn.IFNA(INDEX(SAM!$B$8:$HA$215,MATCH($BC88,SAM!$A$8:$A$215,0),MATCH(BO$48,SAM!$B$7:$HA$7,0)),0)</f>
        <v>0</v>
      </c>
      <c r="BP88" s="45">
        <f>_xlfn.IFNA(INDEX(SAM!$B$8:$HA$215,MATCH($BC88,SAM!$A$8:$A$215,0),MATCH(BP$48,SAM!$B$7:$HA$7,0)),0)</f>
        <v>0</v>
      </c>
      <c r="BQ88" s="45">
        <f>_xlfn.IFNA(INDEX(SAM!$B$8:$HA$215,MATCH($BC88,SAM!$A$8:$A$215,0),MATCH(BQ$48,SAM!$B$7:$HA$7,0)),0)</f>
        <v>0</v>
      </c>
      <c r="BR88" s="45">
        <f>_xlfn.IFNA(INDEX(SAM!$B$8:$HA$215,MATCH($BC88,SAM!$A$8:$A$215,0),MATCH(BR$48,SAM!$B$7:$HA$7,0)),0)</f>
        <v>0</v>
      </c>
      <c r="BT88" t="str">
        <f t="shared" si="109"/>
        <v>crest</v>
      </c>
      <c r="BU88" s="7">
        <f t="shared" si="110"/>
        <v>148.72273100954635</v>
      </c>
      <c r="BW88" s="51" t="s">
        <v>203</v>
      </c>
      <c r="BX88" s="43">
        <f t="shared" si="116"/>
        <v>4.4710828222030843</v>
      </c>
    </row>
    <row r="89" spans="1:76" x14ac:dyDescent="0.35">
      <c r="A89" s="38" t="str">
        <f t="shared" si="136"/>
        <v>trade, transport and comm</v>
      </c>
      <c r="B89" s="38" t="s">
        <v>47</v>
      </c>
      <c r="C89" s="46">
        <f t="shared" si="79"/>
        <v>2.0984604088394752E-3</v>
      </c>
      <c r="D89" s="46">
        <f t="shared" si="80"/>
        <v>1.6309245131989305E-2</v>
      </c>
      <c r="E89" s="46">
        <f t="shared" si="81"/>
        <v>0.29445385804662022</v>
      </c>
      <c r="F89" s="46">
        <f t="shared" si="82"/>
        <v>0.16418438538371191</v>
      </c>
      <c r="G89" s="46">
        <f t="shared" si="83"/>
        <v>0.70165547630415992</v>
      </c>
      <c r="H89" s="46">
        <f t="shared" si="84"/>
        <v>0</v>
      </c>
      <c r="I89" s="46">
        <f t="shared" si="85"/>
        <v>0.35612093960028007</v>
      </c>
      <c r="J89" s="46">
        <f t="shared" si="86"/>
        <v>0</v>
      </c>
      <c r="K89" s="46">
        <f t="shared" si="87"/>
        <v>0.10754181017518333</v>
      </c>
      <c r="L89" s="46">
        <f t="shared" si="88"/>
        <v>0.56247386055562254</v>
      </c>
      <c r="M89" s="46">
        <f t="shared" si="89"/>
        <v>0</v>
      </c>
      <c r="N89" s="46">
        <f t="shared" si="90"/>
        <v>5.2839942311042774E-3</v>
      </c>
      <c r="O89" s="46">
        <f t="shared" si="91"/>
        <v>0.18007907676996024</v>
      </c>
      <c r="P89" s="46">
        <f t="shared" si="92"/>
        <v>0.22970241684764536</v>
      </c>
      <c r="Q89" s="46">
        <f t="shared" si="93"/>
        <v>6.438100461597366</v>
      </c>
      <c r="R89" s="46">
        <f t="shared" si="94"/>
        <v>3.2785434310034147</v>
      </c>
      <c r="S89" s="38"/>
      <c r="T89" s="38" t="str">
        <f t="shared" si="137"/>
        <v>trad</v>
      </c>
      <c r="U89" s="46">
        <f t="shared" si="138"/>
        <v>5.2008845677773531E-3</v>
      </c>
      <c r="V89" s="46">
        <f t="shared" si="139"/>
        <v>5.9654675493764749E-2</v>
      </c>
      <c r="W89" s="46">
        <f t="shared" si="140"/>
        <v>1.443490085472106</v>
      </c>
      <c r="X89" s="46">
        <f t="shared" si="141"/>
        <v>0.83735301064790912</v>
      </c>
      <c r="Y89" s="46">
        <f t="shared" si="142"/>
        <v>3.2373734867244903</v>
      </c>
      <c r="Z89" s="46">
        <f t="shared" si="143"/>
        <v>0</v>
      </c>
      <c r="AA89" s="46">
        <f t="shared" si="144"/>
        <v>0.38528023078805185</v>
      </c>
      <c r="AB89" s="46">
        <f t="shared" si="145"/>
        <v>0</v>
      </c>
      <c r="AC89" s="46">
        <f t="shared" si="146"/>
        <v>0.39156895839841832</v>
      </c>
      <c r="AD89" s="46">
        <f t="shared" si="147"/>
        <v>1.8985903683350094</v>
      </c>
      <c r="AE89" s="46">
        <f t="shared" si="148"/>
        <v>0</v>
      </c>
      <c r="AF89" s="46">
        <f t="shared" si="149"/>
        <v>5.8423810004679414E-3</v>
      </c>
      <c r="AG89" s="46">
        <f t="shared" si="150"/>
        <v>0.42373406849191886</v>
      </c>
      <c r="AH89" s="46">
        <f t="shared" si="151"/>
        <v>1.3295210291668609</v>
      </c>
      <c r="AI89" s="46">
        <f t="shared" si="152"/>
        <v>251.889227932773</v>
      </c>
      <c r="AJ89" s="46">
        <f t="shared" si="153"/>
        <v>261.90683711185977</v>
      </c>
      <c r="AK89" s="38"/>
      <c r="AL89" s="38" t="str">
        <f t="shared" si="154"/>
        <v>ctrad</v>
      </c>
      <c r="AM89" s="46">
        <f>_xlfn.IFNA(INDEX(SAM!$B$8:$HA$215,MATCH($AL89,SAM!$A$8:$A$215,0),MATCH(AM$48,SAM!$B$7:$HA$7,0)),0)</f>
        <v>5.2008845677773531E-3</v>
      </c>
      <c r="AN89" s="46">
        <f>_xlfn.IFNA(INDEX(SAM!$B$8:$HA$215,MATCH($AL89,SAM!$A$8:$A$215,0),MATCH(AN$48,SAM!$B$7:$HA$7,0)),0)</f>
        <v>5.9654675493764749E-2</v>
      </c>
      <c r="AO89" s="46">
        <f>_xlfn.IFNA(INDEX(SAM!$B$8:$HA$215,MATCH($AL89,SAM!$A$8:$A$215,0),MATCH(AO$48,SAM!$B$7:$HA$7,0)),0)</f>
        <v>1.443490085472106</v>
      </c>
      <c r="AP89" s="46">
        <f>_xlfn.IFNA(INDEX(SAM!$B$8:$HA$215,MATCH($AL89,SAM!$A$8:$A$215,0),MATCH(AP$48,SAM!$B$7:$HA$7,0)),0)</f>
        <v>0.83735301064790912</v>
      </c>
      <c r="AQ89" s="46">
        <f>_xlfn.IFNA(INDEX(SAM!$B$8:$HA$215,MATCH($AL89,SAM!$A$8:$A$215,0),MATCH(AQ$48,SAM!$B$7:$HA$7,0)),0)</f>
        <v>3.2373734867244903</v>
      </c>
      <c r="AR89" s="46">
        <f>_xlfn.IFNA(INDEX(SAM!$B$8:$HA$215,MATCH($AL89,SAM!$A$8:$A$215,0),MATCH(AR$48,SAM!$B$7:$HA$7,0)),0)</f>
        <v>0</v>
      </c>
      <c r="AS89" s="46">
        <f>_xlfn.IFNA(INDEX(SAM!$B$8:$HA$215,MATCH($AL89,SAM!$A$8:$A$215,0),MATCH(AS$48,SAM!$B$7:$HA$7,0)),0)</f>
        <v>0.38528023078805185</v>
      </c>
      <c r="AT89" s="46">
        <f>_xlfn.IFNA(INDEX(SAM!$B$8:$HA$215,MATCH($AL89,SAM!$A$8:$A$215,0),MATCH(AT$48,SAM!$B$7:$HA$7,0)),0)</f>
        <v>0</v>
      </c>
      <c r="AU89" s="46">
        <f>_xlfn.IFNA(INDEX(SAM!$B$8:$HA$215,MATCH($AL89,SAM!$A$8:$A$215,0),MATCH(AU$48,SAM!$B$7:$HA$7,0)),0)</f>
        <v>0.39156895839841832</v>
      </c>
      <c r="AV89" s="46">
        <f>_xlfn.IFNA(INDEX(SAM!$B$8:$HA$215,MATCH($AL89,SAM!$A$8:$A$215,0),MATCH(AV$48,SAM!$B$7:$HA$7,0)),0)</f>
        <v>1.8985903683350094</v>
      </c>
      <c r="AW89" s="46">
        <f>_xlfn.IFNA(INDEX(SAM!$B$8:$HA$215,MATCH($AL89,SAM!$A$8:$A$215,0),MATCH(AW$48,SAM!$B$7:$HA$7,0)),0)</f>
        <v>0</v>
      </c>
      <c r="AX89" s="46">
        <f>_xlfn.IFNA(INDEX(SAM!$B$8:$HA$215,MATCH($AL89,SAM!$A$8:$A$215,0),MATCH(AX$48,SAM!$B$7:$HA$7,0)),0)</f>
        <v>5.8423810004679414E-3</v>
      </c>
      <c r="AY89" s="46">
        <f>_xlfn.IFNA(INDEX(SAM!$B$8:$HA$215,MATCH($AL89,SAM!$A$8:$A$215,0),MATCH(AY$48,SAM!$B$7:$HA$7,0)),0)</f>
        <v>0.42373406849191886</v>
      </c>
      <c r="AZ89" s="46">
        <f>_xlfn.IFNA(INDEX(SAM!$B$8:$HA$215,MATCH($AL89,SAM!$A$8:$A$215,0),MATCH(AZ$48,SAM!$B$7:$HA$7,0)),0)</f>
        <v>1.3295210291668609</v>
      </c>
      <c r="BA89" s="46">
        <f>_xlfn.IFNA(INDEX(SAM!$B$8:$HA$215,MATCH($AL89,SAM!$A$8:$A$215,0),MATCH(BA$48,SAM!$B$7:$HA$7,0)),0)</f>
        <v>251.889227932773</v>
      </c>
      <c r="BB89" s="46"/>
      <c r="BC89" s="38" t="str">
        <f t="shared" si="155"/>
        <v>atrad</v>
      </c>
      <c r="BD89" s="46">
        <f>_xlfn.IFNA(INDEX(SAM!$B$8:$HA$215,MATCH($BC89,SAM!$A$8:$A$215,0),MATCH(BD$48,SAM!$B$7:$HA$7,0)),0)</f>
        <v>0</v>
      </c>
      <c r="BE89" s="46">
        <f>_xlfn.IFNA(INDEX(SAM!$B$8:$HA$215,MATCH($BC89,SAM!$A$8:$A$215,0),MATCH(BE$48,SAM!$B$7:$HA$7,0)),0)</f>
        <v>0</v>
      </c>
      <c r="BF89" s="46">
        <f>_xlfn.IFNA(INDEX(SAM!$B$8:$HA$215,MATCH($BC89,SAM!$A$8:$A$215,0),MATCH(BF$48,SAM!$B$7:$HA$7,0)),0)</f>
        <v>0</v>
      </c>
      <c r="BG89" s="46">
        <f>_xlfn.IFNA(INDEX(SAM!$B$8:$HA$215,MATCH($BC89,SAM!$A$8:$A$215,0),MATCH(BG$48,SAM!$B$7:$HA$7,0)),0)</f>
        <v>0</v>
      </c>
      <c r="BH89" s="46">
        <f>_xlfn.IFNA(INDEX(SAM!$B$8:$HA$215,MATCH($BC89,SAM!$A$8:$A$215,0),MATCH(BH$48,SAM!$B$7:$HA$7,0)),0)</f>
        <v>0</v>
      </c>
      <c r="BI89" s="46">
        <f>_xlfn.IFNA(INDEX(SAM!$B$8:$HA$215,MATCH($BC89,SAM!$A$8:$A$215,0),MATCH(BI$48,SAM!$B$7:$HA$7,0)),0)</f>
        <v>0</v>
      </c>
      <c r="BJ89" s="46">
        <f>_xlfn.IFNA(INDEX(SAM!$B$8:$HA$215,MATCH($BC89,SAM!$A$8:$A$215,0),MATCH(BJ$48,SAM!$B$7:$HA$7,0)),0)</f>
        <v>0</v>
      </c>
      <c r="BK89" s="46">
        <f>_xlfn.IFNA(INDEX(SAM!$B$8:$HA$215,MATCH($BC89,SAM!$A$8:$A$215,0),MATCH(BK$48,SAM!$B$7:$HA$7,0)),0)</f>
        <v>0</v>
      </c>
      <c r="BL89" s="46">
        <f>_xlfn.IFNA(INDEX(SAM!$B$8:$HA$215,MATCH($BC89,SAM!$A$8:$A$215,0),MATCH(BL$48,SAM!$B$7:$HA$7,0)),0)</f>
        <v>0</v>
      </c>
      <c r="BM89" s="46">
        <f>_xlfn.IFNA(INDEX(SAM!$B$8:$HA$215,MATCH($BC89,SAM!$A$8:$A$215,0),MATCH(BM$48,SAM!$B$7:$HA$7,0)),0)</f>
        <v>0</v>
      </c>
      <c r="BN89" s="46">
        <f>_xlfn.IFNA(INDEX(SAM!$B$8:$HA$215,MATCH($BC89,SAM!$A$8:$A$215,0),MATCH(BN$48,SAM!$B$7:$HA$7,0)),0)</f>
        <v>0</v>
      </c>
      <c r="BO89" s="46">
        <f>_xlfn.IFNA(INDEX(SAM!$B$8:$HA$215,MATCH($BC89,SAM!$A$8:$A$215,0),MATCH(BO$48,SAM!$B$7:$HA$7,0)),0)</f>
        <v>0</v>
      </c>
      <c r="BP89" s="46">
        <f>_xlfn.IFNA(INDEX(SAM!$B$8:$HA$215,MATCH($BC89,SAM!$A$8:$A$215,0),MATCH(BP$48,SAM!$B$7:$HA$7,0)),0)</f>
        <v>0</v>
      </c>
      <c r="BQ89" s="46">
        <f>_xlfn.IFNA(INDEX(SAM!$B$8:$HA$215,MATCH($BC89,SAM!$A$8:$A$215,0),MATCH(BQ$48,SAM!$B$7:$HA$7,0)),0)</f>
        <v>0</v>
      </c>
      <c r="BR89" s="46">
        <f>_xlfn.IFNA(INDEX(SAM!$B$8:$HA$215,MATCH($BC89,SAM!$A$8:$A$215,0),MATCH(BR$48,SAM!$B$7:$HA$7,0)),0)</f>
        <v>0</v>
      </c>
      <c r="BT89" t="str">
        <f t="shared" si="109"/>
        <v>ctrad</v>
      </c>
      <c r="BU89" s="7">
        <f t="shared" si="110"/>
        <v>261.90683711185977</v>
      </c>
      <c r="BW89" s="51" t="s">
        <v>204</v>
      </c>
      <c r="BX89" s="43">
        <f t="shared" si="116"/>
        <v>8.7898840632219812</v>
      </c>
    </row>
    <row r="90" spans="1:76" x14ac:dyDescent="0.35">
      <c r="A90" t="str">
        <f t="shared" si="136"/>
        <v>trade, transport and comm</v>
      </c>
      <c r="B90" t="s">
        <v>48</v>
      </c>
      <c r="C90" s="18">
        <f t="shared" si="79"/>
        <v>4.8977166523822033</v>
      </c>
      <c r="D90" s="18">
        <f t="shared" si="80"/>
        <v>7.777752215387431</v>
      </c>
      <c r="E90" s="18">
        <f t="shared" si="81"/>
        <v>9.2672672810296532</v>
      </c>
      <c r="F90" s="18">
        <f t="shared" si="82"/>
        <v>11.204295069605225</v>
      </c>
      <c r="G90" s="18">
        <f t="shared" si="83"/>
        <v>12.609522128813278</v>
      </c>
      <c r="H90" s="18">
        <f t="shared" si="84"/>
        <v>2.7164894751794062</v>
      </c>
      <c r="I90" s="18">
        <f t="shared" si="85"/>
        <v>6.5698806341945595</v>
      </c>
      <c r="J90" s="18">
        <f t="shared" si="86"/>
        <v>11.253336002920008</v>
      </c>
      <c r="K90" s="18">
        <f t="shared" si="87"/>
        <v>46.620416423859481</v>
      </c>
      <c r="L90" s="18">
        <f t="shared" si="88"/>
        <v>14.884950762117468</v>
      </c>
      <c r="M90" s="18">
        <f t="shared" si="89"/>
        <v>5.2863903605959175</v>
      </c>
      <c r="N90" s="18">
        <f t="shared" si="90"/>
        <v>5.5362888441488778</v>
      </c>
      <c r="O90" s="18">
        <f t="shared" si="91"/>
        <v>8.4668434458754547</v>
      </c>
      <c r="P90" s="18">
        <f t="shared" si="92"/>
        <v>12.626087045378693</v>
      </c>
      <c r="Q90" s="18">
        <f t="shared" si="93"/>
        <v>13.147993942701639</v>
      </c>
      <c r="R90" s="18">
        <f t="shared" si="94"/>
        <v>13.294652467254581</v>
      </c>
      <c r="T90" t="str">
        <f t="shared" si="137"/>
        <v>tran</v>
      </c>
      <c r="U90" s="18">
        <f t="shared" si="138"/>
        <v>12.138641666729349</v>
      </c>
      <c r="V90" s="18">
        <f t="shared" si="139"/>
        <v>28.448850987578091</v>
      </c>
      <c r="W90" s="18">
        <f t="shared" si="140"/>
        <v>45.430576214315934</v>
      </c>
      <c r="X90" s="18">
        <f t="shared" si="141"/>
        <v>57.142767789976489</v>
      </c>
      <c r="Y90" s="18">
        <f t="shared" si="142"/>
        <v>58.179169120302127</v>
      </c>
      <c r="Z90" s="18">
        <f t="shared" si="143"/>
        <v>2.3231478789625903</v>
      </c>
      <c r="AA90" s="18">
        <f t="shared" si="144"/>
        <v>7.1078244650077895</v>
      </c>
      <c r="AB90" s="18">
        <f t="shared" si="145"/>
        <v>15.445266920972934</v>
      </c>
      <c r="AC90" s="18">
        <f t="shared" si="146"/>
        <v>169.74893643183046</v>
      </c>
      <c r="AD90" s="18">
        <f t="shared" si="147"/>
        <v>50.243088847152627</v>
      </c>
      <c r="AE90" s="18">
        <f t="shared" si="148"/>
        <v>2.3001712335248303</v>
      </c>
      <c r="AF90" s="18">
        <f t="shared" si="149"/>
        <v>6.1213368791658143</v>
      </c>
      <c r="AG90" s="18">
        <f t="shared" si="150"/>
        <v>19.922858807122797</v>
      </c>
      <c r="AH90" s="18">
        <f t="shared" si="151"/>
        <v>73.079980930528578</v>
      </c>
      <c r="AI90" s="18">
        <f t="shared" si="152"/>
        <v>514.41229642915312</v>
      </c>
      <c r="AJ90" s="18">
        <f t="shared" si="153"/>
        <v>1062.0449146023236</v>
      </c>
      <c r="AL90" t="str">
        <f t="shared" si="154"/>
        <v>ctran</v>
      </c>
      <c r="AM90" s="18">
        <f>_xlfn.IFNA(INDEX(SAM!$B$8:$HA$215,MATCH($AL90,SAM!$A$8:$A$215,0),MATCH(AM$48,SAM!$B$7:$HA$7,0)),0)</f>
        <v>12.138641666729349</v>
      </c>
      <c r="AN90" s="18">
        <f>_xlfn.IFNA(INDEX(SAM!$B$8:$HA$215,MATCH($AL90,SAM!$A$8:$A$215,0),MATCH(AN$48,SAM!$B$7:$HA$7,0)),0)</f>
        <v>28.448850987578091</v>
      </c>
      <c r="AO90" s="18">
        <f>_xlfn.IFNA(INDEX(SAM!$B$8:$HA$215,MATCH($AL90,SAM!$A$8:$A$215,0),MATCH(AO$48,SAM!$B$7:$HA$7,0)),0)</f>
        <v>45.430576214315934</v>
      </c>
      <c r="AP90" s="18">
        <f>_xlfn.IFNA(INDEX(SAM!$B$8:$HA$215,MATCH($AL90,SAM!$A$8:$A$215,0),MATCH(AP$48,SAM!$B$7:$HA$7,0)),0)</f>
        <v>57.142767789976489</v>
      </c>
      <c r="AQ90" s="18">
        <f>_xlfn.IFNA(INDEX(SAM!$B$8:$HA$215,MATCH($AL90,SAM!$A$8:$A$215,0),MATCH(AQ$48,SAM!$B$7:$HA$7,0)),0)</f>
        <v>58.179169120302127</v>
      </c>
      <c r="AR90" s="18">
        <f>_xlfn.IFNA(INDEX(SAM!$B$8:$HA$215,MATCH($AL90,SAM!$A$8:$A$215,0),MATCH(AR$48,SAM!$B$7:$HA$7,0)),0)</f>
        <v>2.3231478789625903</v>
      </c>
      <c r="AS90" s="18">
        <f>_xlfn.IFNA(INDEX(SAM!$B$8:$HA$215,MATCH($AL90,SAM!$A$8:$A$215,0),MATCH(AS$48,SAM!$B$7:$HA$7,0)),0)</f>
        <v>7.1078244650077895</v>
      </c>
      <c r="AT90" s="18">
        <f>_xlfn.IFNA(INDEX(SAM!$B$8:$HA$215,MATCH($AL90,SAM!$A$8:$A$215,0),MATCH(AT$48,SAM!$B$7:$HA$7,0)),0)</f>
        <v>15.445266920972934</v>
      </c>
      <c r="AU90" s="18">
        <f>_xlfn.IFNA(INDEX(SAM!$B$8:$HA$215,MATCH($AL90,SAM!$A$8:$A$215,0),MATCH(AU$48,SAM!$B$7:$HA$7,0)),0)</f>
        <v>169.74893643183046</v>
      </c>
      <c r="AV90" s="18">
        <f>_xlfn.IFNA(INDEX(SAM!$B$8:$HA$215,MATCH($AL90,SAM!$A$8:$A$215,0),MATCH(AV$48,SAM!$B$7:$HA$7,0)),0)</f>
        <v>50.243088847152627</v>
      </c>
      <c r="AW90" s="18">
        <f>_xlfn.IFNA(INDEX(SAM!$B$8:$HA$215,MATCH($AL90,SAM!$A$8:$A$215,0),MATCH(AW$48,SAM!$B$7:$HA$7,0)),0)</f>
        <v>2.3001712335248303</v>
      </c>
      <c r="AX90" s="18">
        <f>_xlfn.IFNA(INDEX(SAM!$B$8:$HA$215,MATCH($AL90,SAM!$A$8:$A$215,0),MATCH(AX$48,SAM!$B$7:$HA$7,0)),0)</f>
        <v>6.1213368791658143</v>
      </c>
      <c r="AY90" s="18">
        <f>_xlfn.IFNA(INDEX(SAM!$B$8:$HA$215,MATCH($AL90,SAM!$A$8:$A$215,0),MATCH(AY$48,SAM!$B$7:$HA$7,0)),0)</f>
        <v>19.922858807122797</v>
      </c>
      <c r="AZ90" s="18">
        <f>_xlfn.IFNA(INDEX(SAM!$B$8:$HA$215,MATCH($AL90,SAM!$A$8:$A$215,0),MATCH(AZ$48,SAM!$B$7:$HA$7,0)),0)</f>
        <v>73.079980930528578</v>
      </c>
      <c r="BA90" s="18">
        <f>_xlfn.IFNA(INDEX(SAM!$B$8:$HA$215,MATCH($AL90,SAM!$A$8:$A$215,0),MATCH(BA$48,SAM!$B$7:$HA$7,0)),0)</f>
        <v>514.41229642915312</v>
      </c>
      <c r="BB90" s="18"/>
      <c r="BC90" t="str">
        <f t="shared" si="155"/>
        <v>atran</v>
      </c>
      <c r="BD90" s="18">
        <f>_xlfn.IFNA(INDEX(SAM!$B$8:$HA$215,MATCH($BC90,SAM!$A$8:$A$215,0),MATCH(BD$48,SAM!$B$7:$HA$7,0)),0)</f>
        <v>0</v>
      </c>
      <c r="BE90" s="18">
        <f>_xlfn.IFNA(INDEX(SAM!$B$8:$HA$215,MATCH($BC90,SAM!$A$8:$A$215,0),MATCH(BE$48,SAM!$B$7:$HA$7,0)),0)</f>
        <v>0</v>
      </c>
      <c r="BF90" s="18">
        <f>_xlfn.IFNA(INDEX(SAM!$B$8:$HA$215,MATCH($BC90,SAM!$A$8:$A$215,0),MATCH(BF$48,SAM!$B$7:$HA$7,0)),0)</f>
        <v>0</v>
      </c>
      <c r="BG90" s="18">
        <f>_xlfn.IFNA(INDEX(SAM!$B$8:$HA$215,MATCH($BC90,SAM!$A$8:$A$215,0),MATCH(BG$48,SAM!$B$7:$HA$7,0)),0)</f>
        <v>0</v>
      </c>
      <c r="BH90" s="18">
        <f>_xlfn.IFNA(INDEX(SAM!$B$8:$HA$215,MATCH($BC90,SAM!$A$8:$A$215,0),MATCH(BH$48,SAM!$B$7:$HA$7,0)),0)</f>
        <v>0</v>
      </c>
      <c r="BI90" s="18">
        <f>_xlfn.IFNA(INDEX(SAM!$B$8:$HA$215,MATCH($BC90,SAM!$A$8:$A$215,0),MATCH(BI$48,SAM!$B$7:$HA$7,0)),0)</f>
        <v>0</v>
      </c>
      <c r="BJ90" s="18">
        <f>_xlfn.IFNA(INDEX(SAM!$B$8:$HA$215,MATCH($BC90,SAM!$A$8:$A$215,0),MATCH(BJ$48,SAM!$B$7:$HA$7,0)),0)</f>
        <v>0</v>
      </c>
      <c r="BK90" s="18">
        <f>_xlfn.IFNA(INDEX(SAM!$B$8:$HA$215,MATCH($BC90,SAM!$A$8:$A$215,0),MATCH(BK$48,SAM!$B$7:$HA$7,0)),0)</f>
        <v>0</v>
      </c>
      <c r="BL90" s="18">
        <f>_xlfn.IFNA(INDEX(SAM!$B$8:$HA$215,MATCH($BC90,SAM!$A$8:$A$215,0),MATCH(BL$48,SAM!$B$7:$HA$7,0)),0)</f>
        <v>0</v>
      </c>
      <c r="BM90" s="18">
        <f>_xlfn.IFNA(INDEX(SAM!$B$8:$HA$215,MATCH($BC90,SAM!$A$8:$A$215,0),MATCH(BM$48,SAM!$B$7:$HA$7,0)),0)</f>
        <v>0</v>
      </c>
      <c r="BN90" s="18">
        <f>_xlfn.IFNA(INDEX(SAM!$B$8:$HA$215,MATCH($BC90,SAM!$A$8:$A$215,0),MATCH(BN$48,SAM!$B$7:$HA$7,0)),0)</f>
        <v>0</v>
      </c>
      <c r="BO90" s="18">
        <f>_xlfn.IFNA(INDEX(SAM!$B$8:$HA$215,MATCH($BC90,SAM!$A$8:$A$215,0),MATCH(BO$48,SAM!$B$7:$HA$7,0)),0)</f>
        <v>0</v>
      </c>
      <c r="BP90" s="18">
        <f>_xlfn.IFNA(INDEX(SAM!$B$8:$HA$215,MATCH($BC90,SAM!$A$8:$A$215,0),MATCH(BP$48,SAM!$B$7:$HA$7,0)),0)</f>
        <v>0</v>
      </c>
      <c r="BQ90" s="18">
        <f>_xlfn.IFNA(INDEX(SAM!$B$8:$HA$215,MATCH($BC90,SAM!$A$8:$A$215,0),MATCH(BQ$48,SAM!$B$7:$HA$7,0)),0)</f>
        <v>0</v>
      </c>
      <c r="BR90" s="18">
        <f>_xlfn.IFNA(INDEX(SAM!$B$8:$HA$215,MATCH($BC90,SAM!$A$8:$A$215,0),MATCH(BR$48,SAM!$B$7:$HA$7,0)),0)</f>
        <v>0</v>
      </c>
      <c r="BT90" t="str">
        <f t="shared" si="109"/>
        <v>ctran</v>
      </c>
      <c r="BU90" s="7">
        <f t="shared" si="110"/>
        <v>1062.0449146023236</v>
      </c>
      <c r="BW90" s="51" t="s">
        <v>205</v>
      </c>
      <c r="BX90" s="43">
        <f t="shared" si="116"/>
        <v>0.22392930414750728</v>
      </c>
    </row>
    <row r="91" spans="1:76" x14ac:dyDescent="0.35">
      <c r="A91" s="26" t="str">
        <f t="shared" si="136"/>
        <v>other services</v>
      </c>
      <c r="B91" s="26" t="s">
        <v>50</v>
      </c>
      <c r="C91" s="45">
        <f t="shared" si="79"/>
        <v>1.4581888059040764</v>
      </c>
      <c r="D91" s="45">
        <f t="shared" si="80"/>
        <v>1.5193386112971023</v>
      </c>
      <c r="E91" s="45">
        <f t="shared" si="81"/>
        <v>1.5550109285796205</v>
      </c>
      <c r="F91" s="45">
        <f t="shared" si="82"/>
        <v>2.2603074787579485</v>
      </c>
      <c r="G91" s="45">
        <f t="shared" si="83"/>
        <v>2.0370720808663023</v>
      </c>
      <c r="H91" s="45">
        <f t="shared" si="84"/>
        <v>1.4448297419912344</v>
      </c>
      <c r="I91" s="45">
        <f t="shared" si="85"/>
        <v>1.5832645811393595</v>
      </c>
      <c r="J91" s="45">
        <f t="shared" si="86"/>
        <v>2.9635146349646995</v>
      </c>
      <c r="K91" s="45">
        <f t="shared" si="87"/>
        <v>1.4090002372614512</v>
      </c>
      <c r="L91" s="45">
        <f t="shared" si="88"/>
        <v>3.4864457511861064</v>
      </c>
      <c r="M91" s="45">
        <f t="shared" si="89"/>
        <v>0.93430133419966577</v>
      </c>
      <c r="N91" s="45">
        <f t="shared" si="90"/>
        <v>1.7100707093906615</v>
      </c>
      <c r="O91" s="45">
        <f t="shared" si="91"/>
        <v>2.403213621651795</v>
      </c>
      <c r="P91" s="45">
        <f t="shared" si="92"/>
        <v>2.6873253179964771</v>
      </c>
      <c r="Q91" s="45">
        <f t="shared" si="93"/>
        <v>4.8406735861853383</v>
      </c>
      <c r="R91" s="45">
        <f t="shared" si="94"/>
        <v>3.4365878265756296</v>
      </c>
      <c r="S91" s="26"/>
      <c r="T91" s="26" t="str">
        <f t="shared" si="137"/>
        <v>comm</v>
      </c>
      <c r="U91" s="45">
        <f t="shared" si="138"/>
        <v>3.6140170315275819</v>
      </c>
      <c r="V91" s="45">
        <f t="shared" si="139"/>
        <v>5.5573174042433822</v>
      </c>
      <c r="W91" s="45">
        <f t="shared" si="140"/>
        <v>7.623071652367571</v>
      </c>
      <c r="X91" s="45">
        <f t="shared" si="141"/>
        <v>11.52774222654987</v>
      </c>
      <c r="Y91" s="45">
        <f t="shared" si="142"/>
        <v>9.3988622163685598</v>
      </c>
      <c r="Z91" s="45">
        <f t="shared" si="143"/>
        <v>1.2356216290318314</v>
      </c>
      <c r="AA91" s="45">
        <f t="shared" si="144"/>
        <v>1.7129027681006403</v>
      </c>
      <c r="AB91" s="45">
        <f t="shared" si="145"/>
        <v>4.0674404949219047</v>
      </c>
      <c r="AC91" s="45">
        <f t="shared" si="146"/>
        <v>5.1302907621589151</v>
      </c>
      <c r="AD91" s="45">
        <f t="shared" si="147"/>
        <v>11.768248779393508</v>
      </c>
      <c r="AE91" s="45">
        <f t="shared" si="148"/>
        <v>0.40652560741422128</v>
      </c>
      <c r="AF91" s="45">
        <f t="shared" si="149"/>
        <v>1.8907826513491077</v>
      </c>
      <c r="AG91" s="45">
        <f t="shared" si="150"/>
        <v>5.6548684257114372</v>
      </c>
      <c r="AH91" s="45">
        <f t="shared" si="151"/>
        <v>15.554279190969963</v>
      </c>
      <c r="AI91" s="45">
        <f t="shared" si="152"/>
        <v>189.39026185936012</v>
      </c>
      <c r="AJ91" s="45">
        <f t="shared" si="153"/>
        <v>274.53223269946864</v>
      </c>
      <c r="AK91" s="26"/>
      <c r="AL91" s="26" t="str">
        <f t="shared" si="154"/>
        <v>ccomm</v>
      </c>
      <c r="AM91" s="45">
        <f>_xlfn.IFNA(INDEX(SAM!$B$8:$HA$215,MATCH($AL91,SAM!$A$8:$A$215,0),MATCH(AM$48,SAM!$B$7:$HA$7,0)),0)</f>
        <v>3.6140170315275819</v>
      </c>
      <c r="AN91" s="45">
        <f>_xlfn.IFNA(INDEX(SAM!$B$8:$HA$215,MATCH($AL91,SAM!$A$8:$A$215,0),MATCH(AN$48,SAM!$B$7:$HA$7,0)),0)</f>
        <v>5.5573174042433822</v>
      </c>
      <c r="AO91" s="45">
        <f>_xlfn.IFNA(INDEX(SAM!$B$8:$HA$215,MATCH($AL91,SAM!$A$8:$A$215,0),MATCH(AO$48,SAM!$B$7:$HA$7,0)),0)</f>
        <v>7.623071652367571</v>
      </c>
      <c r="AP91" s="45">
        <f>_xlfn.IFNA(INDEX(SAM!$B$8:$HA$215,MATCH($AL91,SAM!$A$8:$A$215,0),MATCH(AP$48,SAM!$B$7:$HA$7,0)),0)</f>
        <v>11.52774222654987</v>
      </c>
      <c r="AQ91" s="45">
        <f>_xlfn.IFNA(INDEX(SAM!$B$8:$HA$215,MATCH($AL91,SAM!$A$8:$A$215,0),MATCH(AQ$48,SAM!$B$7:$HA$7,0)),0)</f>
        <v>9.3988622163685598</v>
      </c>
      <c r="AR91" s="45">
        <f>_xlfn.IFNA(INDEX(SAM!$B$8:$HA$215,MATCH($AL91,SAM!$A$8:$A$215,0),MATCH(AR$48,SAM!$B$7:$HA$7,0)),0)</f>
        <v>1.2356216290318314</v>
      </c>
      <c r="AS91" s="45">
        <f>_xlfn.IFNA(INDEX(SAM!$B$8:$HA$215,MATCH($AL91,SAM!$A$8:$A$215,0),MATCH(AS$48,SAM!$B$7:$HA$7,0)),0)</f>
        <v>1.7129027681006403</v>
      </c>
      <c r="AT91" s="45">
        <f>_xlfn.IFNA(INDEX(SAM!$B$8:$HA$215,MATCH($AL91,SAM!$A$8:$A$215,0),MATCH(AT$48,SAM!$B$7:$HA$7,0)),0)</f>
        <v>4.0674404949219047</v>
      </c>
      <c r="AU91" s="45">
        <f>_xlfn.IFNA(INDEX(SAM!$B$8:$HA$215,MATCH($AL91,SAM!$A$8:$A$215,0),MATCH(AU$48,SAM!$B$7:$HA$7,0)),0)</f>
        <v>5.1302907621589151</v>
      </c>
      <c r="AV91" s="45">
        <f>_xlfn.IFNA(INDEX(SAM!$B$8:$HA$215,MATCH($AL91,SAM!$A$8:$A$215,0),MATCH(AV$48,SAM!$B$7:$HA$7,0)),0)</f>
        <v>11.768248779393508</v>
      </c>
      <c r="AW91" s="45">
        <f>_xlfn.IFNA(INDEX(SAM!$B$8:$HA$215,MATCH($AL91,SAM!$A$8:$A$215,0),MATCH(AW$48,SAM!$B$7:$HA$7,0)),0)</f>
        <v>0.40652560741422128</v>
      </c>
      <c r="AX91" s="45">
        <f>_xlfn.IFNA(INDEX(SAM!$B$8:$HA$215,MATCH($AL91,SAM!$A$8:$A$215,0),MATCH(AX$48,SAM!$B$7:$HA$7,0)),0)</f>
        <v>1.8907826513491077</v>
      </c>
      <c r="AY91" s="45">
        <f>_xlfn.IFNA(INDEX(SAM!$B$8:$HA$215,MATCH($AL91,SAM!$A$8:$A$215,0),MATCH(AY$48,SAM!$B$7:$HA$7,0)),0)</f>
        <v>5.6548684257114372</v>
      </c>
      <c r="AZ91" s="45">
        <f>_xlfn.IFNA(INDEX(SAM!$B$8:$HA$215,MATCH($AL91,SAM!$A$8:$A$215,0),MATCH(AZ$48,SAM!$B$7:$HA$7,0)),0)</f>
        <v>15.554279190969963</v>
      </c>
      <c r="BA91" s="45">
        <f>_xlfn.IFNA(INDEX(SAM!$B$8:$HA$215,MATCH($AL91,SAM!$A$8:$A$215,0),MATCH(BA$48,SAM!$B$7:$HA$7,0)),0)</f>
        <v>189.39026185936012</v>
      </c>
      <c r="BB91" s="45"/>
      <c r="BC91" s="26" t="str">
        <f t="shared" si="155"/>
        <v>acomm</v>
      </c>
      <c r="BD91" s="45">
        <f>_xlfn.IFNA(INDEX(SAM!$B$8:$HA$215,MATCH($BC91,SAM!$A$8:$A$215,0),MATCH(BD$48,SAM!$B$7:$HA$7,0)),0)</f>
        <v>0</v>
      </c>
      <c r="BE91" s="45">
        <f>_xlfn.IFNA(INDEX(SAM!$B$8:$HA$215,MATCH($BC91,SAM!$A$8:$A$215,0),MATCH(BE$48,SAM!$B$7:$HA$7,0)),0)</f>
        <v>0</v>
      </c>
      <c r="BF91" s="45">
        <f>_xlfn.IFNA(INDEX(SAM!$B$8:$HA$215,MATCH($BC91,SAM!$A$8:$A$215,0),MATCH(BF$48,SAM!$B$7:$HA$7,0)),0)</f>
        <v>0</v>
      </c>
      <c r="BG91" s="45">
        <f>_xlfn.IFNA(INDEX(SAM!$B$8:$HA$215,MATCH($BC91,SAM!$A$8:$A$215,0),MATCH(BG$48,SAM!$B$7:$HA$7,0)),0)</f>
        <v>0</v>
      </c>
      <c r="BH91" s="45">
        <f>_xlfn.IFNA(INDEX(SAM!$B$8:$HA$215,MATCH($BC91,SAM!$A$8:$A$215,0),MATCH(BH$48,SAM!$B$7:$HA$7,0)),0)</f>
        <v>0</v>
      </c>
      <c r="BI91" s="45">
        <f>_xlfn.IFNA(INDEX(SAM!$B$8:$HA$215,MATCH($BC91,SAM!$A$8:$A$215,0),MATCH(BI$48,SAM!$B$7:$HA$7,0)),0)</f>
        <v>0</v>
      </c>
      <c r="BJ91" s="45">
        <f>_xlfn.IFNA(INDEX(SAM!$B$8:$HA$215,MATCH($BC91,SAM!$A$8:$A$215,0),MATCH(BJ$48,SAM!$B$7:$HA$7,0)),0)</f>
        <v>0</v>
      </c>
      <c r="BK91" s="45">
        <f>_xlfn.IFNA(INDEX(SAM!$B$8:$HA$215,MATCH($BC91,SAM!$A$8:$A$215,0),MATCH(BK$48,SAM!$B$7:$HA$7,0)),0)</f>
        <v>0</v>
      </c>
      <c r="BL91" s="45">
        <f>_xlfn.IFNA(INDEX(SAM!$B$8:$HA$215,MATCH($BC91,SAM!$A$8:$A$215,0),MATCH(BL$48,SAM!$B$7:$HA$7,0)),0)</f>
        <v>0</v>
      </c>
      <c r="BM91" s="45">
        <f>_xlfn.IFNA(INDEX(SAM!$B$8:$HA$215,MATCH($BC91,SAM!$A$8:$A$215,0),MATCH(BM$48,SAM!$B$7:$HA$7,0)),0)</f>
        <v>0</v>
      </c>
      <c r="BN91" s="45">
        <f>_xlfn.IFNA(INDEX(SAM!$B$8:$HA$215,MATCH($BC91,SAM!$A$8:$A$215,0),MATCH(BN$48,SAM!$B$7:$HA$7,0)),0)</f>
        <v>0</v>
      </c>
      <c r="BO91" s="45">
        <f>_xlfn.IFNA(INDEX(SAM!$B$8:$HA$215,MATCH($BC91,SAM!$A$8:$A$215,0),MATCH(BO$48,SAM!$B$7:$HA$7,0)),0)</f>
        <v>0</v>
      </c>
      <c r="BP91" s="45">
        <f>_xlfn.IFNA(INDEX(SAM!$B$8:$HA$215,MATCH($BC91,SAM!$A$8:$A$215,0),MATCH(BP$48,SAM!$B$7:$HA$7,0)),0)</f>
        <v>0</v>
      </c>
      <c r="BQ91" s="45">
        <f>_xlfn.IFNA(INDEX(SAM!$B$8:$HA$215,MATCH($BC91,SAM!$A$8:$A$215,0),MATCH(BQ$48,SAM!$B$7:$HA$7,0)),0)</f>
        <v>0</v>
      </c>
      <c r="BR91" s="45">
        <f>_xlfn.IFNA(INDEX(SAM!$B$8:$HA$215,MATCH($BC91,SAM!$A$8:$A$215,0),MATCH(BR$48,SAM!$B$7:$HA$7,0)),0)</f>
        <v>0</v>
      </c>
      <c r="BT91" t="str">
        <f t="shared" si="109"/>
        <v>ccomm</v>
      </c>
      <c r="BU91" s="7">
        <f t="shared" si="110"/>
        <v>274.53223269946864</v>
      </c>
      <c r="BW91" s="51" t="s">
        <v>206</v>
      </c>
      <c r="BX91" s="43">
        <f t="shared" si="116"/>
        <v>0</v>
      </c>
    </row>
    <row r="92" spans="1:76" x14ac:dyDescent="0.35">
      <c r="A92" t="str">
        <f t="shared" si="136"/>
        <v>other services</v>
      </c>
      <c r="B92" t="s">
        <v>51</v>
      </c>
      <c r="C92" s="18">
        <f t="shared" si="79"/>
        <v>0.24424736913404393</v>
      </c>
      <c r="D92" s="18">
        <f t="shared" si="80"/>
        <v>0.57546378713129132</v>
      </c>
      <c r="E92" s="18">
        <f t="shared" si="81"/>
        <v>1.1622786870015658</v>
      </c>
      <c r="F92" s="18">
        <f t="shared" si="82"/>
        <v>1.6623164525986116</v>
      </c>
      <c r="G92" s="18">
        <f t="shared" si="83"/>
        <v>3.9749159227314301</v>
      </c>
      <c r="H92" s="18">
        <f t="shared" si="84"/>
        <v>0.35270846032811815</v>
      </c>
      <c r="I92" s="18">
        <f t="shared" si="85"/>
        <v>1.0745730512031826</v>
      </c>
      <c r="J92" s="18">
        <f t="shared" si="86"/>
        <v>2.0695607487230796</v>
      </c>
      <c r="K92" s="18">
        <f t="shared" si="87"/>
        <v>1.4268843762382277</v>
      </c>
      <c r="L92" s="18">
        <f t="shared" si="88"/>
        <v>4.7765955310764339</v>
      </c>
      <c r="M92" s="18">
        <f t="shared" si="89"/>
        <v>0.40346825842188211</v>
      </c>
      <c r="N92" s="18">
        <f t="shared" si="90"/>
        <v>0.78385533403893137</v>
      </c>
      <c r="O92" s="18">
        <f t="shared" si="91"/>
        <v>2.1394209873064205</v>
      </c>
      <c r="P92" s="18">
        <f t="shared" si="92"/>
        <v>2.9395325503854459</v>
      </c>
      <c r="Q92" s="18">
        <f t="shared" si="93"/>
        <v>6.9836446796682505</v>
      </c>
      <c r="R92" s="18">
        <f t="shared" si="94"/>
        <v>4.4710828222030843</v>
      </c>
      <c r="T92" t="str">
        <f t="shared" si="137"/>
        <v>fsrv</v>
      </c>
      <c r="U92" s="18">
        <f t="shared" si="138"/>
        <v>0.60534969709149333</v>
      </c>
      <c r="V92" s="18">
        <f t="shared" si="139"/>
        <v>2.1048862287559986</v>
      </c>
      <c r="W92" s="18">
        <f t="shared" si="140"/>
        <v>5.6977951396943993</v>
      </c>
      <c r="X92" s="18">
        <f t="shared" si="141"/>
        <v>8.4779419369260509</v>
      </c>
      <c r="Y92" s="18">
        <f t="shared" si="142"/>
        <v>18.339894513459885</v>
      </c>
      <c r="Z92" s="18">
        <f t="shared" si="143"/>
        <v>0.30163706467123824</v>
      </c>
      <c r="AA92" s="18">
        <f t="shared" si="144"/>
        <v>1.1625594204903575</v>
      </c>
      <c r="AB92" s="18">
        <f t="shared" si="145"/>
        <v>2.8404837609845042</v>
      </c>
      <c r="AC92" s="18">
        <f t="shared" si="146"/>
        <v>5.1954084467095232</v>
      </c>
      <c r="AD92" s="18">
        <f t="shared" si="147"/>
        <v>16.123057273764566</v>
      </c>
      <c r="AE92" s="18">
        <f t="shared" si="148"/>
        <v>0.17555383132125715</v>
      </c>
      <c r="AF92" s="18">
        <f t="shared" si="149"/>
        <v>0.86668934718867752</v>
      </c>
      <c r="AG92" s="18">
        <f t="shared" si="150"/>
        <v>5.0341526368796456</v>
      </c>
      <c r="AH92" s="18">
        <f t="shared" si="151"/>
        <v>17.01405842956418</v>
      </c>
      <c r="AI92" s="18">
        <f t="shared" si="152"/>
        <v>273.23352237377162</v>
      </c>
      <c r="AJ92" s="18">
        <f t="shared" si="153"/>
        <v>357.1729901012734</v>
      </c>
      <c r="AL92" t="str">
        <f t="shared" si="154"/>
        <v>cfsrv</v>
      </c>
      <c r="AM92" s="18">
        <f>_xlfn.IFNA(INDEX(SAM!$B$8:$HA$215,MATCH($AL92,SAM!$A$8:$A$215,0),MATCH(AM$48,SAM!$B$7:$HA$7,0)),0)</f>
        <v>0.60534969709149333</v>
      </c>
      <c r="AN92" s="18">
        <f>_xlfn.IFNA(INDEX(SAM!$B$8:$HA$215,MATCH($AL92,SAM!$A$8:$A$215,0),MATCH(AN$48,SAM!$B$7:$HA$7,0)),0)</f>
        <v>2.1048862287559986</v>
      </c>
      <c r="AO92" s="18">
        <f>_xlfn.IFNA(INDEX(SAM!$B$8:$HA$215,MATCH($AL92,SAM!$A$8:$A$215,0),MATCH(AO$48,SAM!$B$7:$HA$7,0)),0)</f>
        <v>5.6977951396943993</v>
      </c>
      <c r="AP92" s="18">
        <f>_xlfn.IFNA(INDEX(SAM!$B$8:$HA$215,MATCH($AL92,SAM!$A$8:$A$215,0),MATCH(AP$48,SAM!$B$7:$HA$7,0)),0)</f>
        <v>8.4779419369260509</v>
      </c>
      <c r="AQ92" s="18">
        <f>_xlfn.IFNA(INDEX(SAM!$B$8:$HA$215,MATCH($AL92,SAM!$A$8:$A$215,0),MATCH(AQ$48,SAM!$B$7:$HA$7,0)),0)</f>
        <v>18.339894513459885</v>
      </c>
      <c r="AR92" s="18">
        <f>_xlfn.IFNA(INDEX(SAM!$B$8:$HA$215,MATCH($AL92,SAM!$A$8:$A$215,0),MATCH(AR$48,SAM!$B$7:$HA$7,0)),0)</f>
        <v>0.30163706467123824</v>
      </c>
      <c r="AS92" s="18">
        <f>_xlfn.IFNA(INDEX(SAM!$B$8:$HA$215,MATCH($AL92,SAM!$A$8:$A$215,0),MATCH(AS$48,SAM!$B$7:$HA$7,0)),0)</f>
        <v>1.1625594204903575</v>
      </c>
      <c r="AT92" s="18">
        <f>_xlfn.IFNA(INDEX(SAM!$B$8:$HA$215,MATCH($AL92,SAM!$A$8:$A$215,0),MATCH(AT$48,SAM!$B$7:$HA$7,0)),0)</f>
        <v>2.8404837609845042</v>
      </c>
      <c r="AU92" s="18">
        <f>_xlfn.IFNA(INDEX(SAM!$B$8:$HA$215,MATCH($AL92,SAM!$A$8:$A$215,0),MATCH(AU$48,SAM!$B$7:$HA$7,0)),0)</f>
        <v>5.1954084467095232</v>
      </c>
      <c r="AV92" s="18">
        <f>_xlfn.IFNA(INDEX(SAM!$B$8:$HA$215,MATCH($AL92,SAM!$A$8:$A$215,0),MATCH(AV$48,SAM!$B$7:$HA$7,0)),0)</f>
        <v>16.123057273764566</v>
      </c>
      <c r="AW92" s="18">
        <f>_xlfn.IFNA(INDEX(SAM!$B$8:$HA$215,MATCH($AL92,SAM!$A$8:$A$215,0),MATCH(AW$48,SAM!$B$7:$HA$7,0)),0)</f>
        <v>0.17555383132125715</v>
      </c>
      <c r="AX92" s="18">
        <f>_xlfn.IFNA(INDEX(SAM!$B$8:$HA$215,MATCH($AL92,SAM!$A$8:$A$215,0),MATCH(AX$48,SAM!$B$7:$HA$7,0)),0)</f>
        <v>0.86668934718867752</v>
      </c>
      <c r="AY92" s="18">
        <f>_xlfn.IFNA(INDEX(SAM!$B$8:$HA$215,MATCH($AL92,SAM!$A$8:$A$215,0),MATCH(AY$48,SAM!$B$7:$HA$7,0)),0)</f>
        <v>5.0341526368796456</v>
      </c>
      <c r="AZ92" s="18">
        <f>_xlfn.IFNA(INDEX(SAM!$B$8:$HA$215,MATCH($AL92,SAM!$A$8:$A$215,0),MATCH(AZ$48,SAM!$B$7:$HA$7,0)),0)</f>
        <v>17.01405842956418</v>
      </c>
      <c r="BA92" s="18">
        <f>_xlfn.IFNA(INDEX(SAM!$B$8:$HA$215,MATCH($AL92,SAM!$A$8:$A$215,0),MATCH(BA$48,SAM!$B$7:$HA$7,0)),0)</f>
        <v>273.23352237377162</v>
      </c>
      <c r="BB92" s="18"/>
      <c r="BC92" t="str">
        <f t="shared" si="155"/>
        <v>afsrv</v>
      </c>
      <c r="BD92" s="18">
        <f>_xlfn.IFNA(INDEX(SAM!$B$8:$HA$215,MATCH($BC92,SAM!$A$8:$A$215,0),MATCH(BD$48,SAM!$B$7:$HA$7,0)),0)</f>
        <v>0</v>
      </c>
      <c r="BE92" s="18">
        <f>_xlfn.IFNA(INDEX(SAM!$B$8:$HA$215,MATCH($BC92,SAM!$A$8:$A$215,0),MATCH(BE$48,SAM!$B$7:$HA$7,0)),0)</f>
        <v>0</v>
      </c>
      <c r="BF92" s="18">
        <f>_xlfn.IFNA(INDEX(SAM!$B$8:$HA$215,MATCH($BC92,SAM!$A$8:$A$215,0),MATCH(BF$48,SAM!$B$7:$HA$7,0)),0)</f>
        <v>0</v>
      </c>
      <c r="BG92" s="18">
        <f>_xlfn.IFNA(INDEX(SAM!$B$8:$HA$215,MATCH($BC92,SAM!$A$8:$A$215,0),MATCH(BG$48,SAM!$B$7:$HA$7,0)),0)</f>
        <v>0</v>
      </c>
      <c r="BH92" s="18">
        <f>_xlfn.IFNA(INDEX(SAM!$B$8:$HA$215,MATCH($BC92,SAM!$A$8:$A$215,0),MATCH(BH$48,SAM!$B$7:$HA$7,0)),0)</f>
        <v>0</v>
      </c>
      <c r="BI92" s="18">
        <f>_xlfn.IFNA(INDEX(SAM!$B$8:$HA$215,MATCH($BC92,SAM!$A$8:$A$215,0),MATCH(BI$48,SAM!$B$7:$HA$7,0)),0)</f>
        <v>0</v>
      </c>
      <c r="BJ92" s="18">
        <f>_xlfn.IFNA(INDEX(SAM!$B$8:$HA$215,MATCH($BC92,SAM!$A$8:$A$215,0),MATCH(BJ$48,SAM!$B$7:$HA$7,0)),0)</f>
        <v>0</v>
      </c>
      <c r="BK92" s="18">
        <f>_xlfn.IFNA(INDEX(SAM!$B$8:$HA$215,MATCH($BC92,SAM!$A$8:$A$215,0),MATCH(BK$48,SAM!$B$7:$HA$7,0)),0)</f>
        <v>0</v>
      </c>
      <c r="BL92" s="18">
        <f>_xlfn.IFNA(INDEX(SAM!$B$8:$HA$215,MATCH($BC92,SAM!$A$8:$A$215,0),MATCH(BL$48,SAM!$B$7:$HA$7,0)),0)</f>
        <v>0</v>
      </c>
      <c r="BM92" s="18">
        <f>_xlfn.IFNA(INDEX(SAM!$B$8:$HA$215,MATCH($BC92,SAM!$A$8:$A$215,0),MATCH(BM$48,SAM!$B$7:$HA$7,0)),0)</f>
        <v>0</v>
      </c>
      <c r="BN92" s="18">
        <f>_xlfn.IFNA(INDEX(SAM!$B$8:$HA$215,MATCH($BC92,SAM!$A$8:$A$215,0),MATCH(BN$48,SAM!$B$7:$HA$7,0)),0)</f>
        <v>0</v>
      </c>
      <c r="BO92" s="18">
        <f>_xlfn.IFNA(INDEX(SAM!$B$8:$HA$215,MATCH($BC92,SAM!$A$8:$A$215,0),MATCH(BO$48,SAM!$B$7:$HA$7,0)),0)</f>
        <v>0</v>
      </c>
      <c r="BP92" s="18">
        <f>_xlfn.IFNA(INDEX(SAM!$B$8:$HA$215,MATCH($BC92,SAM!$A$8:$A$215,0),MATCH(BP$48,SAM!$B$7:$HA$7,0)),0)</f>
        <v>0</v>
      </c>
      <c r="BQ92" s="18">
        <f>_xlfn.IFNA(INDEX(SAM!$B$8:$HA$215,MATCH($BC92,SAM!$A$8:$A$215,0),MATCH(BQ$48,SAM!$B$7:$HA$7,0)),0)</f>
        <v>0</v>
      </c>
      <c r="BR92" s="18">
        <f>_xlfn.IFNA(INDEX(SAM!$B$8:$HA$215,MATCH($BC92,SAM!$A$8:$A$215,0),MATCH(BR$48,SAM!$B$7:$HA$7,0)),0)</f>
        <v>0</v>
      </c>
      <c r="BT92" t="str">
        <f t="shared" si="109"/>
        <v>cfsrv</v>
      </c>
      <c r="BU92" s="7">
        <f t="shared" si="110"/>
        <v>357.1729901012734</v>
      </c>
      <c r="BW92" s="51" t="s">
        <v>207</v>
      </c>
      <c r="BX92" s="43">
        <f t="shared" si="116"/>
        <v>4.4957114839941701</v>
      </c>
    </row>
    <row r="93" spans="1:76" x14ac:dyDescent="0.35">
      <c r="A93" t="str">
        <f t="shared" si="136"/>
        <v>other services</v>
      </c>
      <c r="B93" t="s">
        <v>53</v>
      </c>
      <c r="C93" s="18">
        <f t="shared" si="79"/>
        <v>8.5403620935358485E-2</v>
      </c>
      <c r="D93" s="18">
        <f t="shared" si="80"/>
        <v>0.11864415193816485</v>
      </c>
      <c r="E93" s="18">
        <f t="shared" si="81"/>
        <v>0.12469700184534832</v>
      </c>
      <c r="F93" s="18">
        <f t="shared" si="82"/>
        <v>0.22411128504107242</v>
      </c>
      <c r="G93" s="18">
        <f t="shared" si="83"/>
        <v>0.20198718181709779</v>
      </c>
      <c r="H93" s="18">
        <f t="shared" si="84"/>
        <v>6.5139991430669411E-2</v>
      </c>
      <c r="I93" s="18">
        <f t="shared" si="85"/>
        <v>9.1957485077833204E-2</v>
      </c>
      <c r="J93" s="18">
        <f t="shared" si="86"/>
        <v>0.17818888333131797</v>
      </c>
      <c r="K93" s="18">
        <f t="shared" si="87"/>
        <v>0.11980349385733124</v>
      </c>
      <c r="L93" s="18">
        <f t="shared" si="88"/>
        <v>0.20374337879820034</v>
      </c>
      <c r="M93" s="18">
        <f t="shared" si="89"/>
        <v>0.11725755348270975</v>
      </c>
      <c r="N93" s="18">
        <f t="shared" si="90"/>
        <v>0.14610607758840721</v>
      </c>
      <c r="O93" s="18">
        <f t="shared" si="91"/>
        <v>0.22612223682720323</v>
      </c>
      <c r="P93" s="18">
        <f t="shared" si="92"/>
        <v>0.28258226956223187</v>
      </c>
      <c r="Q93" s="18">
        <f t="shared" si="93"/>
        <v>0.27227824134458262</v>
      </c>
      <c r="R93" s="18">
        <f t="shared" si="94"/>
        <v>0.22392930414750728</v>
      </c>
      <c r="T93" t="str">
        <f t="shared" si="137"/>
        <v>bsrv</v>
      </c>
      <c r="U93" s="18">
        <f t="shared" si="138"/>
        <v>0.21166678784312032</v>
      </c>
      <c r="V93" s="18">
        <f t="shared" si="139"/>
        <v>0.43396725757845367</v>
      </c>
      <c r="W93" s="18">
        <f t="shared" si="140"/>
        <v>0.61129742719607494</v>
      </c>
      <c r="X93" s="18">
        <f t="shared" si="141"/>
        <v>1.14298481436427</v>
      </c>
      <c r="Y93" s="18">
        <f t="shared" si="142"/>
        <v>0.93195017947727032</v>
      </c>
      <c r="Z93" s="18">
        <f t="shared" si="143"/>
        <v>5.5707866461660635E-2</v>
      </c>
      <c r="AA93" s="18">
        <f t="shared" si="144"/>
        <v>9.9486992012442016E-2</v>
      </c>
      <c r="AB93" s="18">
        <f t="shared" si="145"/>
        <v>0.24456524400303856</v>
      </c>
      <c r="AC93" s="18">
        <f t="shared" si="146"/>
        <v>0.43621480079039898</v>
      </c>
      <c r="AD93" s="18">
        <f t="shared" si="147"/>
        <v>0.68772123244301719</v>
      </c>
      <c r="AE93" s="18">
        <f t="shared" si="148"/>
        <v>5.1020154214268885E-2</v>
      </c>
      <c r="AF93" s="18">
        <f t="shared" si="149"/>
        <v>0.16154585611215055</v>
      </c>
      <c r="AG93" s="18">
        <f t="shared" si="150"/>
        <v>0.53207566978857068</v>
      </c>
      <c r="AH93" s="18">
        <f t="shared" si="151"/>
        <v>1.6355904087063899</v>
      </c>
      <c r="AI93" s="18">
        <f t="shared" si="152"/>
        <v>10.652824758525698</v>
      </c>
      <c r="AJ93" s="18">
        <f t="shared" si="153"/>
        <v>17.888619449516824</v>
      </c>
      <c r="AL93" t="str">
        <f t="shared" si="154"/>
        <v>cbsrv</v>
      </c>
      <c r="AM93" s="18">
        <f>_xlfn.IFNA(INDEX(SAM!$B$8:$HA$215,MATCH($AL93,SAM!$A$8:$A$215,0),MATCH(AM$48,SAM!$B$7:$HA$7,0)),0)</f>
        <v>0.21166678784312032</v>
      </c>
      <c r="AN93" s="18">
        <f>_xlfn.IFNA(INDEX(SAM!$B$8:$HA$215,MATCH($AL93,SAM!$A$8:$A$215,0),MATCH(AN$48,SAM!$B$7:$HA$7,0)),0)</f>
        <v>0.43396725757845367</v>
      </c>
      <c r="AO93" s="18">
        <f>_xlfn.IFNA(INDEX(SAM!$B$8:$HA$215,MATCH($AL93,SAM!$A$8:$A$215,0),MATCH(AO$48,SAM!$B$7:$HA$7,0)),0)</f>
        <v>0.61129742719607494</v>
      </c>
      <c r="AP93" s="18">
        <f>_xlfn.IFNA(INDEX(SAM!$B$8:$HA$215,MATCH($AL93,SAM!$A$8:$A$215,0),MATCH(AP$48,SAM!$B$7:$HA$7,0)),0)</f>
        <v>1.14298481436427</v>
      </c>
      <c r="AQ93" s="18">
        <f>_xlfn.IFNA(INDEX(SAM!$B$8:$HA$215,MATCH($AL93,SAM!$A$8:$A$215,0),MATCH(AQ$48,SAM!$B$7:$HA$7,0)),0)</f>
        <v>0.93195017947727032</v>
      </c>
      <c r="AR93" s="18">
        <f>_xlfn.IFNA(INDEX(SAM!$B$8:$HA$215,MATCH($AL93,SAM!$A$8:$A$215,0),MATCH(AR$48,SAM!$B$7:$HA$7,0)),0)</f>
        <v>5.5707866461660635E-2</v>
      </c>
      <c r="AS93" s="18">
        <f>_xlfn.IFNA(INDEX(SAM!$B$8:$HA$215,MATCH($AL93,SAM!$A$8:$A$215,0),MATCH(AS$48,SAM!$B$7:$HA$7,0)),0)</f>
        <v>9.9486992012442016E-2</v>
      </c>
      <c r="AT93" s="18">
        <f>_xlfn.IFNA(INDEX(SAM!$B$8:$HA$215,MATCH($AL93,SAM!$A$8:$A$215,0),MATCH(AT$48,SAM!$B$7:$HA$7,0)),0)</f>
        <v>0.24456524400303856</v>
      </c>
      <c r="AU93" s="18">
        <f>_xlfn.IFNA(INDEX(SAM!$B$8:$HA$215,MATCH($AL93,SAM!$A$8:$A$215,0),MATCH(AU$48,SAM!$B$7:$HA$7,0)),0)</f>
        <v>0.43621480079039898</v>
      </c>
      <c r="AV93" s="18">
        <f>_xlfn.IFNA(INDEX(SAM!$B$8:$HA$215,MATCH($AL93,SAM!$A$8:$A$215,0),MATCH(AV$48,SAM!$B$7:$HA$7,0)),0)</f>
        <v>0.68772123244301719</v>
      </c>
      <c r="AW93" s="18">
        <f>_xlfn.IFNA(INDEX(SAM!$B$8:$HA$215,MATCH($AL93,SAM!$A$8:$A$215,0),MATCH(AW$48,SAM!$B$7:$HA$7,0)),0)</f>
        <v>5.1020154214268885E-2</v>
      </c>
      <c r="AX93" s="18">
        <f>_xlfn.IFNA(INDEX(SAM!$B$8:$HA$215,MATCH($AL93,SAM!$A$8:$A$215,0),MATCH(AX$48,SAM!$B$7:$HA$7,0)),0)</f>
        <v>0.16154585611215055</v>
      </c>
      <c r="AY93" s="18">
        <f>_xlfn.IFNA(INDEX(SAM!$B$8:$HA$215,MATCH($AL93,SAM!$A$8:$A$215,0),MATCH(AY$48,SAM!$B$7:$HA$7,0)),0)</f>
        <v>0.53207566978857068</v>
      </c>
      <c r="AZ93" s="18">
        <f>_xlfn.IFNA(INDEX(SAM!$B$8:$HA$215,MATCH($AL93,SAM!$A$8:$A$215,0),MATCH(AZ$48,SAM!$B$7:$HA$7,0)),0)</f>
        <v>1.6355904087063899</v>
      </c>
      <c r="BA93" s="18">
        <f>_xlfn.IFNA(INDEX(SAM!$B$8:$HA$215,MATCH($AL93,SAM!$A$8:$A$215,0),MATCH(BA$48,SAM!$B$7:$HA$7,0)),0)</f>
        <v>10.652824758525698</v>
      </c>
      <c r="BB93" s="18"/>
      <c r="BC93" t="str">
        <f t="shared" si="155"/>
        <v>absrv</v>
      </c>
      <c r="BD93" s="18">
        <f>_xlfn.IFNA(INDEX(SAM!$B$8:$HA$215,MATCH($BC93,SAM!$A$8:$A$215,0),MATCH(BD$48,SAM!$B$7:$HA$7,0)),0)</f>
        <v>0</v>
      </c>
      <c r="BE93" s="18">
        <f>_xlfn.IFNA(INDEX(SAM!$B$8:$HA$215,MATCH($BC93,SAM!$A$8:$A$215,0),MATCH(BE$48,SAM!$B$7:$HA$7,0)),0)</f>
        <v>0</v>
      </c>
      <c r="BF93" s="18">
        <f>_xlfn.IFNA(INDEX(SAM!$B$8:$HA$215,MATCH($BC93,SAM!$A$8:$A$215,0),MATCH(BF$48,SAM!$B$7:$HA$7,0)),0)</f>
        <v>0</v>
      </c>
      <c r="BG93" s="18">
        <f>_xlfn.IFNA(INDEX(SAM!$B$8:$HA$215,MATCH($BC93,SAM!$A$8:$A$215,0),MATCH(BG$48,SAM!$B$7:$HA$7,0)),0)</f>
        <v>0</v>
      </c>
      <c r="BH93" s="18">
        <f>_xlfn.IFNA(INDEX(SAM!$B$8:$HA$215,MATCH($BC93,SAM!$A$8:$A$215,0),MATCH(BH$48,SAM!$B$7:$HA$7,0)),0)</f>
        <v>0</v>
      </c>
      <c r="BI93" s="18">
        <f>_xlfn.IFNA(INDEX(SAM!$B$8:$HA$215,MATCH($BC93,SAM!$A$8:$A$215,0),MATCH(BI$48,SAM!$B$7:$HA$7,0)),0)</f>
        <v>0</v>
      </c>
      <c r="BJ93" s="18">
        <f>_xlfn.IFNA(INDEX(SAM!$B$8:$HA$215,MATCH($BC93,SAM!$A$8:$A$215,0),MATCH(BJ$48,SAM!$B$7:$HA$7,0)),0)</f>
        <v>0</v>
      </c>
      <c r="BK93" s="18">
        <f>_xlfn.IFNA(INDEX(SAM!$B$8:$HA$215,MATCH($BC93,SAM!$A$8:$A$215,0),MATCH(BK$48,SAM!$B$7:$HA$7,0)),0)</f>
        <v>0</v>
      </c>
      <c r="BL93" s="18">
        <f>_xlfn.IFNA(INDEX(SAM!$B$8:$HA$215,MATCH($BC93,SAM!$A$8:$A$215,0),MATCH(BL$48,SAM!$B$7:$HA$7,0)),0)</f>
        <v>0</v>
      </c>
      <c r="BM93" s="18">
        <f>_xlfn.IFNA(INDEX(SAM!$B$8:$HA$215,MATCH($BC93,SAM!$A$8:$A$215,0),MATCH(BM$48,SAM!$B$7:$HA$7,0)),0)</f>
        <v>0</v>
      </c>
      <c r="BN93" s="18">
        <f>_xlfn.IFNA(INDEX(SAM!$B$8:$HA$215,MATCH($BC93,SAM!$A$8:$A$215,0),MATCH(BN$48,SAM!$B$7:$HA$7,0)),0)</f>
        <v>0</v>
      </c>
      <c r="BO93" s="18">
        <f>_xlfn.IFNA(INDEX(SAM!$B$8:$HA$215,MATCH($BC93,SAM!$A$8:$A$215,0),MATCH(BO$48,SAM!$B$7:$HA$7,0)),0)</f>
        <v>0</v>
      </c>
      <c r="BP93" s="18">
        <f>_xlfn.IFNA(INDEX(SAM!$B$8:$HA$215,MATCH($BC93,SAM!$A$8:$A$215,0),MATCH(BP$48,SAM!$B$7:$HA$7,0)),0)</f>
        <v>0</v>
      </c>
      <c r="BQ93" s="18">
        <f>_xlfn.IFNA(INDEX(SAM!$B$8:$HA$215,MATCH($BC93,SAM!$A$8:$A$215,0),MATCH(BQ$48,SAM!$B$7:$HA$7,0)),0)</f>
        <v>0</v>
      </c>
      <c r="BR93" s="18">
        <f>_xlfn.IFNA(INDEX(SAM!$B$8:$HA$215,MATCH($BC93,SAM!$A$8:$A$215,0),MATCH(BR$48,SAM!$B$7:$HA$7,0)),0)</f>
        <v>0</v>
      </c>
      <c r="BT93" t="str">
        <f t="shared" si="109"/>
        <v>cbsrv</v>
      </c>
      <c r="BU93" s="7">
        <f t="shared" si="110"/>
        <v>17.888619449516824</v>
      </c>
      <c r="BW93" s="51" t="s">
        <v>208</v>
      </c>
      <c r="BX93" s="43">
        <f t="shared" si="116"/>
        <v>2.8655772991833941</v>
      </c>
    </row>
    <row r="94" spans="1:76" x14ac:dyDescent="0.35">
      <c r="A94" s="26" t="str">
        <f t="shared" si="136"/>
        <v>other services</v>
      </c>
      <c r="B94" s="26" t="s">
        <v>57</v>
      </c>
      <c r="C94" s="45">
        <f t="shared" si="79"/>
        <v>1.3982403123850453</v>
      </c>
      <c r="D94" s="45">
        <f t="shared" si="80"/>
        <v>1.3018353979149566</v>
      </c>
      <c r="E94" s="45">
        <f t="shared" si="81"/>
        <v>2.0060351420424274</v>
      </c>
      <c r="F94" s="45">
        <f t="shared" si="82"/>
        <v>2.5288406177118357</v>
      </c>
      <c r="G94" s="45">
        <f t="shared" si="83"/>
        <v>4.3718820752742307</v>
      </c>
      <c r="H94" s="45">
        <f t="shared" si="84"/>
        <v>1.8085319479092894</v>
      </c>
      <c r="I94" s="45">
        <f t="shared" si="85"/>
        <v>0.73080719950039252</v>
      </c>
      <c r="J94" s="45">
        <f t="shared" si="86"/>
        <v>1.0205168070030932</v>
      </c>
      <c r="K94" s="45">
        <f t="shared" si="87"/>
        <v>1.0754592941660828</v>
      </c>
      <c r="L94" s="45">
        <f t="shared" si="88"/>
        <v>4.204580269288039</v>
      </c>
      <c r="M94" s="45">
        <f t="shared" si="89"/>
        <v>0.55725052275891362</v>
      </c>
      <c r="N94" s="45">
        <f t="shared" si="90"/>
        <v>0.9832525417922211</v>
      </c>
      <c r="O94" s="45">
        <f t="shared" si="91"/>
        <v>0.97603288804420185</v>
      </c>
      <c r="P94" s="45">
        <f t="shared" si="92"/>
        <v>1.5178752660333046</v>
      </c>
      <c r="Q94" s="45">
        <f t="shared" si="93"/>
        <v>3.2524585904312011</v>
      </c>
      <c r="R94" s="45">
        <f t="shared" si="94"/>
        <v>2.6618171068848815</v>
      </c>
      <c r="S94" s="26"/>
      <c r="T94" s="26" t="str">
        <f t="shared" si="137"/>
        <v>osrv</v>
      </c>
      <c r="U94" s="45">
        <f t="shared" si="138"/>
        <v>3.4654389628200302</v>
      </c>
      <c r="V94" s="45">
        <f t="shared" si="139"/>
        <v>4.7617512386632619</v>
      </c>
      <c r="W94" s="45">
        <f t="shared" si="140"/>
        <v>9.8341107087427044</v>
      </c>
      <c r="X94" s="45">
        <f t="shared" si="141"/>
        <v>12.897281917162118</v>
      </c>
      <c r="Y94" s="45">
        <f t="shared" si="142"/>
        <v>20.171459634476633</v>
      </c>
      <c r="Z94" s="45">
        <f t="shared" si="143"/>
        <v>1.5466605695367426</v>
      </c>
      <c r="AA94" s="45">
        <f t="shared" si="144"/>
        <v>0.79064591596640732</v>
      </c>
      <c r="AB94" s="45">
        <f t="shared" si="145"/>
        <v>1.4006650541147834</v>
      </c>
      <c r="AC94" s="45">
        <f t="shared" si="146"/>
        <v>3.9158395690989516</v>
      </c>
      <c r="AD94" s="45">
        <f t="shared" si="147"/>
        <v>14.192260586609573</v>
      </c>
      <c r="AE94" s="45">
        <f t="shared" si="148"/>
        <v>0.24246632104032453</v>
      </c>
      <c r="AF94" s="45">
        <f t="shared" si="149"/>
        <v>1.0871578804937791</v>
      </c>
      <c r="AG94" s="45">
        <f t="shared" si="150"/>
        <v>2.2966487503776341</v>
      </c>
      <c r="AH94" s="45">
        <f t="shared" si="151"/>
        <v>8.7854847743375348</v>
      </c>
      <c r="AI94" s="45">
        <f t="shared" si="152"/>
        <v>127.25170849908775</v>
      </c>
      <c r="AJ94" s="45">
        <f t="shared" si="153"/>
        <v>212.63958038252821</v>
      </c>
      <c r="AK94" s="26"/>
      <c r="AL94" s="26" t="str">
        <f t="shared" si="154"/>
        <v>cosrv</v>
      </c>
      <c r="AM94" s="45">
        <f>_xlfn.IFNA(INDEX(SAM!$B$8:$HA$215,MATCH($AL94,SAM!$A$8:$A$215,0),MATCH(AM$48,SAM!$B$7:$HA$7,0)),0)</f>
        <v>3.4654389628200302</v>
      </c>
      <c r="AN94" s="45">
        <f>_xlfn.IFNA(INDEX(SAM!$B$8:$HA$215,MATCH($AL94,SAM!$A$8:$A$215,0),MATCH(AN$48,SAM!$B$7:$HA$7,0)),0)</f>
        <v>4.7617512386632619</v>
      </c>
      <c r="AO94" s="45">
        <f>_xlfn.IFNA(INDEX(SAM!$B$8:$HA$215,MATCH($AL94,SAM!$A$8:$A$215,0),MATCH(AO$48,SAM!$B$7:$HA$7,0)),0)</f>
        <v>9.8341107087427044</v>
      </c>
      <c r="AP94" s="45">
        <f>_xlfn.IFNA(INDEX(SAM!$B$8:$HA$215,MATCH($AL94,SAM!$A$8:$A$215,0),MATCH(AP$48,SAM!$B$7:$HA$7,0)),0)</f>
        <v>12.897281917162118</v>
      </c>
      <c r="AQ94" s="45">
        <f>_xlfn.IFNA(INDEX(SAM!$B$8:$HA$215,MATCH($AL94,SAM!$A$8:$A$215,0),MATCH(AQ$48,SAM!$B$7:$HA$7,0)),0)</f>
        <v>20.171459634476633</v>
      </c>
      <c r="AR94" s="45">
        <f>_xlfn.IFNA(INDEX(SAM!$B$8:$HA$215,MATCH($AL94,SAM!$A$8:$A$215,0),MATCH(AR$48,SAM!$B$7:$HA$7,0)),0)</f>
        <v>1.5466605695367426</v>
      </c>
      <c r="AS94" s="45">
        <f>_xlfn.IFNA(INDEX(SAM!$B$8:$HA$215,MATCH($AL94,SAM!$A$8:$A$215,0),MATCH(AS$48,SAM!$B$7:$HA$7,0)),0)</f>
        <v>0.79064591596640732</v>
      </c>
      <c r="AT94" s="45">
        <f>_xlfn.IFNA(INDEX(SAM!$B$8:$HA$215,MATCH($AL94,SAM!$A$8:$A$215,0),MATCH(AT$48,SAM!$B$7:$HA$7,0)),0)</f>
        <v>1.4006650541147834</v>
      </c>
      <c r="AU94" s="45">
        <f>_xlfn.IFNA(INDEX(SAM!$B$8:$HA$215,MATCH($AL94,SAM!$A$8:$A$215,0),MATCH(AU$48,SAM!$B$7:$HA$7,0)),0)</f>
        <v>3.9158395690989516</v>
      </c>
      <c r="AV94" s="45">
        <f>_xlfn.IFNA(INDEX(SAM!$B$8:$HA$215,MATCH($AL94,SAM!$A$8:$A$215,0),MATCH(AV$48,SAM!$B$7:$HA$7,0)),0)</f>
        <v>14.192260586609573</v>
      </c>
      <c r="AW94" s="45">
        <f>_xlfn.IFNA(INDEX(SAM!$B$8:$HA$215,MATCH($AL94,SAM!$A$8:$A$215,0),MATCH(AW$48,SAM!$B$7:$HA$7,0)),0)</f>
        <v>0.24246632104032453</v>
      </c>
      <c r="AX94" s="45">
        <f>_xlfn.IFNA(INDEX(SAM!$B$8:$HA$215,MATCH($AL94,SAM!$A$8:$A$215,0),MATCH(AX$48,SAM!$B$7:$HA$7,0)),0)</f>
        <v>1.0871578804937791</v>
      </c>
      <c r="AY94" s="45">
        <f>_xlfn.IFNA(INDEX(SAM!$B$8:$HA$215,MATCH($AL94,SAM!$A$8:$A$215,0),MATCH(AY$48,SAM!$B$7:$HA$7,0)),0)</f>
        <v>2.2966487503776341</v>
      </c>
      <c r="AZ94" s="45">
        <f>_xlfn.IFNA(INDEX(SAM!$B$8:$HA$215,MATCH($AL94,SAM!$A$8:$A$215,0),MATCH(AZ$48,SAM!$B$7:$HA$7,0)),0)</f>
        <v>8.7854847743375348</v>
      </c>
      <c r="BA94" s="45">
        <f>_xlfn.IFNA(INDEX(SAM!$B$8:$HA$215,MATCH($AL94,SAM!$A$8:$A$215,0),MATCH(BA$48,SAM!$B$7:$HA$7,0)),0)</f>
        <v>127.25170849908775</v>
      </c>
      <c r="BB94" s="26"/>
      <c r="BC94" s="26" t="str">
        <f t="shared" si="155"/>
        <v>aosrv</v>
      </c>
      <c r="BD94" s="45">
        <f>_xlfn.IFNA(INDEX(SAM!$B$8:$HA$215,MATCH($BC94,SAM!$A$8:$A$215,0),MATCH(BD$48,SAM!$B$7:$HA$7,0)),0)</f>
        <v>0</v>
      </c>
      <c r="BE94" s="45">
        <f>_xlfn.IFNA(INDEX(SAM!$B$8:$HA$215,MATCH($BC94,SAM!$A$8:$A$215,0),MATCH(BE$48,SAM!$B$7:$HA$7,0)),0)</f>
        <v>0</v>
      </c>
      <c r="BF94" s="45">
        <f>_xlfn.IFNA(INDEX(SAM!$B$8:$HA$215,MATCH($BC94,SAM!$A$8:$A$215,0),MATCH(BF$48,SAM!$B$7:$HA$7,0)),0)</f>
        <v>0</v>
      </c>
      <c r="BG94" s="45">
        <f>_xlfn.IFNA(INDEX(SAM!$B$8:$HA$215,MATCH($BC94,SAM!$A$8:$A$215,0),MATCH(BG$48,SAM!$B$7:$HA$7,0)),0)</f>
        <v>0</v>
      </c>
      <c r="BH94" s="45">
        <f>_xlfn.IFNA(INDEX(SAM!$B$8:$HA$215,MATCH($BC94,SAM!$A$8:$A$215,0),MATCH(BH$48,SAM!$B$7:$HA$7,0)),0)</f>
        <v>0</v>
      </c>
      <c r="BI94" s="45">
        <f>_xlfn.IFNA(INDEX(SAM!$B$8:$HA$215,MATCH($BC94,SAM!$A$8:$A$215,0),MATCH(BI$48,SAM!$B$7:$HA$7,0)),0)</f>
        <v>0</v>
      </c>
      <c r="BJ94" s="45">
        <f>_xlfn.IFNA(INDEX(SAM!$B$8:$HA$215,MATCH($BC94,SAM!$A$8:$A$215,0),MATCH(BJ$48,SAM!$B$7:$HA$7,0)),0)</f>
        <v>0</v>
      </c>
      <c r="BK94" s="45">
        <f>_xlfn.IFNA(INDEX(SAM!$B$8:$HA$215,MATCH($BC94,SAM!$A$8:$A$215,0),MATCH(BK$48,SAM!$B$7:$HA$7,0)),0)</f>
        <v>0</v>
      </c>
      <c r="BL94" s="45">
        <f>_xlfn.IFNA(INDEX(SAM!$B$8:$HA$215,MATCH($BC94,SAM!$A$8:$A$215,0),MATCH(BL$48,SAM!$B$7:$HA$7,0)),0)</f>
        <v>0</v>
      </c>
      <c r="BM94" s="45">
        <f>_xlfn.IFNA(INDEX(SAM!$B$8:$HA$215,MATCH($BC94,SAM!$A$8:$A$215,0),MATCH(BM$48,SAM!$B$7:$HA$7,0)),0)</f>
        <v>0</v>
      </c>
      <c r="BN94" s="45">
        <f>_xlfn.IFNA(INDEX(SAM!$B$8:$HA$215,MATCH($BC94,SAM!$A$8:$A$215,0),MATCH(BN$48,SAM!$B$7:$HA$7,0)),0)</f>
        <v>0</v>
      </c>
      <c r="BO94" s="45">
        <f>_xlfn.IFNA(INDEX(SAM!$B$8:$HA$215,MATCH($BC94,SAM!$A$8:$A$215,0),MATCH(BO$48,SAM!$B$7:$HA$7,0)),0)</f>
        <v>0</v>
      </c>
      <c r="BP94" s="45">
        <f>_xlfn.IFNA(INDEX(SAM!$B$8:$HA$215,MATCH($BC94,SAM!$A$8:$A$215,0),MATCH(BP$48,SAM!$B$7:$HA$7,0)),0)</f>
        <v>0</v>
      </c>
      <c r="BQ94" s="45">
        <f>_xlfn.IFNA(INDEX(SAM!$B$8:$HA$215,MATCH($BC94,SAM!$A$8:$A$215,0),MATCH(BQ$48,SAM!$B$7:$HA$7,0)),0)</f>
        <v>0</v>
      </c>
      <c r="BR94" s="45">
        <f>_xlfn.IFNA(INDEX(SAM!$B$8:$HA$215,MATCH($BC94,SAM!$A$8:$A$215,0),MATCH(BR$48,SAM!$B$7:$HA$7,0)),0)</f>
        <v>0</v>
      </c>
      <c r="BT94" t="str">
        <f t="shared" si="109"/>
        <v>cosrv</v>
      </c>
      <c r="BU94" s="7">
        <f t="shared" si="110"/>
        <v>212.63958038252821</v>
      </c>
      <c r="BW94" s="51" t="s">
        <v>209</v>
      </c>
      <c r="BX94" s="43">
        <f t="shared" si="116"/>
        <v>2.6618171068848815</v>
      </c>
    </row>
    <row r="95" spans="1:76" x14ac:dyDescent="0.35">
      <c r="A95" s="1"/>
      <c r="B95" s="1" t="s">
        <v>127</v>
      </c>
      <c r="C95" s="33">
        <f t="shared" ref="C95:R95" si="156">SUM(C49:C94)</f>
        <v>100.00000000000001</v>
      </c>
      <c r="D95" s="33">
        <f t="shared" si="156"/>
        <v>99.999999999999957</v>
      </c>
      <c r="E95" s="33">
        <f t="shared" si="156"/>
        <v>100.00000000000001</v>
      </c>
      <c r="F95" s="33">
        <f t="shared" si="156"/>
        <v>99.999999999999957</v>
      </c>
      <c r="G95" s="33">
        <f t="shared" si="156"/>
        <v>100.00000000000001</v>
      </c>
      <c r="H95" s="33">
        <f t="shared" si="156"/>
        <v>99.999999999999943</v>
      </c>
      <c r="I95" s="33">
        <f t="shared" si="156"/>
        <v>99.999999999999972</v>
      </c>
      <c r="J95" s="33">
        <f t="shared" si="156"/>
        <v>99.999999999999986</v>
      </c>
      <c r="K95" s="33">
        <f t="shared" si="156"/>
        <v>100</v>
      </c>
      <c r="L95" s="33">
        <f t="shared" si="156"/>
        <v>100</v>
      </c>
      <c r="M95" s="33">
        <f t="shared" si="156"/>
        <v>99.999999999999986</v>
      </c>
      <c r="N95" s="33">
        <f t="shared" si="156"/>
        <v>100.00000000000001</v>
      </c>
      <c r="O95" s="33">
        <f t="shared" si="156"/>
        <v>100.00000000000001</v>
      </c>
      <c r="P95" s="33">
        <f t="shared" si="156"/>
        <v>99.999999999999986</v>
      </c>
      <c r="Q95" s="33">
        <f t="shared" si="156"/>
        <v>100</v>
      </c>
      <c r="R95" s="33">
        <f t="shared" si="156"/>
        <v>100</v>
      </c>
      <c r="T95" s="1" t="str">
        <f t="shared" si="137"/>
        <v>Total</v>
      </c>
      <c r="U95" s="33">
        <f t="shared" ref="U95:AJ95" si="157">SUM(U49:U94)</f>
        <v>247.84287308301569</v>
      </c>
      <c r="V95" s="33">
        <f t="shared" si="157"/>
        <v>365.77214341304358</v>
      </c>
      <c r="W95" s="33">
        <f t="shared" si="157"/>
        <v>490.22624293262322</v>
      </c>
      <c r="X95" s="33">
        <f t="shared" si="157"/>
        <v>510.00770182313551</v>
      </c>
      <c r="Y95" s="33">
        <f t="shared" si="157"/>
        <v>461.39075316232902</v>
      </c>
      <c r="Z95" s="33">
        <f t="shared" si="157"/>
        <v>85.520223810517862</v>
      </c>
      <c r="AA95" s="33">
        <f t="shared" si="157"/>
        <v>108.18803051022525</v>
      </c>
      <c r="AB95" s="33">
        <f t="shared" si="157"/>
        <v>137.2505621174486</v>
      </c>
      <c r="AC95" s="33">
        <f t="shared" si="157"/>
        <v>364.10858043077457</v>
      </c>
      <c r="AD95" s="33">
        <f t="shared" si="157"/>
        <v>337.54286225133114</v>
      </c>
      <c r="AE95" s="33">
        <f t="shared" si="157"/>
        <v>43.51118772215564</v>
      </c>
      <c r="AF95" s="33">
        <f t="shared" si="157"/>
        <v>110.56751284997087</v>
      </c>
      <c r="AG95" s="33">
        <f t="shared" si="157"/>
        <v>235.3044429660269</v>
      </c>
      <c r="AH95" s="33">
        <f t="shared" si="157"/>
        <v>578.80149778689179</v>
      </c>
      <c r="AI95" s="33">
        <f t="shared" si="157"/>
        <v>3912.4774370214845</v>
      </c>
      <c r="AJ95" s="33">
        <f t="shared" si="157"/>
        <v>7988.5120518809745</v>
      </c>
      <c r="BT95" s="1" t="s">
        <v>126</v>
      </c>
      <c r="BU95" s="33">
        <f>SUM(BU49:BU94)</f>
        <v>7988.5120518809745</v>
      </c>
    </row>
    <row r="97" spans="1:70" s="34" customFormat="1" x14ac:dyDescent="0.35"/>
    <row r="98" spans="1:70" x14ac:dyDescent="0.35">
      <c r="A98" t="s">
        <v>640</v>
      </c>
    </row>
    <row r="99" spans="1:70" x14ac:dyDescent="0.35">
      <c r="A99" t="s">
        <v>639</v>
      </c>
      <c r="S99" s="1" t="s">
        <v>674</v>
      </c>
    </row>
    <row r="100" spans="1:70" x14ac:dyDescent="0.35">
      <c r="C100" s="153" t="s">
        <v>606</v>
      </c>
      <c r="D100" s="153"/>
      <c r="E100" s="153"/>
      <c r="F100" s="153"/>
      <c r="G100" s="154"/>
      <c r="H100" s="155" t="s">
        <v>607</v>
      </c>
      <c r="I100" s="153"/>
      <c r="J100" s="153"/>
      <c r="K100" s="153"/>
      <c r="L100" s="154"/>
      <c r="M100" s="153" t="s">
        <v>468</v>
      </c>
      <c r="N100" s="153"/>
      <c r="O100" s="153"/>
      <c r="P100" s="153"/>
      <c r="Q100" s="154"/>
      <c r="T100" s="153" t="s">
        <v>606</v>
      </c>
      <c r="U100" s="153"/>
      <c r="V100" s="153"/>
      <c r="W100" s="153"/>
      <c r="X100" s="154"/>
      <c r="Y100" s="155" t="s">
        <v>607</v>
      </c>
      <c r="Z100" s="153"/>
      <c r="AA100" s="153"/>
      <c r="AB100" s="153"/>
      <c r="AC100" s="154"/>
      <c r="AD100" s="153" t="s">
        <v>468</v>
      </c>
      <c r="AE100" s="153"/>
      <c r="AF100" s="153"/>
      <c r="AG100" s="153"/>
      <c r="AH100" s="154"/>
    </row>
    <row r="101" spans="1:70" x14ac:dyDescent="0.35">
      <c r="A101" s="85"/>
      <c r="B101" s="39"/>
      <c r="C101" s="35" t="s">
        <v>217</v>
      </c>
      <c r="D101" s="35" t="s">
        <v>218</v>
      </c>
      <c r="E101" s="35" t="s">
        <v>219</v>
      </c>
      <c r="F101" s="35" t="s">
        <v>220</v>
      </c>
      <c r="G101" s="36" t="s">
        <v>221</v>
      </c>
      <c r="H101" s="37" t="s">
        <v>595</v>
      </c>
      <c r="I101" s="35" t="s">
        <v>596</v>
      </c>
      <c r="J101" s="35" t="s">
        <v>597</v>
      </c>
      <c r="K101" s="35" t="s">
        <v>598</v>
      </c>
      <c r="L101" s="36" t="s">
        <v>599</v>
      </c>
      <c r="M101" s="35" t="s">
        <v>222</v>
      </c>
      <c r="N101" s="35" t="s">
        <v>223</v>
      </c>
      <c r="O101" s="35" t="s">
        <v>224</v>
      </c>
      <c r="P101" s="35" t="s">
        <v>225</v>
      </c>
      <c r="Q101" s="36" t="s">
        <v>226</v>
      </c>
      <c r="R101" s="172" t="s">
        <v>671</v>
      </c>
      <c r="S101" s="173"/>
      <c r="T101" s="35" t="s">
        <v>217</v>
      </c>
      <c r="U101" s="35" t="s">
        <v>218</v>
      </c>
      <c r="V101" s="35" t="s">
        <v>219</v>
      </c>
      <c r="W101" s="35" t="s">
        <v>220</v>
      </c>
      <c r="X101" s="36" t="s">
        <v>221</v>
      </c>
      <c r="Y101" s="37" t="s">
        <v>595</v>
      </c>
      <c r="Z101" s="35" t="s">
        <v>596</v>
      </c>
      <c r="AA101" s="35" t="s">
        <v>597</v>
      </c>
      <c r="AB101" s="35" t="s">
        <v>598</v>
      </c>
      <c r="AC101" s="36" t="s">
        <v>599</v>
      </c>
      <c r="AD101" s="35" t="s">
        <v>222</v>
      </c>
      <c r="AE101" s="35" t="s">
        <v>223</v>
      </c>
      <c r="AF101" s="35" t="s">
        <v>224</v>
      </c>
      <c r="AG101" s="35" t="s">
        <v>225</v>
      </c>
      <c r="AH101" s="36" t="s">
        <v>226</v>
      </c>
    </row>
    <row r="102" spans="1:70" x14ac:dyDescent="0.35">
      <c r="A102" s="91" t="str">
        <f>S102</f>
        <v>given</v>
      </c>
      <c r="B102" s="92" t="s">
        <v>616</v>
      </c>
      <c r="C102" s="93">
        <f t="shared" ref="C102:C114" si="158">IF(C19&gt;0,C19*T102,"")</f>
        <v>10.528367301272397</v>
      </c>
      <c r="D102" s="93">
        <f t="shared" ref="D102:D114" si="159">IF(D19&gt;0,D19*U102,"")</f>
        <v>8.8449266268422377</v>
      </c>
      <c r="E102" s="93">
        <f t="shared" ref="E102:E114" si="160">IF(E19&gt;0,E19*V102,"")</f>
        <v>6.3001667198307771</v>
      </c>
      <c r="F102" s="93">
        <f t="shared" ref="F102:F114" si="161">IF(F19&gt;0,F19*W102,"")</f>
        <v>5.8382432053870907</v>
      </c>
      <c r="G102" s="94">
        <f t="shared" ref="G102:G114" si="162">IF(G19&gt;0,G19*X102,"")</f>
        <v>3.4555383723919029</v>
      </c>
      <c r="H102" s="95">
        <f t="shared" ref="H102:H114" si="163">IF(H19&gt;0,H19*Y102,"")</f>
        <v>11.001640346865626</v>
      </c>
      <c r="I102" s="93">
        <f t="shared" ref="I102:I114" si="164">IF(I19&gt;0,I19*Z102,"")</f>
        <v>7.3226828762829168</v>
      </c>
      <c r="J102" s="93">
        <f t="shared" ref="J102:J114" si="165">IF(J19&gt;0,J19*AA102,"")</f>
        <v>5.9042738700423048</v>
      </c>
      <c r="K102" s="93">
        <f t="shared" ref="K102:K114" si="166">IF(K19&gt;0,K19*AB102,"")</f>
        <v>2.5801309063560165</v>
      </c>
      <c r="L102" s="94">
        <f t="shared" ref="L102:L114" si="167">IF(L19&gt;0,L19*AC102,"")</f>
        <v>2.5813341349866419</v>
      </c>
      <c r="M102" s="93">
        <f t="shared" ref="M102:M114" si="168">IF(M19&gt;0,M19*AD102,"")</f>
        <v>9.967125213806252</v>
      </c>
      <c r="N102" s="93">
        <f t="shared" ref="N102:N114" si="169">IF(N19&gt;0,N19*AE102,"")</f>
        <v>7.4522536741120913</v>
      </c>
      <c r="O102" s="93">
        <f t="shared" ref="O102:O114" si="170">IF(O19&gt;0,O19*AF102,"")</f>
        <v>5.3054925444112975</v>
      </c>
      <c r="P102" s="93">
        <f t="shared" ref="P102:P114" si="171">IF(P19&gt;0,P19*AG102,"")</f>
        <v>3.3674304877006147</v>
      </c>
      <c r="Q102" s="94">
        <f t="shared" ref="Q102:Q114" si="172">IF(Q19&gt;0,Q19*AH102,"")</f>
        <v>1.1826318918002223</v>
      </c>
      <c r="R102" s="112" t="s">
        <v>616</v>
      </c>
      <c r="S102" s="106" t="s">
        <v>657</v>
      </c>
      <c r="T102" s="63">
        <v>0.5</v>
      </c>
      <c r="U102" s="63">
        <f>T102</f>
        <v>0.5</v>
      </c>
      <c r="V102" s="63">
        <f t="shared" ref="V102:AH102" si="173">U102</f>
        <v>0.5</v>
      </c>
      <c r="W102" s="63">
        <f t="shared" si="173"/>
        <v>0.5</v>
      </c>
      <c r="X102" s="64">
        <f t="shared" si="173"/>
        <v>0.5</v>
      </c>
      <c r="Y102" s="65">
        <f t="shared" si="173"/>
        <v>0.5</v>
      </c>
      <c r="Z102" s="63">
        <f t="shared" si="173"/>
        <v>0.5</v>
      </c>
      <c r="AA102" s="63">
        <f t="shared" si="173"/>
        <v>0.5</v>
      </c>
      <c r="AB102" s="63">
        <f t="shared" si="173"/>
        <v>0.5</v>
      </c>
      <c r="AC102" s="64">
        <f t="shared" si="173"/>
        <v>0.5</v>
      </c>
      <c r="AD102" s="63">
        <f t="shared" si="173"/>
        <v>0.5</v>
      </c>
      <c r="AE102" s="63">
        <f t="shared" si="173"/>
        <v>0.5</v>
      </c>
      <c r="AF102" s="63">
        <f t="shared" si="173"/>
        <v>0.5</v>
      </c>
      <c r="AG102" s="63">
        <f t="shared" si="173"/>
        <v>0.5</v>
      </c>
      <c r="AH102" s="64">
        <f t="shared" si="173"/>
        <v>0.5</v>
      </c>
    </row>
    <row r="103" spans="1:70" x14ac:dyDescent="0.35">
      <c r="A103" s="91" t="str">
        <f t="shared" ref="A103:A122" si="174">S103</f>
        <v>given</v>
      </c>
      <c r="B103" s="92" t="s">
        <v>618</v>
      </c>
      <c r="C103" s="93">
        <f t="shared" si="158"/>
        <v>3.1031996710812555</v>
      </c>
      <c r="D103" s="93">
        <f t="shared" si="159"/>
        <v>3.3056647764111342</v>
      </c>
      <c r="E103" s="93">
        <f t="shared" si="160"/>
        <v>3.1906068638542764</v>
      </c>
      <c r="F103" s="93">
        <f t="shared" si="161"/>
        <v>3.0217646887842098</v>
      </c>
      <c r="G103" s="94">
        <f t="shared" si="162"/>
        <v>2.311666287714961</v>
      </c>
      <c r="H103" s="95">
        <f t="shared" si="163"/>
        <v>1.9219815736426455</v>
      </c>
      <c r="I103" s="93">
        <f t="shared" si="164"/>
        <v>2.8494956882136964</v>
      </c>
      <c r="J103" s="93">
        <f t="shared" si="165"/>
        <v>2.8170118237301427</v>
      </c>
      <c r="K103" s="93">
        <f t="shared" si="166"/>
        <v>1.4580827911357142</v>
      </c>
      <c r="L103" s="94">
        <f t="shared" si="167"/>
        <v>1.7537577178521824</v>
      </c>
      <c r="M103" s="93">
        <f t="shared" si="168"/>
        <v>2.3106869392196727</v>
      </c>
      <c r="N103" s="93">
        <f t="shared" si="169"/>
        <v>2.6566380282080786</v>
      </c>
      <c r="O103" s="93">
        <f t="shared" si="170"/>
        <v>2.3992798151986356</v>
      </c>
      <c r="P103" s="93">
        <f t="shared" si="171"/>
        <v>2.1373764386243943</v>
      </c>
      <c r="Q103" s="94">
        <f t="shared" si="172"/>
        <v>0.87868547033006661</v>
      </c>
      <c r="R103" s="112" t="s">
        <v>618</v>
      </c>
      <c r="S103" s="106" t="s">
        <v>657</v>
      </c>
      <c r="T103" s="63">
        <v>0.5</v>
      </c>
      <c r="U103" s="63">
        <f t="shared" ref="U103:AH103" si="175">T103</f>
        <v>0.5</v>
      </c>
      <c r="V103" s="63">
        <f t="shared" si="175"/>
        <v>0.5</v>
      </c>
      <c r="W103" s="63">
        <f t="shared" si="175"/>
        <v>0.5</v>
      </c>
      <c r="X103" s="64">
        <f t="shared" si="175"/>
        <v>0.5</v>
      </c>
      <c r="Y103" s="65">
        <f t="shared" si="175"/>
        <v>0.5</v>
      </c>
      <c r="Z103" s="63">
        <f t="shared" si="175"/>
        <v>0.5</v>
      </c>
      <c r="AA103" s="63">
        <f t="shared" si="175"/>
        <v>0.5</v>
      </c>
      <c r="AB103" s="63">
        <f t="shared" si="175"/>
        <v>0.5</v>
      </c>
      <c r="AC103" s="64">
        <f t="shared" si="175"/>
        <v>0.5</v>
      </c>
      <c r="AD103" s="63">
        <f t="shared" si="175"/>
        <v>0.5</v>
      </c>
      <c r="AE103" s="63">
        <f t="shared" si="175"/>
        <v>0.5</v>
      </c>
      <c r="AF103" s="63">
        <f t="shared" si="175"/>
        <v>0.5</v>
      </c>
      <c r="AG103" s="63">
        <f t="shared" si="175"/>
        <v>0.5</v>
      </c>
      <c r="AH103" s="64">
        <f t="shared" si="175"/>
        <v>0.5</v>
      </c>
    </row>
    <row r="104" spans="1:70" x14ac:dyDescent="0.35">
      <c r="A104" s="91" t="str">
        <f t="shared" si="174"/>
        <v>given</v>
      </c>
      <c r="B104" s="92" t="s">
        <v>617</v>
      </c>
      <c r="C104" s="93">
        <f t="shared" si="158"/>
        <v>3.6110797226291695</v>
      </c>
      <c r="D104" s="93">
        <f t="shared" si="159"/>
        <v>3.3829827540925459</v>
      </c>
      <c r="E104" s="93">
        <f t="shared" si="160"/>
        <v>2.7802629753363712</v>
      </c>
      <c r="F104" s="93">
        <f t="shared" si="161"/>
        <v>2.4890836215155496</v>
      </c>
      <c r="G104" s="94">
        <f t="shared" si="162"/>
        <v>1.8546213800409541</v>
      </c>
      <c r="H104" s="95">
        <f t="shared" si="163"/>
        <v>3.0779624913338477</v>
      </c>
      <c r="I104" s="93">
        <f t="shared" si="164"/>
        <v>2.8082327380589609</v>
      </c>
      <c r="J104" s="93">
        <f t="shared" si="165"/>
        <v>2.2566928394475352</v>
      </c>
      <c r="K104" s="93">
        <f t="shared" si="166"/>
        <v>1.1463109421546933</v>
      </c>
      <c r="L104" s="94">
        <f t="shared" si="167"/>
        <v>1.1943514648680409</v>
      </c>
      <c r="M104" s="93">
        <f t="shared" si="168"/>
        <v>2.9247197209509177</v>
      </c>
      <c r="N104" s="93">
        <f t="shared" si="169"/>
        <v>2.4970205465530371</v>
      </c>
      <c r="O104" s="93">
        <f t="shared" si="170"/>
        <v>1.9382809071584965</v>
      </c>
      <c r="P104" s="93">
        <f t="shared" si="171"/>
        <v>1.2332050395210841</v>
      </c>
      <c r="Q104" s="94">
        <f t="shared" si="172"/>
        <v>0.4732377232537836</v>
      </c>
      <c r="R104" s="112" t="s">
        <v>617</v>
      </c>
      <c r="S104" s="106" t="s">
        <v>657</v>
      </c>
      <c r="T104" s="63">
        <v>0.8</v>
      </c>
      <c r="U104" s="63">
        <f t="shared" ref="U104:AH104" si="176">T104</f>
        <v>0.8</v>
      </c>
      <c r="V104" s="63">
        <f t="shared" si="176"/>
        <v>0.8</v>
      </c>
      <c r="W104" s="63">
        <f t="shared" si="176"/>
        <v>0.8</v>
      </c>
      <c r="X104" s="64">
        <f t="shared" si="176"/>
        <v>0.8</v>
      </c>
      <c r="Y104" s="65">
        <f t="shared" si="176"/>
        <v>0.8</v>
      </c>
      <c r="Z104" s="63">
        <f t="shared" si="176"/>
        <v>0.8</v>
      </c>
      <c r="AA104" s="63">
        <f t="shared" si="176"/>
        <v>0.8</v>
      </c>
      <c r="AB104" s="63">
        <f t="shared" si="176"/>
        <v>0.8</v>
      </c>
      <c r="AC104" s="64">
        <f t="shared" si="176"/>
        <v>0.8</v>
      </c>
      <c r="AD104" s="63">
        <f t="shared" si="176"/>
        <v>0.8</v>
      </c>
      <c r="AE104" s="63">
        <f t="shared" si="176"/>
        <v>0.8</v>
      </c>
      <c r="AF104" s="63">
        <f t="shared" si="176"/>
        <v>0.8</v>
      </c>
      <c r="AG104" s="63">
        <f t="shared" si="176"/>
        <v>0.8</v>
      </c>
      <c r="AH104" s="64">
        <f t="shared" si="176"/>
        <v>0.8</v>
      </c>
    </row>
    <row r="105" spans="1:70" x14ac:dyDescent="0.35">
      <c r="A105" s="91" t="str">
        <f t="shared" si="174"/>
        <v>given</v>
      </c>
      <c r="B105" s="92" t="s">
        <v>725</v>
      </c>
      <c r="C105" s="93">
        <f t="shared" si="158"/>
        <v>8.7097510287002109</v>
      </c>
      <c r="D105" s="93">
        <f t="shared" si="159"/>
        <v>8.4553611646796298</v>
      </c>
      <c r="E105" s="93">
        <f t="shared" si="160"/>
        <v>7.0630648154031519</v>
      </c>
      <c r="F105" s="93">
        <f t="shared" si="161"/>
        <v>6.3762904468463937</v>
      </c>
      <c r="G105" s="94">
        <f t="shared" si="162"/>
        <v>4.4488182277068722</v>
      </c>
      <c r="H105" s="95">
        <f t="shared" si="163"/>
        <v>6.4972618431190448</v>
      </c>
      <c r="I105" s="93">
        <f t="shared" si="164"/>
        <v>6.9946733870074711</v>
      </c>
      <c r="J105" s="93">
        <f t="shared" si="165"/>
        <v>6.2826996526921342</v>
      </c>
      <c r="K105" s="93">
        <f t="shared" si="166"/>
        <v>3.6241736126609569</v>
      </c>
      <c r="L105" s="94">
        <f t="shared" si="167"/>
        <v>3.9454780806177272</v>
      </c>
      <c r="M105" s="93">
        <f t="shared" si="168"/>
        <v>10.640819150873607</v>
      </c>
      <c r="N105" s="93">
        <f t="shared" si="169"/>
        <v>9.4647451461383785</v>
      </c>
      <c r="O105" s="93">
        <f t="shared" si="170"/>
        <v>8.0221266323199103</v>
      </c>
      <c r="P105" s="93">
        <f t="shared" si="171"/>
        <v>7.0430012073753865</v>
      </c>
      <c r="Q105" s="94">
        <f t="shared" si="172"/>
        <v>3.2967138561535734</v>
      </c>
      <c r="R105" s="112" t="s">
        <v>725</v>
      </c>
      <c r="S105" s="106" t="s">
        <v>657</v>
      </c>
      <c r="T105" s="63">
        <v>0.8</v>
      </c>
      <c r="U105" s="63">
        <f t="shared" ref="U105:AH105" si="177">T105</f>
        <v>0.8</v>
      </c>
      <c r="V105" s="63">
        <f t="shared" si="177"/>
        <v>0.8</v>
      </c>
      <c r="W105" s="63">
        <f t="shared" si="177"/>
        <v>0.8</v>
      </c>
      <c r="X105" s="64">
        <f t="shared" si="177"/>
        <v>0.8</v>
      </c>
      <c r="Y105" s="65">
        <f t="shared" si="177"/>
        <v>0.8</v>
      </c>
      <c r="Z105" s="63">
        <f t="shared" si="177"/>
        <v>0.8</v>
      </c>
      <c r="AA105" s="63">
        <f t="shared" si="177"/>
        <v>0.8</v>
      </c>
      <c r="AB105" s="63">
        <f t="shared" si="177"/>
        <v>0.8</v>
      </c>
      <c r="AC105" s="64">
        <f t="shared" si="177"/>
        <v>0.8</v>
      </c>
      <c r="AD105" s="63">
        <f t="shared" si="177"/>
        <v>0.8</v>
      </c>
      <c r="AE105" s="63">
        <f t="shared" si="177"/>
        <v>0.8</v>
      </c>
      <c r="AF105" s="63">
        <f t="shared" si="177"/>
        <v>0.8</v>
      </c>
      <c r="AG105" s="63">
        <f t="shared" si="177"/>
        <v>0.8</v>
      </c>
      <c r="AH105" s="64">
        <f t="shared" si="177"/>
        <v>0.8</v>
      </c>
    </row>
    <row r="106" spans="1:70" x14ac:dyDescent="0.35">
      <c r="A106" s="91" t="str">
        <f t="shared" si="174"/>
        <v>given</v>
      </c>
      <c r="B106" s="92" t="s">
        <v>620</v>
      </c>
      <c r="C106" s="93">
        <f t="shared" si="158"/>
        <v>2.2739280326175844</v>
      </c>
      <c r="D106" s="93">
        <f t="shared" si="159"/>
        <v>2.9896457049772414</v>
      </c>
      <c r="E106" s="93">
        <f t="shared" si="160"/>
        <v>3.4147612500438371</v>
      </c>
      <c r="F106" s="93">
        <f t="shared" si="161"/>
        <v>3.1732349232730575</v>
      </c>
      <c r="G106" s="94">
        <f t="shared" si="162"/>
        <v>2.7927173157194378</v>
      </c>
      <c r="H106" s="95">
        <f t="shared" si="163"/>
        <v>2.4174839138138471</v>
      </c>
      <c r="I106" s="93">
        <f t="shared" si="164"/>
        <v>14.292925732532256</v>
      </c>
      <c r="J106" s="93">
        <f t="shared" si="165"/>
        <v>4.1449335419785518</v>
      </c>
      <c r="K106" s="93">
        <f t="shared" si="166"/>
        <v>1.8604921964997907</v>
      </c>
      <c r="L106" s="94">
        <f t="shared" si="167"/>
        <v>2.9876762186753312</v>
      </c>
      <c r="M106" s="93">
        <f t="shared" si="168"/>
        <v>2.479258118523735</v>
      </c>
      <c r="N106" s="93">
        <f t="shared" si="169"/>
        <v>2.5499616060925341</v>
      </c>
      <c r="O106" s="93">
        <f t="shared" si="170"/>
        <v>2.7127258420249283</v>
      </c>
      <c r="P106" s="93">
        <f t="shared" si="171"/>
        <v>2.9418437586524142</v>
      </c>
      <c r="Q106" s="94">
        <f t="shared" si="172"/>
        <v>1.7901277775817046</v>
      </c>
      <c r="R106" s="112" t="s">
        <v>620</v>
      </c>
      <c r="S106" s="106" t="s">
        <v>657</v>
      </c>
      <c r="T106" s="63">
        <v>0.9</v>
      </c>
      <c r="U106" s="63">
        <f t="shared" ref="U106:AH106" si="178">T106</f>
        <v>0.9</v>
      </c>
      <c r="V106" s="63">
        <f t="shared" si="178"/>
        <v>0.9</v>
      </c>
      <c r="W106" s="63">
        <f t="shared" si="178"/>
        <v>0.9</v>
      </c>
      <c r="X106" s="64">
        <f t="shared" si="178"/>
        <v>0.9</v>
      </c>
      <c r="Y106" s="65">
        <f t="shared" si="178"/>
        <v>0.9</v>
      </c>
      <c r="Z106" s="63">
        <f t="shared" si="178"/>
        <v>0.9</v>
      </c>
      <c r="AA106" s="63">
        <f t="shared" si="178"/>
        <v>0.9</v>
      </c>
      <c r="AB106" s="63">
        <f t="shared" si="178"/>
        <v>0.9</v>
      </c>
      <c r="AC106" s="64">
        <f t="shared" si="178"/>
        <v>0.9</v>
      </c>
      <c r="AD106" s="63">
        <f t="shared" si="178"/>
        <v>0.9</v>
      </c>
      <c r="AE106" s="63">
        <f t="shared" si="178"/>
        <v>0.9</v>
      </c>
      <c r="AF106" s="63">
        <f t="shared" si="178"/>
        <v>0.9</v>
      </c>
      <c r="AG106" s="63">
        <f t="shared" si="178"/>
        <v>0.9</v>
      </c>
      <c r="AH106" s="64">
        <f t="shared" si="178"/>
        <v>0.9</v>
      </c>
    </row>
    <row r="107" spans="1:70" x14ac:dyDescent="0.35">
      <c r="A107" s="91" t="str">
        <f t="shared" si="174"/>
        <v>given</v>
      </c>
      <c r="B107" s="92" t="s">
        <v>621</v>
      </c>
      <c r="C107" s="93">
        <f t="shared" si="158"/>
        <v>4.4439908684894176</v>
      </c>
      <c r="D107" s="93">
        <f t="shared" si="159"/>
        <v>2.9760003050104595</v>
      </c>
      <c r="E107" s="93">
        <f t="shared" si="160"/>
        <v>3.4671165369990762</v>
      </c>
      <c r="F107" s="93">
        <f t="shared" si="161"/>
        <v>4.0520619155177817</v>
      </c>
      <c r="G107" s="94">
        <f t="shared" si="162"/>
        <v>4.541034127120807</v>
      </c>
      <c r="H107" s="95">
        <f t="shared" si="163"/>
        <v>2.4077543861330892</v>
      </c>
      <c r="I107" s="93">
        <f t="shared" si="164"/>
        <v>2.8100392604280318</v>
      </c>
      <c r="J107" s="93">
        <f t="shared" si="165"/>
        <v>3.7389026971361723</v>
      </c>
      <c r="K107" s="93">
        <f t="shared" si="166"/>
        <v>3.9381985879889774</v>
      </c>
      <c r="L107" s="94">
        <f t="shared" si="167"/>
        <v>7.1134223204106908</v>
      </c>
      <c r="M107" s="93">
        <f t="shared" si="168"/>
        <v>2.2230103273774224</v>
      </c>
      <c r="N107" s="93">
        <f t="shared" si="169"/>
        <v>2.6398188877020683</v>
      </c>
      <c r="O107" s="93">
        <f t="shared" si="170"/>
        <v>3.8638593287313476</v>
      </c>
      <c r="P107" s="93">
        <f t="shared" si="171"/>
        <v>4.4767041953950537</v>
      </c>
      <c r="Q107" s="94">
        <f t="shared" si="172"/>
        <v>10.15089441624953</v>
      </c>
      <c r="R107" s="112" t="s">
        <v>621</v>
      </c>
      <c r="S107" s="106" t="s">
        <v>657</v>
      </c>
      <c r="T107" s="63">
        <v>0.9</v>
      </c>
      <c r="U107" s="63">
        <f t="shared" ref="U107:AH107" si="179">T107</f>
        <v>0.9</v>
      </c>
      <c r="V107" s="63">
        <f t="shared" si="179"/>
        <v>0.9</v>
      </c>
      <c r="W107" s="63">
        <f t="shared" si="179"/>
        <v>0.9</v>
      </c>
      <c r="X107" s="64">
        <f t="shared" si="179"/>
        <v>0.9</v>
      </c>
      <c r="Y107" s="65">
        <f t="shared" si="179"/>
        <v>0.9</v>
      </c>
      <c r="Z107" s="63">
        <f t="shared" si="179"/>
        <v>0.9</v>
      </c>
      <c r="AA107" s="63">
        <f t="shared" si="179"/>
        <v>0.9</v>
      </c>
      <c r="AB107" s="63">
        <f t="shared" si="179"/>
        <v>0.9</v>
      </c>
      <c r="AC107" s="64">
        <f t="shared" si="179"/>
        <v>0.9</v>
      </c>
      <c r="AD107" s="63">
        <f t="shared" si="179"/>
        <v>0.9</v>
      </c>
      <c r="AE107" s="63">
        <f t="shared" si="179"/>
        <v>0.9</v>
      </c>
      <c r="AF107" s="63">
        <f t="shared" si="179"/>
        <v>0.9</v>
      </c>
      <c r="AG107" s="63">
        <f t="shared" si="179"/>
        <v>0.9</v>
      </c>
      <c r="AH107" s="64">
        <f t="shared" si="179"/>
        <v>0.9</v>
      </c>
    </row>
    <row r="108" spans="1:70" x14ac:dyDescent="0.35">
      <c r="A108" s="91" t="str">
        <f t="shared" si="174"/>
        <v>given</v>
      </c>
      <c r="B108" s="92" t="s">
        <v>622</v>
      </c>
      <c r="C108" s="93">
        <f t="shared" si="158"/>
        <v>3.4842904447713821</v>
      </c>
      <c r="D108" s="93">
        <f t="shared" si="159"/>
        <v>3.279890711946436</v>
      </c>
      <c r="E108" s="93">
        <f t="shared" si="160"/>
        <v>2.8801311926694759</v>
      </c>
      <c r="F108" s="93">
        <f t="shared" si="161"/>
        <v>3.0435224584880718</v>
      </c>
      <c r="G108" s="94">
        <f t="shared" si="162"/>
        <v>2.1594885185815222</v>
      </c>
      <c r="H108" s="95">
        <f t="shared" si="163"/>
        <v>3.2940567683506901</v>
      </c>
      <c r="I108" s="93">
        <f t="shared" si="164"/>
        <v>2.8985545359392373</v>
      </c>
      <c r="J108" s="93">
        <f t="shared" si="165"/>
        <v>3.4229992784662429</v>
      </c>
      <c r="K108" s="93">
        <f t="shared" si="166"/>
        <v>1.649774332559363</v>
      </c>
      <c r="L108" s="94">
        <f t="shared" si="167"/>
        <v>2.6508629352226878</v>
      </c>
      <c r="M108" s="93">
        <f t="shared" si="168"/>
        <v>3.0981822756396271</v>
      </c>
      <c r="N108" s="93">
        <f t="shared" si="169"/>
        <v>3.1617713199137452</v>
      </c>
      <c r="O108" s="93">
        <f t="shared" si="170"/>
        <v>3.3127634865545361</v>
      </c>
      <c r="P108" s="93">
        <f t="shared" si="171"/>
        <v>2.9243730942900239</v>
      </c>
      <c r="Q108" s="94">
        <f t="shared" si="172"/>
        <v>1.7891080498484699</v>
      </c>
      <c r="R108" s="112" t="s">
        <v>622</v>
      </c>
      <c r="S108" s="106" t="s">
        <v>657</v>
      </c>
      <c r="T108" s="63">
        <v>0.8</v>
      </c>
      <c r="U108" s="63">
        <f t="shared" ref="U108:AH108" si="180">T108</f>
        <v>0.8</v>
      </c>
      <c r="V108" s="63">
        <f t="shared" si="180"/>
        <v>0.8</v>
      </c>
      <c r="W108" s="63">
        <f t="shared" si="180"/>
        <v>0.8</v>
      </c>
      <c r="X108" s="64">
        <f t="shared" si="180"/>
        <v>0.8</v>
      </c>
      <c r="Y108" s="65">
        <f t="shared" si="180"/>
        <v>0.8</v>
      </c>
      <c r="Z108" s="63">
        <f t="shared" si="180"/>
        <v>0.8</v>
      </c>
      <c r="AA108" s="63">
        <f t="shared" si="180"/>
        <v>0.8</v>
      </c>
      <c r="AB108" s="63">
        <f t="shared" si="180"/>
        <v>0.8</v>
      </c>
      <c r="AC108" s="64">
        <f t="shared" si="180"/>
        <v>0.8</v>
      </c>
      <c r="AD108" s="63">
        <f t="shared" si="180"/>
        <v>0.8</v>
      </c>
      <c r="AE108" s="63">
        <f t="shared" si="180"/>
        <v>0.8</v>
      </c>
      <c r="AF108" s="63">
        <f t="shared" si="180"/>
        <v>0.8</v>
      </c>
      <c r="AG108" s="63">
        <f t="shared" si="180"/>
        <v>0.8</v>
      </c>
      <c r="AH108" s="64">
        <f t="shared" si="180"/>
        <v>0.8</v>
      </c>
    </row>
    <row r="109" spans="1:70" x14ac:dyDescent="0.35">
      <c r="A109" s="91" t="str">
        <f t="shared" si="174"/>
        <v>given</v>
      </c>
      <c r="B109" s="92" t="s">
        <v>623</v>
      </c>
      <c r="C109" s="93">
        <f t="shared" si="158"/>
        <v>2.1973090544517198</v>
      </c>
      <c r="D109" s="93">
        <f t="shared" si="159"/>
        <v>1.8436233662737367</v>
      </c>
      <c r="E109" s="93">
        <f t="shared" si="160"/>
        <v>1.5079743346520289</v>
      </c>
      <c r="F109" s="93">
        <f t="shared" si="161"/>
        <v>1.5455203417026309</v>
      </c>
      <c r="G109" s="94">
        <f t="shared" si="162"/>
        <v>1.1149697529432614</v>
      </c>
      <c r="H109" s="95">
        <f t="shared" si="163"/>
        <v>2.09431172799014</v>
      </c>
      <c r="I109" s="93">
        <f t="shared" si="164"/>
        <v>1.8477962707573601</v>
      </c>
      <c r="J109" s="93">
        <f t="shared" si="165"/>
        <v>1.7749075108912913</v>
      </c>
      <c r="K109" s="93">
        <f t="shared" si="166"/>
        <v>0.95137532507726696</v>
      </c>
      <c r="L109" s="94">
        <f t="shared" si="167"/>
        <v>1.0584490547129872</v>
      </c>
      <c r="M109" s="93">
        <f t="shared" si="168"/>
        <v>2.6172462776142402</v>
      </c>
      <c r="N109" s="93">
        <f t="shared" si="169"/>
        <v>2.1946612353263077</v>
      </c>
      <c r="O109" s="93">
        <f t="shared" si="170"/>
        <v>1.8830000154698372</v>
      </c>
      <c r="P109" s="93">
        <f t="shared" si="171"/>
        <v>1.5956222261404864</v>
      </c>
      <c r="Q109" s="94">
        <f t="shared" si="172"/>
        <v>0.75052195330434068</v>
      </c>
      <c r="R109" s="112" t="s">
        <v>623</v>
      </c>
      <c r="S109" s="106" t="s">
        <v>657</v>
      </c>
      <c r="T109" s="63">
        <v>0.8</v>
      </c>
      <c r="U109" s="63">
        <f t="shared" ref="U109:AH109" si="181">T109</f>
        <v>0.8</v>
      </c>
      <c r="V109" s="63">
        <f t="shared" si="181"/>
        <v>0.8</v>
      </c>
      <c r="W109" s="63">
        <f t="shared" si="181"/>
        <v>0.8</v>
      </c>
      <c r="X109" s="64">
        <f t="shared" si="181"/>
        <v>0.8</v>
      </c>
      <c r="Y109" s="65">
        <f t="shared" si="181"/>
        <v>0.8</v>
      </c>
      <c r="Z109" s="63">
        <f t="shared" si="181"/>
        <v>0.8</v>
      </c>
      <c r="AA109" s="63">
        <f t="shared" si="181"/>
        <v>0.8</v>
      </c>
      <c r="AB109" s="63">
        <f t="shared" si="181"/>
        <v>0.8</v>
      </c>
      <c r="AC109" s="64">
        <f t="shared" si="181"/>
        <v>0.8</v>
      </c>
      <c r="AD109" s="63">
        <f t="shared" si="181"/>
        <v>0.8</v>
      </c>
      <c r="AE109" s="63">
        <f t="shared" si="181"/>
        <v>0.8</v>
      </c>
      <c r="AF109" s="63">
        <f t="shared" si="181"/>
        <v>0.8</v>
      </c>
      <c r="AG109" s="63">
        <f t="shared" si="181"/>
        <v>0.8</v>
      </c>
      <c r="AH109" s="64">
        <f t="shared" si="181"/>
        <v>0.8</v>
      </c>
    </row>
    <row r="110" spans="1:70" x14ac:dyDescent="0.35">
      <c r="A110" s="96" t="str">
        <f t="shared" si="174"/>
        <v>given</v>
      </c>
      <c r="B110" s="97" t="s">
        <v>624</v>
      </c>
      <c r="C110" s="98">
        <f t="shared" si="158"/>
        <v>14.175230310758863</v>
      </c>
      <c r="D110" s="98">
        <f t="shared" si="159"/>
        <v>13.012030695534651</v>
      </c>
      <c r="E110" s="98">
        <f t="shared" si="160"/>
        <v>12.188759561707631</v>
      </c>
      <c r="F110" s="98">
        <f t="shared" si="161"/>
        <v>12.087892618662973</v>
      </c>
      <c r="G110" s="99">
        <f t="shared" si="162"/>
        <v>17.318406648492424</v>
      </c>
      <c r="H110" s="100">
        <f t="shared" si="163"/>
        <v>11.45098231180048</v>
      </c>
      <c r="I110" s="98">
        <f t="shared" si="164"/>
        <v>11.87448411820372</v>
      </c>
      <c r="J110" s="98">
        <f t="shared" si="165"/>
        <v>12.758264459145717</v>
      </c>
      <c r="K110" s="98">
        <f t="shared" si="166"/>
        <v>8.2011868701587733</v>
      </c>
      <c r="L110" s="99">
        <f t="shared" si="167"/>
        <v>15.533388978690491</v>
      </c>
      <c r="M110" s="98">
        <f t="shared" si="168"/>
        <v>12.950469037300628</v>
      </c>
      <c r="N110" s="98">
        <f t="shared" si="169"/>
        <v>13.181878819056767</v>
      </c>
      <c r="O110" s="98">
        <f t="shared" si="170"/>
        <v>12.102036601970678</v>
      </c>
      <c r="P110" s="98">
        <f t="shared" si="171"/>
        <v>12.7248652771748</v>
      </c>
      <c r="Q110" s="99">
        <f t="shared" si="172"/>
        <v>12.657597040186015</v>
      </c>
      <c r="R110" s="113" t="s">
        <v>624</v>
      </c>
      <c r="S110" s="107" t="s">
        <v>657</v>
      </c>
      <c r="T110" s="118">
        <v>1.5</v>
      </c>
      <c r="U110" s="118">
        <f t="shared" ref="U110:AH110" si="182">T110</f>
        <v>1.5</v>
      </c>
      <c r="V110" s="118">
        <f t="shared" si="182"/>
        <v>1.5</v>
      </c>
      <c r="W110" s="118">
        <f t="shared" si="182"/>
        <v>1.5</v>
      </c>
      <c r="X110" s="119">
        <f t="shared" si="182"/>
        <v>1.5</v>
      </c>
      <c r="Y110" s="120">
        <f t="shared" si="182"/>
        <v>1.5</v>
      </c>
      <c r="Z110" s="118">
        <f t="shared" si="182"/>
        <v>1.5</v>
      </c>
      <c r="AA110" s="118">
        <f t="shared" si="182"/>
        <v>1.5</v>
      </c>
      <c r="AB110" s="118">
        <f t="shared" si="182"/>
        <v>1.5</v>
      </c>
      <c r="AC110" s="119">
        <f t="shared" si="182"/>
        <v>1.5</v>
      </c>
      <c r="AD110" s="118">
        <f t="shared" si="182"/>
        <v>1.5</v>
      </c>
      <c r="AE110" s="118">
        <f t="shared" si="182"/>
        <v>1.5</v>
      </c>
      <c r="AF110" s="118">
        <f t="shared" si="182"/>
        <v>1.5</v>
      </c>
      <c r="AG110" s="118">
        <f t="shared" si="182"/>
        <v>1.5</v>
      </c>
      <c r="AH110" s="119">
        <f t="shared" si="182"/>
        <v>1.5</v>
      </c>
    </row>
    <row r="111" spans="1:70" x14ac:dyDescent="0.35">
      <c r="A111" s="96" t="str">
        <f t="shared" si="174"/>
        <v>given</v>
      </c>
      <c r="B111" s="97" t="s">
        <v>626</v>
      </c>
      <c r="C111" s="98">
        <f t="shared" si="158"/>
        <v>2.1036492194813494</v>
      </c>
      <c r="D111" s="98">
        <f t="shared" si="159"/>
        <v>2.4122484038863505</v>
      </c>
      <c r="E111" s="98">
        <f t="shared" si="160"/>
        <v>2.7017531807676627</v>
      </c>
      <c r="F111" s="98">
        <f t="shared" si="161"/>
        <v>3.0005630567556154</v>
      </c>
      <c r="G111" s="99">
        <f t="shared" si="162"/>
        <v>2.7191474479049393</v>
      </c>
      <c r="H111" s="100">
        <f t="shared" si="163"/>
        <v>1.8257473929744439</v>
      </c>
      <c r="I111" s="98">
        <f t="shared" si="164"/>
        <v>2.5097363849812409</v>
      </c>
      <c r="J111" s="98">
        <f t="shared" si="165"/>
        <v>3.1455755542938988</v>
      </c>
      <c r="K111" s="98">
        <f t="shared" si="166"/>
        <v>2.0472350797345693</v>
      </c>
      <c r="L111" s="99">
        <f t="shared" si="167"/>
        <v>3.4413237646771773</v>
      </c>
      <c r="M111" s="98">
        <f t="shared" si="168"/>
        <v>1.7445771151489968</v>
      </c>
      <c r="N111" s="98">
        <f t="shared" si="169"/>
        <v>2.2279966531847313</v>
      </c>
      <c r="O111" s="98">
        <f t="shared" si="170"/>
        <v>2.8454677888819715</v>
      </c>
      <c r="P111" s="98">
        <f t="shared" si="171"/>
        <v>3.0541669933894173</v>
      </c>
      <c r="Q111" s="99">
        <f t="shared" si="172"/>
        <v>2.4039018467603648</v>
      </c>
      <c r="R111" s="113" t="s">
        <v>626</v>
      </c>
      <c r="S111" s="107" t="s">
        <v>657</v>
      </c>
      <c r="T111" s="118">
        <v>1</v>
      </c>
      <c r="U111" s="118">
        <f t="shared" ref="U111:AH111" si="183">T111</f>
        <v>1</v>
      </c>
      <c r="V111" s="118">
        <f t="shared" si="183"/>
        <v>1</v>
      </c>
      <c r="W111" s="118">
        <f t="shared" si="183"/>
        <v>1</v>
      </c>
      <c r="X111" s="119">
        <f t="shared" si="183"/>
        <v>1</v>
      </c>
      <c r="Y111" s="120">
        <f t="shared" si="183"/>
        <v>1</v>
      </c>
      <c r="Z111" s="118">
        <f t="shared" si="183"/>
        <v>1</v>
      </c>
      <c r="AA111" s="118">
        <f t="shared" si="183"/>
        <v>1</v>
      </c>
      <c r="AB111" s="118">
        <f t="shared" si="183"/>
        <v>1</v>
      </c>
      <c r="AC111" s="119">
        <f t="shared" si="183"/>
        <v>1</v>
      </c>
      <c r="AD111" s="118">
        <f t="shared" si="183"/>
        <v>1</v>
      </c>
      <c r="AE111" s="118">
        <f t="shared" si="183"/>
        <v>1</v>
      </c>
      <c r="AF111" s="118">
        <f t="shared" si="183"/>
        <v>1</v>
      </c>
      <c r="AG111" s="118">
        <f t="shared" si="183"/>
        <v>1</v>
      </c>
      <c r="AH111" s="119">
        <f t="shared" si="183"/>
        <v>1</v>
      </c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</row>
    <row r="112" spans="1:70" x14ac:dyDescent="0.35">
      <c r="A112" s="96" t="str">
        <f t="shared" si="174"/>
        <v>given</v>
      </c>
      <c r="B112" s="97" t="s">
        <v>629</v>
      </c>
      <c r="C112" s="98">
        <f t="shared" si="158"/>
        <v>0.63802282804952348</v>
      </c>
      <c r="D112" s="98">
        <f t="shared" si="159"/>
        <v>0.58748363424566041</v>
      </c>
      <c r="E112" s="98">
        <f t="shared" si="160"/>
        <v>0.61006654696751927</v>
      </c>
      <c r="F112" s="98">
        <f t="shared" si="161"/>
        <v>0.75484641636720917</v>
      </c>
      <c r="G112" s="99">
        <f t="shared" si="162"/>
        <v>0.90225929020736562</v>
      </c>
      <c r="H112" s="100">
        <f t="shared" si="163"/>
        <v>0.61388839625847891</v>
      </c>
      <c r="I112" s="98">
        <f t="shared" si="164"/>
        <v>0.97516754111310489</v>
      </c>
      <c r="J112" s="98">
        <f t="shared" si="165"/>
        <v>0.90034604857723566</v>
      </c>
      <c r="K112" s="98">
        <f t="shared" si="166"/>
        <v>0.7546758281189756</v>
      </c>
      <c r="L112" s="99">
        <f t="shared" si="167"/>
        <v>0.92119655823948288</v>
      </c>
      <c r="M112" s="98">
        <f t="shared" si="168"/>
        <v>1.357610449073845</v>
      </c>
      <c r="N112" s="98">
        <f t="shared" si="169"/>
        <v>1.7781636887214989</v>
      </c>
      <c r="O112" s="98">
        <f t="shared" si="170"/>
        <v>1.9158922914386267</v>
      </c>
      <c r="P112" s="98">
        <f t="shared" si="171"/>
        <v>2.0138512759520459</v>
      </c>
      <c r="Q112" s="99">
        <f t="shared" si="172"/>
        <v>1.3588028093615183</v>
      </c>
      <c r="R112" s="113" t="s">
        <v>629</v>
      </c>
      <c r="S112" s="107" t="s">
        <v>657</v>
      </c>
      <c r="T112" s="118">
        <v>1</v>
      </c>
      <c r="U112" s="118">
        <f t="shared" ref="U112:AH112" si="184">T112</f>
        <v>1</v>
      </c>
      <c r="V112" s="118">
        <f t="shared" si="184"/>
        <v>1</v>
      </c>
      <c r="W112" s="118">
        <f t="shared" si="184"/>
        <v>1</v>
      </c>
      <c r="X112" s="119">
        <f t="shared" si="184"/>
        <v>1</v>
      </c>
      <c r="Y112" s="120">
        <f t="shared" si="184"/>
        <v>1</v>
      </c>
      <c r="Z112" s="118">
        <f t="shared" si="184"/>
        <v>1</v>
      </c>
      <c r="AA112" s="118">
        <f t="shared" si="184"/>
        <v>1</v>
      </c>
      <c r="AB112" s="118">
        <f t="shared" si="184"/>
        <v>1</v>
      </c>
      <c r="AC112" s="119">
        <f t="shared" si="184"/>
        <v>1</v>
      </c>
      <c r="AD112" s="118">
        <f t="shared" si="184"/>
        <v>1</v>
      </c>
      <c r="AE112" s="118">
        <f t="shared" si="184"/>
        <v>1</v>
      </c>
      <c r="AF112" s="118">
        <f t="shared" si="184"/>
        <v>1</v>
      </c>
      <c r="AG112" s="118">
        <f t="shared" si="184"/>
        <v>1</v>
      </c>
      <c r="AH112" s="119">
        <f t="shared" si="184"/>
        <v>1</v>
      </c>
    </row>
    <row r="113" spans="1:34" x14ac:dyDescent="0.35">
      <c r="A113" s="101" t="str">
        <f t="shared" si="174"/>
        <v>given</v>
      </c>
      <c r="B113" s="102" t="s">
        <v>633</v>
      </c>
      <c r="C113" s="103">
        <f t="shared" si="158"/>
        <v>5.9197044176647431</v>
      </c>
      <c r="D113" s="103">
        <f t="shared" si="159"/>
        <v>5.992988031916024</v>
      </c>
      <c r="E113" s="103">
        <f t="shared" si="160"/>
        <v>7.7432428377409339</v>
      </c>
      <c r="F113" s="103">
        <f t="shared" si="161"/>
        <v>6.3666505572270236</v>
      </c>
      <c r="G113" s="104">
        <f t="shared" si="162"/>
        <v>6.5002290975161632</v>
      </c>
      <c r="H113" s="105">
        <f t="shared" si="163"/>
        <v>16.36285481269951</v>
      </c>
      <c r="I113" s="103">
        <f t="shared" si="164"/>
        <v>4.5485703440277474</v>
      </c>
      <c r="J113" s="103">
        <f t="shared" si="165"/>
        <v>5.2715770796274635</v>
      </c>
      <c r="K113" s="103">
        <f t="shared" si="166"/>
        <v>4.327417907396458</v>
      </c>
      <c r="L113" s="104">
        <f t="shared" si="167"/>
        <v>5.0938194909855863</v>
      </c>
      <c r="M113" s="103">
        <f t="shared" si="168"/>
        <v>7.9067890221753245</v>
      </c>
      <c r="N113" s="103">
        <f t="shared" si="169"/>
        <v>9.8545873229057719</v>
      </c>
      <c r="O113" s="103">
        <f t="shared" si="170"/>
        <v>7.6033052247589952</v>
      </c>
      <c r="P113" s="103">
        <f t="shared" si="171"/>
        <v>8.4291449245240493</v>
      </c>
      <c r="Q113" s="104">
        <f t="shared" si="172"/>
        <v>7.2745683505790613</v>
      </c>
      <c r="R113" s="114" t="s">
        <v>633</v>
      </c>
      <c r="S113" s="108" t="s">
        <v>657</v>
      </c>
      <c r="T113" s="59">
        <v>0.8</v>
      </c>
      <c r="U113" s="59">
        <f t="shared" ref="U113:AH113" si="185">T113</f>
        <v>0.8</v>
      </c>
      <c r="V113" s="59">
        <f t="shared" si="185"/>
        <v>0.8</v>
      </c>
      <c r="W113" s="59">
        <f t="shared" si="185"/>
        <v>0.8</v>
      </c>
      <c r="X113" s="61">
        <f t="shared" si="185"/>
        <v>0.8</v>
      </c>
      <c r="Y113" s="62">
        <f t="shared" si="185"/>
        <v>0.8</v>
      </c>
      <c r="Z113" s="59">
        <f t="shared" si="185"/>
        <v>0.8</v>
      </c>
      <c r="AA113" s="59">
        <f t="shared" si="185"/>
        <v>0.8</v>
      </c>
      <c r="AB113" s="59">
        <f t="shared" si="185"/>
        <v>0.8</v>
      </c>
      <c r="AC113" s="61">
        <f t="shared" si="185"/>
        <v>0.8</v>
      </c>
      <c r="AD113" s="59">
        <f t="shared" si="185"/>
        <v>0.8</v>
      </c>
      <c r="AE113" s="59">
        <f t="shared" si="185"/>
        <v>0.8</v>
      </c>
      <c r="AF113" s="59">
        <f t="shared" si="185"/>
        <v>0.8</v>
      </c>
      <c r="AG113" s="59">
        <f t="shared" si="185"/>
        <v>0.8</v>
      </c>
      <c r="AH113" s="61">
        <f t="shared" si="185"/>
        <v>0.8</v>
      </c>
    </row>
    <row r="114" spans="1:34" x14ac:dyDescent="0.35">
      <c r="A114" s="101" t="str">
        <f t="shared" si="174"/>
        <v>given</v>
      </c>
      <c r="B114" s="102" t="s">
        <v>634</v>
      </c>
      <c r="C114" s="103">
        <f t="shared" si="158"/>
        <v>6.6652483105558478</v>
      </c>
      <c r="D114" s="103">
        <f t="shared" si="159"/>
        <v>7.4374725936317851</v>
      </c>
      <c r="E114" s="103">
        <f t="shared" si="160"/>
        <v>10.205374016983086</v>
      </c>
      <c r="F114" s="103">
        <f t="shared" si="161"/>
        <v>8.574003254249174</v>
      </c>
      <c r="G114" s="104">
        <f t="shared" si="162"/>
        <v>9.6858600219523225</v>
      </c>
      <c r="H114" s="105">
        <f t="shared" si="163"/>
        <v>5.8286260585492293</v>
      </c>
      <c r="I114" s="103">
        <f t="shared" si="164"/>
        <v>4.4972207715556758</v>
      </c>
      <c r="J114" s="103">
        <f t="shared" si="165"/>
        <v>7.8371716407077914</v>
      </c>
      <c r="K114" s="103">
        <f t="shared" si="166"/>
        <v>4.5669985133939477</v>
      </c>
      <c r="L114" s="104">
        <f t="shared" si="167"/>
        <v>5.8334453325992959</v>
      </c>
      <c r="M114" s="103">
        <f t="shared" si="168"/>
        <v>6.0090319629731992</v>
      </c>
      <c r="N114" s="103">
        <f t="shared" si="169"/>
        <v>7.0455927531591493</v>
      </c>
      <c r="O114" s="103">
        <f t="shared" si="170"/>
        <v>9.6421631043527718</v>
      </c>
      <c r="P114" s="103">
        <f t="shared" si="171"/>
        <v>7.677265641681255</v>
      </c>
      <c r="Q114" s="104">
        <f t="shared" si="172"/>
        <v>6.9375875506082121</v>
      </c>
      <c r="R114" s="114" t="s">
        <v>634</v>
      </c>
      <c r="S114" s="108" t="s">
        <v>657</v>
      </c>
      <c r="T114" s="59">
        <v>1</v>
      </c>
      <c r="U114" s="59">
        <f t="shared" ref="U114:AH114" si="186">T114</f>
        <v>1</v>
      </c>
      <c r="V114" s="59">
        <f t="shared" si="186"/>
        <v>1</v>
      </c>
      <c r="W114" s="59">
        <f t="shared" si="186"/>
        <v>1</v>
      </c>
      <c r="X114" s="61">
        <f t="shared" si="186"/>
        <v>1</v>
      </c>
      <c r="Y114" s="62">
        <f t="shared" si="186"/>
        <v>1</v>
      </c>
      <c r="Z114" s="59">
        <f t="shared" si="186"/>
        <v>1</v>
      </c>
      <c r="AA114" s="59">
        <f t="shared" si="186"/>
        <v>1</v>
      </c>
      <c r="AB114" s="59">
        <f t="shared" si="186"/>
        <v>1</v>
      </c>
      <c r="AC114" s="61">
        <f t="shared" si="186"/>
        <v>1</v>
      </c>
      <c r="AD114" s="59">
        <f t="shared" si="186"/>
        <v>1</v>
      </c>
      <c r="AE114" s="59">
        <f t="shared" si="186"/>
        <v>1</v>
      </c>
      <c r="AF114" s="59">
        <f t="shared" si="186"/>
        <v>1</v>
      </c>
      <c r="AG114" s="59">
        <f t="shared" si="186"/>
        <v>1</v>
      </c>
      <c r="AH114" s="61">
        <f t="shared" si="186"/>
        <v>1</v>
      </c>
    </row>
    <row r="115" spans="1:34" x14ac:dyDescent="0.35">
      <c r="A115" s="96"/>
      <c r="B115" s="97"/>
      <c r="C115" s="98"/>
      <c r="D115" s="98"/>
      <c r="E115" s="98"/>
      <c r="F115" s="98"/>
      <c r="G115" s="99"/>
      <c r="H115" s="100"/>
      <c r="I115" s="98"/>
      <c r="J115" s="98"/>
      <c r="K115" s="98"/>
      <c r="L115" s="99"/>
      <c r="M115" s="98"/>
      <c r="N115" s="98"/>
      <c r="O115" s="98"/>
      <c r="P115" s="98"/>
      <c r="Q115" s="99"/>
      <c r="R115" s="164" t="s">
        <v>662</v>
      </c>
      <c r="S115" s="165"/>
      <c r="T115" s="81">
        <f>(100-
SUMPRODUCT(C19:C31,T102:T114)
)
/
SUMIF($A$19:$A$38,"residual",C$19:C$38)</f>
        <v>1.9467496845424175</v>
      </c>
      <c r="U115" s="81">
        <f t="shared" ref="U115:AH115" si="187">(100-SUMPRODUCT(D19:D31,U102:U114))/SUM(D32:D38)</f>
        <v>1.6684643426172761</v>
      </c>
      <c r="V115" s="81">
        <f t="shared" si="187"/>
        <v>1.4816947298517449</v>
      </c>
      <c r="W115" s="81">
        <f t="shared" si="187"/>
        <v>1.3640318144558865</v>
      </c>
      <c r="X115" s="82">
        <f t="shared" si="187"/>
        <v>1.1365360596135514</v>
      </c>
      <c r="Y115" s="83">
        <f t="shared" si="187"/>
        <v>2.2726157885896208</v>
      </c>
      <c r="Z115" s="81">
        <f t="shared" si="187"/>
        <v>1.6172320619729366</v>
      </c>
      <c r="AA115" s="81">
        <f t="shared" si="187"/>
        <v>1.3405545621154533</v>
      </c>
      <c r="AB115" s="81">
        <f t="shared" si="187"/>
        <v>1.0839971237108275</v>
      </c>
      <c r="AC115" s="82">
        <f t="shared" si="187"/>
        <v>1.0893835134156142</v>
      </c>
      <c r="AD115" s="81">
        <f t="shared" si="187"/>
        <v>1.8264112024882488</v>
      </c>
      <c r="AE115" s="81">
        <f t="shared" si="187"/>
        <v>1.6474359432970573</v>
      </c>
      <c r="AF115" s="81">
        <f t="shared" si="187"/>
        <v>1.3827959537447574</v>
      </c>
      <c r="AG115" s="81">
        <f t="shared" si="187"/>
        <v>1.224140651470736</v>
      </c>
      <c r="AH115" s="81">
        <f t="shared" si="187"/>
        <v>1.0551709673754075</v>
      </c>
    </row>
    <row r="116" spans="1:34" x14ac:dyDescent="0.35">
      <c r="A116" s="85" t="str">
        <f t="shared" si="174"/>
        <v>residual</v>
      </c>
      <c r="B116" s="39" t="s">
        <v>625</v>
      </c>
      <c r="C116" s="52">
        <f t="shared" ref="C116:Q122" si="188">IF(C32&gt;0,C32*T116,"")</f>
        <v>7.3784271764677136</v>
      </c>
      <c r="D116" s="52">
        <f t="shared" si="188"/>
        <v>7.5833696767362797</v>
      </c>
      <c r="E116" s="52">
        <f t="shared" si="188"/>
        <v>6.4322030977041234</v>
      </c>
      <c r="F116" s="52">
        <f t="shared" si="188"/>
        <v>5.6227162788698788</v>
      </c>
      <c r="G116" s="53">
        <f t="shared" si="188"/>
        <v>4.0740174885408873</v>
      </c>
      <c r="H116" s="54">
        <f t="shared" si="188"/>
        <v>7.8525997837166033</v>
      </c>
      <c r="I116" s="52">
        <f t="shared" si="188"/>
        <v>7.8917146746395526</v>
      </c>
      <c r="J116" s="52">
        <f t="shared" si="188"/>
        <v>6.5168212811014952</v>
      </c>
      <c r="K116" s="52">
        <f t="shared" si="188"/>
        <v>2.8460395110657073</v>
      </c>
      <c r="L116" s="53">
        <f t="shared" si="188"/>
        <v>3.3304515290400381</v>
      </c>
      <c r="M116" s="52">
        <f t="shared" si="188"/>
        <v>11.020760086590082</v>
      </c>
      <c r="N116" s="52">
        <f t="shared" si="188"/>
        <v>8.6889257868554814</v>
      </c>
      <c r="O116" s="52">
        <f t="shared" si="188"/>
        <v>6.8012212672314254</v>
      </c>
      <c r="P116" s="52">
        <f t="shared" si="188"/>
        <v>4.8347870660771406</v>
      </c>
      <c r="Q116" s="53">
        <f t="shared" si="188"/>
        <v>1.6030902494697989</v>
      </c>
      <c r="R116" s="115" t="s">
        <v>625</v>
      </c>
      <c r="S116" s="109" t="s">
        <v>660</v>
      </c>
      <c r="T116" s="52">
        <f t="shared" ref="T116:AH116" si="189">T115</f>
        <v>1.9467496845424175</v>
      </c>
      <c r="U116" s="52">
        <f t="shared" si="189"/>
        <v>1.6684643426172761</v>
      </c>
      <c r="V116" s="52">
        <f t="shared" si="189"/>
        <v>1.4816947298517449</v>
      </c>
      <c r="W116" s="52">
        <f t="shared" si="189"/>
        <v>1.3640318144558865</v>
      </c>
      <c r="X116" s="53">
        <f t="shared" si="189"/>
        <v>1.1365360596135514</v>
      </c>
      <c r="Y116" s="54">
        <f t="shared" si="189"/>
        <v>2.2726157885896208</v>
      </c>
      <c r="Z116" s="52">
        <f t="shared" si="189"/>
        <v>1.6172320619729366</v>
      </c>
      <c r="AA116" s="52">
        <f t="shared" si="189"/>
        <v>1.3405545621154533</v>
      </c>
      <c r="AB116" s="52">
        <f t="shared" si="189"/>
        <v>1.0839971237108275</v>
      </c>
      <c r="AC116" s="53">
        <f t="shared" si="189"/>
        <v>1.0893835134156142</v>
      </c>
      <c r="AD116" s="52">
        <f t="shared" si="189"/>
        <v>1.8264112024882488</v>
      </c>
      <c r="AE116" s="52">
        <f t="shared" si="189"/>
        <v>1.6474359432970573</v>
      </c>
      <c r="AF116" s="52">
        <f t="shared" si="189"/>
        <v>1.3827959537447574</v>
      </c>
      <c r="AG116" s="52">
        <f t="shared" si="189"/>
        <v>1.224140651470736</v>
      </c>
      <c r="AH116" s="53">
        <f t="shared" si="189"/>
        <v>1.0551709673754075</v>
      </c>
    </row>
    <row r="117" spans="1:34" x14ac:dyDescent="0.35">
      <c r="A117" s="90" t="str">
        <f t="shared" si="174"/>
        <v>residual</v>
      </c>
      <c r="B117" s="49" t="s">
        <v>627</v>
      </c>
      <c r="C117" s="55" t="str">
        <f t="shared" si="188"/>
        <v/>
      </c>
      <c r="D117" s="55" t="str">
        <f t="shared" si="188"/>
        <v/>
      </c>
      <c r="E117" s="55" t="str">
        <f t="shared" si="188"/>
        <v/>
      </c>
      <c r="F117" s="55" t="str">
        <f t="shared" si="188"/>
        <v/>
      </c>
      <c r="G117" s="56" t="str">
        <f t="shared" si="188"/>
        <v/>
      </c>
      <c r="H117" s="57" t="str">
        <f t="shared" si="188"/>
        <v/>
      </c>
      <c r="I117" s="55" t="str">
        <f t="shared" si="188"/>
        <v/>
      </c>
      <c r="J117" s="55" t="str">
        <f t="shared" si="188"/>
        <v/>
      </c>
      <c r="K117" s="55" t="str">
        <f t="shared" si="188"/>
        <v/>
      </c>
      <c r="L117" s="56" t="str">
        <f t="shared" si="188"/>
        <v/>
      </c>
      <c r="M117" s="55" t="str">
        <f t="shared" si="188"/>
        <v/>
      </c>
      <c r="N117" s="55" t="str">
        <f t="shared" si="188"/>
        <v/>
      </c>
      <c r="O117" s="55" t="str">
        <f t="shared" si="188"/>
        <v/>
      </c>
      <c r="P117" s="55" t="str">
        <f t="shared" si="188"/>
        <v/>
      </c>
      <c r="Q117" s="56" t="str">
        <f t="shared" si="188"/>
        <v/>
      </c>
      <c r="R117" s="116" t="s">
        <v>627</v>
      </c>
      <c r="S117" s="110" t="s">
        <v>660</v>
      </c>
      <c r="T117" s="55" t="str">
        <f t="shared" ref="T117:AH122" si="190">IF(C33&gt;0,T$116,"")</f>
        <v/>
      </c>
      <c r="U117" s="55" t="str">
        <f t="shared" si="190"/>
        <v/>
      </c>
      <c r="V117" s="55" t="str">
        <f t="shared" si="190"/>
        <v/>
      </c>
      <c r="W117" s="55" t="str">
        <f t="shared" si="190"/>
        <v/>
      </c>
      <c r="X117" s="56" t="str">
        <f t="shared" si="190"/>
        <v/>
      </c>
      <c r="Y117" s="57" t="str">
        <f t="shared" si="190"/>
        <v/>
      </c>
      <c r="Z117" s="55" t="str">
        <f t="shared" si="190"/>
        <v/>
      </c>
      <c r="AA117" s="55" t="str">
        <f t="shared" si="190"/>
        <v/>
      </c>
      <c r="AB117" s="55" t="str">
        <f t="shared" si="190"/>
        <v/>
      </c>
      <c r="AC117" s="56" t="str">
        <f t="shared" si="190"/>
        <v/>
      </c>
      <c r="AD117" s="55" t="str">
        <f t="shared" si="190"/>
        <v/>
      </c>
      <c r="AE117" s="55" t="str">
        <f t="shared" si="190"/>
        <v/>
      </c>
      <c r="AF117" s="55" t="str">
        <f t="shared" si="190"/>
        <v/>
      </c>
      <c r="AG117" s="55" t="str">
        <f t="shared" si="190"/>
        <v/>
      </c>
      <c r="AH117" s="56" t="str">
        <f t="shared" si="190"/>
        <v/>
      </c>
    </row>
    <row r="118" spans="1:34" x14ac:dyDescent="0.35">
      <c r="A118" s="84" t="str">
        <f t="shared" si="174"/>
        <v>residual</v>
      </c>
      <c r="B118" s="40" t="s">
        <v>628</v>
      </c>
      <c r="C118" s="43">
        <f t="shared" si="188"/>
        <v>8.0626007639233315</v>
      </c>
      <c r="D118" s="43">
        <f t="shared" si="188"/>
        <v>7.7716234741786989</v>
      </c>
      <c r="E118" s="43">
        <f t="shared" si="188"/>
        <v>6.6221062707969551</v>
      </c>
      <c r="F118" s="43">
        <f t="shared" si="188"/>
        <v>7.8293335174961314</v>
      </c>
      <c r="G118" s="50">
        <f t="shared" si="188"/>
        <v>7.2595869152336086</v>
      </c>
      <c r="H118" s="51">
        <f t="shared" si="188"/>
        <v>7.4314074502789964</v>
      </c>
      <c r="I118" s="43">
        <f t="shared" si="188"/>
        <v>6.5189440734464732</v>
      </c>
      <c r="J118" s="43">
        <f t="shared" si="188"/>
        <v>7.7050490454000986</v>
      </c>
      <c r="K118" s="43">
        <f t="shared" si="188"/>
        <v>3.8354389725424536</v>
      </c>
      <c r="L118" s="50">
        <f t="shared" si="188"/>
        <v>9.0420242874375258</v>
      </c>
      <c r="M118" s="43">
        <f t="shared" si="188"/>
        <v>7.6573419779879561</v>
      </c>
      <c r="N118" s="43">
        <f t="shared" si="188"/>
        <v>7.7581215320147709</v>
      </c>
      <c r="O118" s="43">
        <f t="shared" si="188"/>
        <v>7.0264128284557179</v>
      </c>
      <c r="P118" s="43">
        <f t="shared" si="188"/>
        <v>7.1745279876929384</v>
      </c>
      <c r="Q118" s="50">
        <f t="shared" si="188"/>
        <v>5.8510318933457857</v>
      </c>
      <c r="R118" s="117" t="s">
        <v>628</v>
      </c>
      <c r="S118" s="111" t="s">
        <v>660</v>
      </c>
      <c r="T118" s="43">
        <f t="shared" si="190"/>
        <v>1.9467496845424175</v>
      </c>
      <c r="U118" s="43">
        <f t="shared" si="190"/>
        <v>1.6684643426172761</v>
      </c>
      <c r="V118" s="43">
        <f t="shared" si="190"/>
        <v>1.4816947298517449</v>
      </c>
      <c r="W118" s="43">
        <f t="shared" si="190"/>
        <v>1.3640318144558865</v>
      </c>
      <c r="X118" s="50">
        <f t="shared" si="190"/>
        <v>1.1365360596135514</v>
      </c>
      <c r="Y118" s="51">
        <f t="shared" si="190"/>
        <v>2.2726157885896208</v>
      </c>
      <c r="Z118" s="43">
        <f t="shared" si="190"/>
        <v>1.6172320619729366</v>
      </c>
      <c r="AA118" s="43">
        <f t="shared" si="190"/>
        <v>1.3405545621154533</v>
      </c>
      <c r="AB118" s="43">
        <f t="shared" si="190"/>
        <v>1.0839971237108275</v>
      </c>
      <c r="AC118" s="50">
        <f t="shared" si="190"/>
        <v>1.0893835134156142</v>
      </c>
      <c r="AD118" s="43">
        <f t="shared" si="190"/>
        <v>1.8264112024882488</v>
      </c>
      <c r="AE118" s="43">
        <f t="shared" si="190"/>
        <v>1.6474359432970573</v>
      </c>
      <c r="AF118" s="43">
        <f t="shared" si="190"/>
        <v>1.3827959537447574</v>
      </c>
      <c r="AG118" s="43">
        <f t="shared" si="190"/>
        <v>1.224140651470736</v>
      </c>
      <c r="AH118" s="50">
        <f t="shared" si="190"/>
        <v>1.0551709673754075</v>
      </c>
    </row>
    <row r="119" spans="1:34" x14ac:dyDescent="0.35">
      <c r="A119" s="90" t="str">
        <f t="shared" si="174"/>
        <v>residual</v>
      </c>
      <c r="B119" s="49" t="s">
        <v>630</v>
      </c>
      <c r="C119" s="55" t="str">
        <f t="shared" si="188"/>
        <v/>
      </c>
      <c r="D119" s="55" t="str">
        <f t="shared" si="188"/>
        <v/>
      </c>
      <c r="E119" s="55" t="str">
        <f t="shared" si="188"/>
        <v/>
      </c>
      <c r="F119" s="55" t="str">
        <f t="shared" si="188"/>
        <v/>
      </c>
      <c r="G119" s="56" t="str">
        <f t="shared" si="188"/>
        <v/>
      </c>
      <c r="H119" s="57" t="str">
        <f t="shared" si="188"/>
        <v/>
      </c>
      <c r="I119" s="55" t="str">
        <f t="shared" si="188"/>
        <v/>
      </c>
      <c r="J119" s="55" t="str">
        <f t="shared" si="188"/>
        <v/>
      </c>
      <c r="K119" s="55" t="str">
        <f t="shared" si="188"/>
        <v/>
      </c>
      <c r="L119" s="56" t="str">
        <f t="shared" si="188"/>
        <v/>
      </c>
      <c r="M119" s="55" t="str">
        <f t="shared" si="188"/>
        <v/>
      </c>
      <c r="N119" s="55" t="str">
        <f t="shared" si="188"/>
        <v/>
      </c>
      <c r="O119" s="55" t="str">
        <f t="shared" si="188"/>
        <v/>
      </c>
      <c r="P119" s="55" t="str">
        <f t="shared" si="188"/>
        <v/>
      </c>
      <c r="Q119" s="56" t="str">
        <f t="shared" si="188"/>
        <v/>
      </c>
      <c r="R119" s="116" t="s">
        <v>630</v>
      </c>
      <c r="S119" s="110" t="s">
        <v>660</v>
      </c>
      <c r="T119" s="55" t="str">
        <f t="shared" si="190"/>
        <v/>
      </c>
      <c r="U119" s="55" t="str">
        <f t="shared" si="190"/>
        <v/>
      </c>
      <c r="V119" s="55" t="str">
        <f t="shared" si="190"/>
        <v/>
      </c>
      <c r="W119" s="55" t="str">
        <f t="shared" si="190"/>
        <v/>
      </c>
      <c r="X119" s="56" t="str">
        <f t="shared" si="190"/>
        <v/>
      </c>
      <c r="Y119" s="57" t="str">
        <f t="shared" si="190"/>
        <v/>
      </c>
      <c r="Z119" s="55" t="str">
        <f t="shared" si="190"/>
        <v/>
      </c>
      <c r="AA119" s="55" t="str">
        <f t="shared" si="190"/>
        <v/>
      </c>
      <c r="AB119" s="55" t="str">
        <f t="shared" si="190"/>
        <v/>
      </c>
      <c r="AC119" s="56" t="str">
        <f t="shared" si="190"/>
        <v/>
      </c>
      <c r="AD119" s="55" t="str">
        <f t="shared" si="190"/>
        <v/>
      </c>
      <c r="AE119" s="55" t="str">
        <f t="shared" si="190"/>
        <v/>
      </c>
      <c r="AF119" s="55" t="str">
        <f t="shared" si="190"/>
        <v/>
      </c>
      <c r="AG119" s="55" t="str">
        <f t="shared" si="190"/>
        <v/>
      </c>
      <c r="AH119" s="56" t="str">
        <f t="shared" si="190"/>
        <v/>
      </c>
    </row>
    <row r="120" spans="1:34" x14ac:dyDescent="0.35">
      <c r="A120" s="90" t="str">
        <f t="shared" si="174"/>
        <v>residual</v>
      </c>
      <c r="B120" s="49" t="s">
        <v>631</v>
      </c>
      <c r="C120" s="55">
        <f t="shared" si="188"/>
        <v>0.96398687806953154</v>
      </c>
      <c r="D120" s="55">
        <f t="shared" si="188"/>
        <v>1.2554518636390488</v>
      </c>
      <c r="E120" s="55">
        <f t="shared" si="188"/>
        <v>1.5415696872500111</v>
      </c>
      <c r="F120" s="55">
        <f t="shared" si="188"/>
        <v>1.6116072227259746</v>
      </c>
      <c r="G120" s="56">
        <f t="shared" si="188"/>
        <v>1.701797265101201</v>
      </c>
      <c r="H120" s="57">
        <f t="shared" si="188"/>
        <v>1.4046537404777899</v>
      </c>
      <c r="I120" s="55">
        <f t="shared" si="188"/>
        <v>2.5298681344949725</v>
      </c>
      <c r="J120" s="55">
        <f t="shared" si="188"/>
        <v>2.0830202101442401</v>
      </c>
      <c r="K120" s="55">
        <f t="shared" si="188"/>
        <v>1.1897441120776613</v>
      </c>
      <c r="L120" s="56">
        <f t="shared" si="188"/>
        <v>2.8868723747188807</v>
      </c>
      <c r="M120" s="55">
        <f t="shared" si="188"/>
        <v>1.7620032724975865</v>
      </c>
      <c r="N120" s="55">
        <f t="shared" si="188"/>
        <v>1.7493473373991961</v>
      </c>
      <c r="O120" s="55">
        <f t="shared" si="188"/>
        <v>2.725170845328325</v>
      </c>
      <c r="P120" s="55">
        <f t="shared" si="188"/>
        <v>3.54246118104493</v>
      </c>
      <c r="Q120" s="56">
        <f t="shared" si="188"/>
        <v>4.7389436258133024</v>
      </c>
      <c r="R120" s="116" t="s">
        <v>631</v>
      </c>
      <c r="S120" s="110" t="s">
        <v>660</v>
      </c>
      <c r="T120" s="55">
        <f t="shared" si="190"/>
        <v>1.9467496845424175</v>
      </c>
      <c r="U120" s="55">
        <f t="shared" si="190"/>
        <v>1.6684643426172761</v>
      </c>
      <c r="V120" s="55">
        <f t="shared" si="190"/>
        <v>1.4816947298517449</v>
      </c>
      <c r="W120" s="55">
        <f t="shared" si="190"/>
        <v>1.3640318144558865</v>
      </c>
      <c r="X120" s="56">
        <f t="shared" si="190"/>
        <v>1.1365360596135514</v>
      </c>
      <c r="Y120" s="57">
        <f t="shared" si="190"/>
        <v>2.2726157885896208</v>
      </c>
      <c r="Z120" s="55">
        <f t="shared" si="190"/>
        <v>1.6172320619729366</v>
      </c>
      <c r="AA120" s="55">
        <f t="shared" si="190"/>
        <v>1.3405545621154533</v>
      </c>
      <c r="AB120" s="55">
        <f t="shared" si="190"/>
        <v>1.0839971237108275</v>
      </c>
      <c r="AC120" s="56">
        <f t="shared" si="190"/>
        <v>1.0893835134156142</v>
      </c>
      <c r="AD120" s="55">
        <f t="shared" si="190"/>
        <v>1.8264112024882488</v>
      </c>
      <c r="AE120" s="55">
        <f t="shared" si="190"/>
        <v>1.6474359432970573</v>
      </c>
      <c r="AF120" s="55">
        <f t="shared" si="190"/>
        <v>1.3827959537447574</v>
      </c>
      <c r="AG120" s="55">
        <f t="shared" si="190"/>
        <v>1.224140651470736</v>
      </c>
      <c r="AH120" s="56">
        <f t="shared" si="190"/>
        <v>1.0551709673754075</v>
      </c>
    </row>
    <row r="121" spans="1:34" x14ac:dyDescent="0.35">
      <c r="A121" s="90" t="str">
        <f t="shared" si="174"/>
        <v>residual</v>
      </c>
      <c r="B121" s="49" t="s">
        <v>632</v>
      </c>
      <c r="C121" s="55">
        <f t="shared" si="188"/>
        <v>12.377442123039177</v>
      </c>
      <c r="D121" s="55">
        <f t="shared" si="188"/>
        <v>15.539075928355045</v>
      </c>
      <c r="E121" s="55">
        <f t="shared" si="188"/>
        <v>16.471603317819628</v>
      </c>
      <c r="F121" s="55">
        <f t="shared" si="188"/>
        <v>18.590098970071441</v>
      </c>
      <c r="G121" s="56">
        <f t="shared" si="188"/>
        <v>17.443839220072888</v>
      </c>
      <c r="H121" s="57">
        <f t="shared" si="188"/>
        <v>9.4570797543033986</v>
      </c>
      <c r="I121" s="55">
        <f t="shared" si="188"/>
        <v>13.761458049620757</v>
      </c>
      <c r="J121" s="55">
        <f t="shared" si="188"/>
        <v>19.058463981530338</v>
      </c>
      <c r="K121" s="55">
        <f t="shared" si="188"/>
        <v>52.180324527072543</v>
      </c>
      <c r="L121" s="56">
        <f t="shared" si="188"/>
        <v>20.626246230430542</v>
      </c>
      <c r="M121" s="55">
        <f t="shared" si="188"/>
        <v>11.361540998600264</v>
      </c>
      <c r="N121" s="55">
        <f t="shared" si="188"/>
        <v>11.94661822857555</v>
      </c>
      <c r="O121" s="55">
        <f t="shared" si="188"/>
        <v>15.280083548662875</v>
      </c>
      <c r="P121" s="55">
        <f t="shared" si="188"/>
        <v>19.026958652946384</v>
      </c>
      <c r="Q121" s="56">
        <f t="shared" si="188"/>
        <v>25.774416410374002</v>
      </c>
      <c r="R121" s="116" t="s">
        <v>632</v>
      </c>
      <c r="S121" s="110" t="s">
        <v>660</v>
      </c>
      <c r="T121" s="55">
        <f t="shared" si="190"/>
        <v>1.9467496845424175</v>
      </c>
      <c r="U121" s="55">
        <f t="shared" si="190"/>
        <v>1.6684643426172761</v>
      </c>
      <c r="V121" s="55">
        <f t="shared" si="190"/>
        <v>1.4816947298517449</v>
      </c>
      <c r="W121" s="55">
        <f t="shared" si="190"/>
        <v>1.3640318144558865</v>
      </c>
      <c r="X121" s="56">
        <f t="shared" si="190"/>
        <v>1.1365360596135514</v>
      </c>
      <c r="Y121" s="57">
        <f t="shared" si="190"/>
        <v>2.2726157885896208</v>
      </c>
      <c r="Z121" s="55">
        <f t="shared" si="190"/>
        <v>1.6172320619729366</v>
      </c>
      <c r="AA121" s="55">
        <f t="shared" si="190"/>
        <v>1.3405545621154533</v>
      </c>
      <c r="AB121" s="55">
        <f t="shared" si="190"/>
        <v>1.0839971237108275</v>
      </c>
      <c r="AC121" s="56">
        <f t="shared" si="190"/>
        <v>1.0893835134156142</v>
      </c>
      <c r="AD121" s="55">
        <f t="shared" si="190"/>
        <v>1.8264112024882488</v>
      </c>
      <c r="AE121" s="55">
        <f t="shared" si="190"/>
        <v>1.6474359432970573</v>
      </c>
      <c r="AF121" s="55">
        <f t="shared" si="190"/>
        <v>1.3827959537447574</v>
      </c>
      <c r="AG121" s="55">
        <f t="shared" si="190"/>
        <v>1.224140651470736</v>
      </c>
      <c r="AH121" s="56">
        <f t="shared" si="190"/>
        <v>1.0551709673754075</v>
      </c>
    </row>
    <row r="122" spans="1:34" x14ac:dyDescent="0.35">
      <c r="A122" s="85" t="str">
        <f t="shared" si="174"/>
        <v>residual</v>
      </c>
      <c r="B122" s="39" t="s">
        <v>635</v>
      </c>
      <c r="C122" s="52">
        <f t="shared" si="188"/>
        <v>3.3637718479767829</v>
      </c>
      <c r="D122" s="52">
        <f t="shared" si="188"/>
        <v>3.3301602876430305</v>
      </c>
      <c r="E122" s="52">
        <f t="shared" si="188"/>
        <v>4.8792367934734528</v>
      </c>
      <c r="F122" s="52">
        <f t="shared" si="188"/>
        <v>6.0225665060597917</v>
      </c>
      <c r="G122" s="53">
        <f t="shared" si="188"/>
        <v>9.7160026227584826</v>
      </c>
      <c r="H122" s="54">
        <f t="shared" si="188"/>
        <v>5.0597072476921419</v>
      </c>
      <c r="I122" s="52">
        <f t="shared" si="188"/>
        <v>3.0684354186968301</v>
      </c>
      <c r="J122" s="52">
        <f t="shared" si="188"/>
        <v>4.3812894850873461</v>
      </c>
      <c r="K122" s="52">
        <f t="shared" si="188"/>
        <v>2.8423999840061223</v>
      </c>
      <c r="L122" s="53">
        <f t="shared" si="188"/>
        <v>10.005899525834693</v>
      </c>
      <c r="M122" s="52">
        <f t="shared" si="188"/>
        <v>1.9688280536466478</v>
      </c>
      <c r="N122" s="52">
        <f t="shared" si="188"/>
        <v>3.1518974340808446</v>
      </c>
      <c r="O122" s="52">
        <f t="shared" si="188"/>
        <v>4.6207179270496344</v>
      </c>
      <c r="P122" s="52">
        <f t="shared" si="188"/>
        <v>5.8024145518175896</v>
      </c>
      <c r="Q122" s="53">
        <f t="shared" si="188"/>
        <v>11.088139084980249</v>
      </c>
      <c r="R122" s="115" t="s">
        <v>635</v>
      </c>
      <c r="S122" s="109" t="s">
        <v>660</v>
      </c>
      <c r="T122" s="52">
        <f t="shared" si="190"/>
        <v>1.9467496845424175</v>
      </c>
      <c r="U122" s="52">
        <f t="shared" si="190"/>
        <v>1.6684643426172761</v>
      </c>
      <c r="V122" s="52">
        <f t="shared" si="190"/>
        <v>1.4816947298517449</v>
      </c>
      <c r="W122" s="52">
        <f t="shared" si="190"/>
        <v>1.3640318144558865</v>
      </c>
      <c r="X122" s="53">
        <f t="shared" si="190"/>
        <v>1.1365360596135514</v>
      </c>
      <c r="Y122" s="54">
        <f t="shared" si="190"/>
        <v>2.2726157885896208</v>
      </c>
      <c r="Z122" s="52">
        <f t="shared" si="190"/>
        <v>1.6172320619729366</v>
      </c>
      <c r="AA122" s="52">
        <f t="shared" si="190"/>
        <v>1.3405545621154533</v>
      </c>
      <c r="AB122" s="52">
        <f t="shared" si="190"/>
        <v>1.0839971237108275</v>
      </c>
      <c r="AC122" s="53">
        <f t="shared" si="190"/>
        <v>1.0893835134156142</v>
      </c>
      <c r="AD122" s="52">
        <f t="shared" si="190"/>
        <v>1.8264112024882488</v>
      </c>
      <c r="AE122" s="52">
        <f t="shared" si="190"/>
        <v>1.6474359432970573</v>
      </c>
      <c r="AF122" s="52">
        <f t="shared" si="190"/>
        <v>1.3827959537447574</v>
      </c>
      <c r="AG122" s="52">
        <f t="shared" si="190"/>
        <v>1.224140651470736</v>
      </c>
      <c r="AH122" s="53">
        <f t="shared" si="190"/>
        <v>1.0551709673754075</v>
      </c>
    </row>
    <row r="123" spans="1:34" x14ac:dyDescent="0.35">
      <c r="A123" s="158" t="s">
        <v>608</v>
      </c>
      <c r="B123" s="159"/>
      <c r="C123" s="129">
        <f t="shared" ref="C123:Q123" si="191">SUM(C102:C110)</f>
        <v>52.527146434772</v>
      </c>
      <c r="D123" s="127">
        <f t="shared" si="191"/>
        <v>48.090126105768078</v>
      </c>
      <c r="E123" s="127">
        <f t="shared" si="191"/>
        <v>42.792844250496628</v>
      </c>
      <c r="F123" s="127">
        <f t="shared" si="191"/>
        <v>41.627614220177755</v>
      </c>
      <c r="G123" s="128">
        <f t="shared" si="191"/>
        <v>39.997260630712141</v>
      </c>
      <c r="H123" s="129">
        <f t="shared" si="191"/>
        <v>44.163435363049409</v>
      </c>
      <c r="I123" s="127">
        <f t="shared" si="191"/>
        <v>53.698884607423651</v>
      </c>
      <c r="J123" s="127">
        <f t="shared" si="191"/>
        <v>43.100685673530094</v>
      </c>
      <c r="K123" s="127">
        <f t="shared" si="191"/>
        <v>25.409725564591554</v>
      </c>
      <c r="L123" s="128">
        <f t="shared" si="191"/>
        <v>38.818720906036781</v>
      </c>
      <c r="M123" s="127">
        <f t="shared" si="191"/>
        <v>49.211517061306104</v>
      </c>
      <c r="N123" s="127">
        <f t="shared" si="191"/>
        <v>45.798749263103005</v>
      </c>
      <c r="O123" s="127">
        <f t="shared" si="191"/>
        <v>41.539565173839662</v>
      </c>
      <c r="P123" s="127">
        <f t="shared" si="191"/>
        <v>38.444421724874253</v>
      </c>
      <c r="Q123" s="128">
        <f t="shared" si="191"/>
        <v>32.969518178707702</v>
      </c>
    </row>
    <row r="124" spans="1:34" x14ac:dyDescent="0.35">
      <c r="A124" s="174" t="s">
        <v>638</v>
      </c>
      <c r="B124" s="175"/>
      <c r="C124" s="126">
        <f>SUM(C111:C122)</f>
        <v>47.472853565228</v>
      </c>
      <c r="D124" s="124">
        <f t="shared" ref="D124:Q124" si="192">SUM(D111:D122)</f>
        <v>51.909873894231922</v>
      </c>
      <c r="E124" s="124">
        <f t="shared" si="192"/>
        <v>57.207155749503372</v>
      </c>
      <c r="F124" s="124">
        <f t="shared" si="192"/>
        <v>58.372385779822238</v>
      </c>
      <c r="G124" s="125">
        <f t="shared" si="192"/>
        <v>60.002739369287859</v>
      </c>
      <c r="H124" s="126">
        <f t="shared" si="192"/>
        <v>55.836564636950598</v>
      </c>
      <c r="I124" s="124">
        <f t="shared" si="192"/>
        <v>46.301115392576357</v>
      </c>
      <c r="J124" s="124">
        <f t="shared" si="192"/>
        <v>56.899314326469906</v>
      </c>
      <c r="K124" s="124">
        <f t="shared" si="192"/>
        <v>74.590274435408432</v>
      </c>
      <c r="L124" s="125">
        <f t="shared" si="192"/>
        <v>61.181279093963219</v>
      </c>
      <c r="M124" s="124">
        <f t="shared" si="192"/>
        <v>50.788482938693896</v>
      </c>
      <c r="N124" s="124">
        <f t="shared" si="192"/>
        <v>54.201250736896995</v>
      </c>
      <c r="O124" s="124">
        <f t="shared" si="192"/>
        <v>58.460434826160345</v>
      </c>
      <c r="P124" s="124">
        <f t="shared" si="192"/>
        <v>61.555578275125747</v>
      </c>
      <c r="Q124" s="125">
        <f t="shared" si="192"/>
        <v>67.030481821292284</v>
      </c>
    </row>
    <row r="125" spans="1:34" x14ac:dyDescent="0.35">
      <c r="A125" s="158" t="s">
        <v>672</v>
      </c>
      <c r="B125" s="159"/>
      <c r="C125" s="129">
        <f>SUM(C102:C114)</f>
        <v>67.853771210523462</v>
      </c>
      <c r="D125" s="127">
        <f t="shared" ref="D125:Q125" si="193">SUM(D102:D114)</f>
        <v>64.520318769447897</v>
      </c>
      <c r="E125" s="127">
        <f t="shared" si="193"/>
        <v>64.053280832955835</v>
      </c>
      <c r="F125" s="127">
        <f t="shared" si="193"/>
        <v>60.323677504776782</v>
      </c>
      <c r="G125" s="128">
        <f t="shared" si="193"/>
        <v>59.804756488292931</v>
      </c>
      <c r="H125" s="129">
        <f t="shared" si="193"/>
        <v>68.794552023531068</v>
      </c>
      <c r="I125" s="127">
        <f t="shared" si="193"/>
        <v>66.22957964910141</v>
      </c>
      <c r="J125" s="127">
        <f t="shared" si="193"/>
        <v>60.255355996736483</v>
      </c>
      <c r="K125" s="127">
        <f t="shared" si="193"/>
        <v>37.106052893235507</v>
      </c>
      <c r="L125" s="128">
        <f t="shared" si="193"/>
        <v>54.108506052538324</v>
      </c>
      <c r="M125" s="127">
        <f t="shared" si="193"/>
        <v>66.22952561067747</v>
      </c>
      <c r="N125" s="127">
        <f t="shared" si="193"/>
        <v>66.705089681074156</v>
      </c>
      <c r="O125" s="127">
        <f t="shared" si="193"/>
        <v>63.546393583272021</v>
      </c>
      <c r="P125" s="127">
        <f t="shared" si="193"/>
        <v>59.618850560421016</v>
      </c>
      <c r="Q125" s="128">
        <f t="shared" si="193"/>
        <v>50.944378736016859</v>
      </c>
      <c r="R125" s="60"/>
      <c r="S125" s="60"/>
      <c r="T125" s="60"/>
    </row>
    <row r="126" spans="1:34" x14ac:dyDescent="0.35">
      <c r="A126" s="174" t="s">
        <v>673</v>
      </c>
      <c r="B126" s="175"/>
      <c r="C126" s="126">
        <f>SUM(C116:C122)</f>
        <v>32.146228789476538</v>
      </c>
      <c r="D126" s="124">
        <f t="shared" ref="D126:Q126" si="194">SUM(D116:D122)</f>
        <v>35.479681230552103</v>
      </c>
      <c r="E126" s="124">
        <f t="shared" si="194"/>
        <v>35.946719167044172</v>
      </c>
      <c r="F126" s="124">
        <f t="shared" si="194"/>
        <v>39.676322495223218</v>
      </c>
      <c r="G126" s="125">
        <f t="shared" si="194"/>
        <v>40.195243511707069</v>
      </c>
      <c r="H126" s="126">
        <f t="shared" si="194"/>
        <v>31.205447976468928</v>
      </c>
      <c r="I126" s="124">
        <f t="shared" si="194"/>
        <v>33.770420350898583</v>
      </c>
      <c r="J126" s="124">
        <f t="shared" si="194"/>
        <v>39.744644003263517</v>
      </c>
      <c r="K126" s="124">
        <f t="shared" si="194"/>
        <v>62.893947106764486</v>
      </c>
      <c r="L126" s="125">
        <f t="shared" si="194"/>
        <v>45.891493947461683</v>
      </c>
      <c r="M126" s="124">
        <f t="shared" si="194"/>
        <v>33.770474389322537</v>
      </c>
      <c r="N126" s="124">
        <f t="shared" si="194"/>
        <v>33.294910318925844</v>
      </c>
      <c r="O126" s="124">
        <f t="shared" si="194"/>
        <v>36.453606416727972</v>
      </c>
      <c r="P126" s="124">
        <f t="shared" si="194"/>
        <v>40.381149439578984</v>
      </c>
      <c r="Q126" s="125">
        <f t="shared" si="194"/>
        <v>49.055621263983134</v>
      </c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</row>
    <row r="127" spans="1:34" x14ac:dyDescent="0.35">
      <c r="A127" s="176" t="s">
        <v>127</v>
      </c>
      <c r="B127" s="177"/>
      <c r="C127" s="123">
        <f t="shared" ref="C127:Q127" si="195">SUM(C102:C122)</f>
        <v>99.999999999999986</v>
      </c>
      <c r="D127" s="121">
        <f t="shared" si="195"/>
        <v>100</v>
      </c>
      <c r="E127" s="121">
        <f t="shared" si="195"/>
        <v>100</v>
      </c>
      <c r="F127" s="121">
        <f t="shared" si="195"/>
        <v>99.999999999999986</v>
      </c>
      <c r="G127" s="122">
        <f t="shared" si="195"/>
        <v>100</v>
      </c>
      <c r="H127" s="123">
        <f t="shared" si="195"/>
        <v>99.999999999999986</v>
      </c>
      <c r="I127" s="121">
        <f t="shared" si="195"/>
        <v>100.00000000000001</v>
      </c>
      <c r="J127" s="121">
        <f t="shared" si="195"/>
        <v>100.00000000000001</v>
      </c>
      <c r="K127" s="121">
        <f t="shared" si="195"/>
        <v>99.999999999999986</v>
      </c>
      <c r="L127" s="122">
        <f t="shared" si="195"/>
        <v>100</v>
      </c>
      <c r="M127" s="121">
        <f t="shared" si="195"/>
        <v>100</v>
      </c>
      <c r="N127" s="121">
        <f t="shared" si="195"/>
        <v>100</v>
      </c>
      <c r="O127" s="121">
        <f t="shared" si="195"/>
        <v>100</v>
      </c>
      <c r="P127" s="121">
        <f t="shared" si="195"/>
        <v>100.00000000000001</v>
      </c>
      <c r="Q127" s="122">
        <f t="shared" si="195"/>
        <v>100</v>
      </c>
      <c r="R127" s="60"/>
      <c r="S127" s="60"/>
      <c r="T127" s="60"/>
    </row>
    <row r="128" spans="1:34" x14ac:dyDescent="0.35">
      <c r="R128" s="60"/>
      <c r="S128" s="60"/>
      <c r="T128" s="60"/>
    </row>
    <row r="129" spans="1:34" x14ac:dyDescent="0.35">
      <c r="A129" t="s">
        <v>642</v>
      </c>
    </row>
    <row r="130" spans="1:34" x14ac:dyDescent="0.35">
      <c r="B130" t="s">
        <v>643</v>
      </c>
      <c r="S130" t="s">
        <v>644</v>
      </c>
    </row>
    <row r="131" spans="1:34" x14ac:dyDescent="0.35">
      <c r="B131" s="45"/>
      <c r="C131" s="45" t="s">
        <v>217</v>
      </c>
      <c r="D131" s="45" t="s">
        <v>218</v>
      </c>
      <c r="E131" s="45" t="s">
        <v>219</v>
      </c>
      <c r="F131" s="45" t="s">
        <v>220</v>
      </c>
      <c r="G131" s="45" t="s">
        <v>221</v>
      </c>
      <c r="H131" s="45" t="s">
        <v>595</v>
      </c>
      <c r="I131" s="45" t="s">
        <v>596</v>
      </c>
      <c r="J131" s="45" t="s">
        <v>597</v>
      </c>
      <c r="K131" s="45" t="s">
        <v>598</v>
      </c>
      <c r="L131" s="45" t="s">
        <v>599</v>
      </c>
      <c r="M131" s="45" t="s">
        <v>222</v>
      </c>
      <c r="N131" s="45" t="s">
        <v>223</v>
      </c>
      <c r="O131" s="45" t="s">
        <v>224</v>
      </c>
      <c r="P131" s="45" t="s">
        <v>225</v>
      </c>
      <c r="Q131" s="45" t="s">
        <v>226</v>
      </c>
      <c r="S131" s="45"/>
      <c r="T131" s="67" t="s">
        <v>217</v>
      </c>
      <c r="U131" s="67" t="s">
        <v>218</v>
      </c>
      <c r="V131" s="67" t="s">
        <v>219</v>
      </c>
      <c r="W131" s="67" t="s">
        <v>220</v>
      </c>
      <c r="X131" s="67" t="s">
        <v>221</v>
      </c>
      <c r="Y131" s="67" t="s">
        <v>595</v>
      </c>
      <c r="Z131" s="67" t="s">
        <v>596</v>
      </c>
      <c r="AA131" s="67" t="s">
        <v>597</v>
      </c>
      <c r="AB131" s="67" t="s">
        <v>598</v>
      </c>
      <c r="AC131" s="67" t="s">
        <v>599</v>
      </c>
      <c r="AD131" s="67" t="s">
        <v>222</v>
      </c>
      <c r="AE131" s="67" t="s">
        <v>223</v>
      </c>
      <c r="AF131" s="67" t="s">
        <v>224</v>
      </c>
      <c r="AG131" s="67" t="s">
        <v>225</v>
      </c>
      <c r="AH131" s="67" t="s">
        <v>226</v>
      </c>
    </row>
    <row r="132" spans="1:34" x14ac:dyDescent="0.35">
      <c r="B132" s="43" t="str">
        <f t="shared" ref="B132:B177" si="196">AL49</f>
        <v>ccere</v>
      </c>
      <c r="C132" s="43">
        <f t="shared" ref="C132:Q133" si="197">IF(AM49&gt;0,T$102,"")</f>
        <v>0.5</v>
      </c>
      <c r="D132" s="43">
        <f t="shared" si="197"/>
        <v>0.5</v>
      </c>
      <c r="E132" s="43">
        <f t="shared" si="197"/>
        <v>0.5</v>
      </c>
      <c r="F132" s="43">
        <f t="shared" si="197"/>
        <v>0.5</v>
      </c>
      <c r="G132" s="43">
        <f t="shared" si="197"/>
        <v>0.5</v>
      </c>
      <c r="H132" s="43">
        <f t="shared" si="197"/>
        <v>0.5</v>
      </c>
      <c r="I132" s="43">
        <f t="shared" si="197"/>
        <v>0.5</v>
      </c>
      <c r="J132" s="43">
        <f t="shared" si="197"/>
        <v>0.5</v>
      </c>
      <c r="K132" s="43">
        <f t="shared" si="197"/>
        <v>0.5</v>
      </c>
      <c r="L132" s="43">
        <f t="shared" si="197"/>
        <v>0.5</v>
      </c>
      <c r="M132" s="43">
        <f t="shared" si="197"/>
        <v>0.5</v>
      </c>
      <c r="N132" s="43">
        <f t="shared" si="197"/>
        <v>0.5</v>
      </c>
      <c r="O132" s="43">
        <f t="shared" si="197"/>
        <v>0.5</v>
      </c>
      <c r="P132" s="43">
        <f t="shared" si="197"/>
        <v>0.5</v>
      </c>
      <c r="Q132" s="43">
        <f t="shared" si="197"/>
        <v>0.5</v>
      </c>
      <c r="S132" s="43" t="str">
        <f t="shared" ref="S132:S177" si="198">BC49</f>
        <v>acere</v>
      </c>
      <c r="T132" s="43">
        <f t="shared" ref="T132:AH133" si="199">IF(BD49&gt;0,T$102,"")</f>
        <v>0.5</v>
      </c>
      <c r="U132" s="43">
        <f t="shared" si="199"/>
        <v>0.5</v>
      </c>
      <c r="V132" s="43">
        <f t="shared" si="199"/>
        <v>0.5</v>
      </c>
      <c r="W132" s="43">
        <f t="shared" si="199"/>
        <v>0.5</v>
      </c>
      <c r="X132" s="43">
        <f t="shared" si="199"/>
        <v>0.5</v>
      </c>
      <c r="Y132" s="43" t="str">
        <f t="shared" si="199"/>
        <v/>
      </c>
      <c r="Z132" s="43" t="str">
        <f t="shared" si="199"/>
        <v/>
      </c>
      <c r="AA132" s="43" t="str">
        <f t="shared" si="199"/>
        <v/>
      </c>
      <c r="AB132" s="43" t="str">
        <f t="shared" si="199"/>
        <v/>
      </c>
      <c r="AC132" s="43" t="str">
        <f t="shared" si="199"/>
        <v/>
      </c>
      <c r="AD132" s="43">
        <f t="shared" si="199"/>
        <v>0.5</v>
      </c>
      <c r="AE132" s="43">
        <f t="shared" si="199"/>
        <v>0.5</v>
      </c>
      <c r="AF132" s="43">
        <f t="shared" si="199"/>
        <v>0.5</v>
      </c>
      <c r="AG132" s="43">
        <f t="shared" si="199"/>
        <v>0.5</v>
      </c>
      <c r="AH132" s="43">
        <f t="shared" si="199"/>
        <v>0.5</v>
      </c>
    </row>
    <row r="133" spans="1:34" x14ac:dyDescent="0.35">
      <c r="B133" s="52" t="str">
        <f t="shared" si="196"/>
        <v>cgmll</v>
      </c>
      <c r="C133" s="52">
        <f t="shared" si="197"/>
        <v>0.5</v>
      </c>
      <c r="D133" s="52">
        <f t="shared" si="197"/>
        <v>0.5</v>
      </c>
      <c r="E133" s="52">
        <f t="shared" si="197"/>
        <v>0.5</v>
      </c>
      <c r="F133" s="52">
        <f t="shared" si="197"/>
        <v>0.5</v>
      </c>
      <c r="G133" s="52">
        <f t="shared" si="197"/>
        <v>0.5</v>
      </c>
      <c r="H133" s="52">
        <f t="shared" si="197"/>
        <v>0.5</v>
      </c>
      <c r="I133" s="52">
        <f t="shared" si="197"/>
        <v>0.5</v>
      </c>
      <c r="J133" s="52">
        <f t="shared" si="197"/>
        <v>0.5</v>
      </c>
      <c r="K133" s="52">
        <f t="shared" si="197"/>
        <v>0.5</v>
      </c>
      <c r="L133" s="52">
        <f t="shared" si="197"/>
        <v>0.5</v>
      </c>
      <c r="M133" s="52">
        <f t="shared" si="197"/>
        <v>0.5</v>
      </c>
      <c r="N133" s="52">
        <f t="shared" si="197"/>
        <v>0.5</v>
      </c>
      <c r="O133" s="52">
        <f t="shared" si="197"/>
        <v>0.5</v>
      </c>
      <c r="P133" s="52">
        <f t="shared" si="197"/>
        <v>0.5</v>
      </c>
      <c r="Q133" s="52">
        <f t="shared" si="197"/>
        <v>0.5</v>
      </c>
      <c r="S133" s="52" t="str">
        <f t="shared" si="198"/>
        <v>agmll</v>
      </c>
      <c r="T133" s="52" t="str">
        <f t="shared" si="199"/>
        <v/>
      </c>
      <c r="U133" s="52" t="str">
        <f t="shared" si="199"/>
        <v/>
      </c>
      <c r="V133" s="52" t="str">
        <f t="shared" si="199"/>
        <v/>
      </c>
      <c r="W133" s="52" t="str">
        <f t="shared" si="199"/>
        <v/>
      </c>
      <c r="X133" s="52" t="str">
        <f t="shared" si="199"/>
        <v/>
      </c>
      <c r="Y133" s="52" t="str">
        <f t="shared" si="199"/>
        <v/>
      </c>
      <c r="Z133" s="52" t="str">
        <f t="shared" si="199"/>
        <v/>
      </c>
      <c r="AA133" s="52" t="str">
        <f t="shared" si="199"/>
        <v/>
      </c>
      <c r="AB133" s="52" t="str">
        <f t="shared" si="199"/>
        <v/>
      </c>
      <c r="AC133" s="52" t="str">
        <f t="shared" si="199"/>
        <v/>
      </c>
      <c r="AD133" s="52" t="str">
        <f t="shared" si="199"/>
        <v/>
      </c>
      <c r="AE133" s="52" t="str">
        <f t="shared" si="199"/>
        <v/>
      </c>
      <c r="AF133" s="52" t="str">
        <f t="shared" si="199"/>
        <v/>
      </c>
      <c r="AG133" s="52" t="str">
        <f t="shared" si="199"/>
        <v/>
      </c>
      <c r="AH133" s="52" t="str">
        <f t="shared" si="199"/>
        <v/>
      </c>
    </row>
    <row r="134" spans="1:34" x14ac:dyDescent="0.35">
      <c r="B134" s="52" t="str">
        <f t="shared" si="196"/>
        <v>croot</v>
      </c>
      <c r="C134" s="52">
        <f t="shared" ref="C134:Q134" si="200">IF(AM51&gt;0,T$103,"")</f>
        <v>0.5</v>
      </c>
      <c r="D134" s="52">
        <f t="shared" si="200"/>
        <v>0.5</v>
      </c>
      <c r="E134" s="52">
        <f t="shared" si="200"/>
        <v>0.5</v>
      </c>
      <c r="F134" s="52">
        <f t="shared" si="200"/>
        <v>0.5</v>
      </c>
      <c r="G134" s="52">
        <f t="shared" si="200"/>
        <v>0.5</v>
      </c>
      <c r="H134" s="52">
        <f t="shared" si="200"/>
        <v>0.5</v>
      </c>
      <c r="I134" s="52">
        <f t="shared" si="200"/>
        <v>0.5</v>
      </c>
      <c r="J134" s="52">
        <f t="shared" si="200"/>
        <v>0.5</v>
      </c>
      <c r="K134" s="52">
        <f t="shared" si="200"/>
        <v>0.5</v>
      </c>
      <c r="L134" s="52">
        <f t="shared" si="200"/>
        <v>0.5</v>
      </c>
      <c r="M134" s="52">
        <f t="shared" si="200"/>
        <v>0.5</v>
      </c>
      <c r="N134" s="52">
        <f t="shared" si="200"/>
        <v>0.5</v>
      </c>
      <c r="O134" s="52">
        <f t="shared" si="200"/>
        <v>0.5</v>
      </c>
      <c r="P134" s="52">
        <f t="shared" si="200"/>
        <v>0.5</v>
      </c>
      <c r="Q134" s="52">
        <f t="shared" si="200"/>
        <v>0.5</v>
      </c>
      <c r="S134" s="52" t="str">
        <f t="shared" si="198"/>
        <v>aroot</v>
      </c>
      <c r="T134" s="52">
        <f t="shared" ref="T134:AH134" si="201">IF(BD51&gt;0,T$103,"")</f>
        <v>0.5</v>
      </c>
      <c r="U134" s="52">
        <f t="shared" si="201"/>
        <v>0.5</v>
      </c>
      <c r="V134" s="52">
        <f t="shared" si="201"/>
        <v>0.5</v>
      </c>
      <c r="W134" s="52">
        <f t="shared" si="201"/>
        <v>0.5</v>
      </c>
      <c r="X134" s="52">
        <f t="shared" si="201"/>
        <v>0.5</v>
      </c>
      <c r="Y134" s="52" t="str">
        <f t="shared" si="201"/>
        <v/>
      </c>
      <c r="Z134" s="52" t="str">
        <f t="shared" si="201"/>
        <v/>
      </c>
      <c r="AA134" s="52" t="str">
        <f t="shared" si="201"/>
        <v/>
      </c>
      <c r="AB134" s="52" t="str">
        <f t="shared" si="201"/>
        <v/>
      </c>
      <c r="AC134" s="52" t="str">
        <f t="shared" si="201"/>
        <v/>
      </c>
      <c r="AD134" s="52">
        <f t="shared" si="201"/>
        <v>0.5</v>
      </c>
      <c r="AE134" s="52">
        <f t="shared" si="201"/>
        <v>0.5</v>
      </c>
      <c r="AF134" s="52">
        <f t="shared" si="201"/>
        <v>0.5</v>
      </c>
      <c r="AG134" s="52">
        <f t="shared" si="201"/>
        <v>0.5</v>
      </c>
      <c r="AH134" s="52">
        <f t="shared" si="201"/>
        <v>0.5</v>
      </c>
    </row>
    <row r="135" spans="1:34" x14ac:dyDescent="0.35">
      <c r="B135" s="55" t="str">
        <f t="shared" si="196"/>
        <v>cpuls</v>
      </c>
      <c r="C135" s="55">
        <f t="shared" ref="C135:Q135" si="202">IF(AM52&gt;0,T$104,"")</f>
        <v>0.8</v>
      </c>
      <c r="D135" s="55">
        <f t="shared" si="202"/>
        <v>0.8</v>
      </c>
      <c r="E135" s="55">
        <f t="shared" si="202"/>
        <v>0.8</v>
      </c>
      <c r="F135" s="55">
        <f t="shared" si="202"/>
        <v>0.8</v>
      </c>
      <c r="G135" s="55">
        <f t="shared" si="202"/>
        <v>0.8</v>
      </c>
      <c r="H135" s="55">
        <f t="shared" si="202"/>
        <v>0.8</v>
      </c>
      <c r="I135" s="55">
        <f t="shared" si="202"/>
        <v>0.8</v>
      </c>
      <c r="J135" s="55">
        <f t="shared" si="202"/>
        <v>0.8</v>
      </c>
      <c r="K135" s="55">
        <f t="shared" si="202"/>
        <v>0.8</v>
      </c>
      <c r="L135" s="55">
        <f t="shared" si="202"/>
        <v>0.8</v>
      </c>
      <c r="M135" s="55">
        <f t="shared" si="202"/>
        <v>0.8</v>
      </c>
      <c r="N135" s="55">
        <f t="shared" si="202"/>
        <v>0.8</v>
      </c>
      <c r="O135" s="55">
        <f t="shared" si="202"/>
        <v>0.8</v>
      </c>
      <c r="P135" s="55">
        <f t="shared" si="202"/>
        <v>0.8</v>
      </c>
      <c r="Q135" s="55">
        <f t="shared" si="202"/>
        <v>0.8</v>
      </c>
      <c r="S135" s="55" t="str">
        <f t="shared" si="198"/>
        <v>apuls</v>
      </c>
      <c r="T135" s="55">
        <f t="shared" ref="T135:AH135" si="203">IF(BD52&gt;0,T$104,"")</f>
        <v>0.8</v>
      </c>
      <c r="U135" s="55">
        <f t="shared" si="203"/>
        <v>0.8</v>
      </c>
      <c r="V135" s="55">
        <f t="shared" si="203"/>
        <v>0.8</v>
      </c>
      <c r="W135" s="55">
        <f t="shared" si="203"/>
        <v>0.8</v>
      </c>
      <c r="X135" s="55">
        <f t="shared" si="203"/>
        <v>0.8</v>
      </c>
      <c r="Y135" s="55" t="str">
        <f t="shared" si="203"/>
        <v/>
      </c>
      <c r="Z135" s="55" t="str">
        <f t="shared" si="203"/>
        <v/>
      </c>
      <c r="AA135" s="55" t="str">
        <f t="shared" si="203"/>
        <v/>
      </c>
      <c r="AB135" s="55" t="str">
        <f t="shared" si="203"/>
        <v/>
      </c>
      <c r="AC135" s="55" t="str">
        <f t="shared" si="203"/>
        <v/>
      </c>
      <c r="AD135" s="55">
        <f t="shared" si="203"/>
        <v>0.8</v>
      </c>
      <c r="AE135" s="55">
        <f t="shared" si="203"/>
        <v>0.8</v>
      </c>
      <c r="AF135" s="55">
        <f t="shared" si="203"/>
        <v>0.8</v>
      </c>
      <c r="AG135" s="55">
        <f t="shared" si="203"/>
        <v>0.8</v>
      </c>
      <c r="AH135" s="55">
        <f t="shared" si="203"/>
        <v>0.8</v>
      </c>
    </row>
    <row r="136" spans="1:34" x14ac:dyDescent="0.35">
      <c r="B136" s="52" t="str">
        <f t="shared" si="196"/>
        <v>cvege</v>
      </c>
      <c r="C136" s="52">
        <f t="shared" ref="C136:Q136" si="204">IF(AM53&gt;0,T$105,"")</f>
        <v>0.8</v>
      </c>
      <c r="D136" s="52">
        <f t="shared" si="204"/>
        <v>0.8</v>
      </c>
      <c r="E136" s="52">
        <f t="shared" si="204"/>
        <v>0.8</v>
      </c>
      <c r="F136" s="52">
        <f t="shared" si="204"/>
        <v>0.8</v>
      </c>
      <c r="G136" s="52">
        <f t="shared" si="204"/>
        <v>0.8</v>
      </c>
      <c r="H136" s="52">
        <f t="shared" si="204"/>
        <v>0.8</v>
      </c>
      <c r="I136" s="52">
        <f t="shared" si="204"/>
        <v>0.8</v>
      </c>
      <c r="J136" s="52">
        <f t="shared" si="204"/>
        <v>0.8</v>
      </c>
      <c r="K136" s="52">
        <f t="shared" si="204"/>
        <v>0.8</v>
      </c>
      <c r="L136" s="52">
        <f t="shared" si="204"/>
        <v>0.8</v>
      </c>
      <c r="M136" s="52">
        <f t="shared" si="204"/>
        <v>0.8</v>
      </c>
      <c r="N136" s="52">
        <f t="shared" si="204"/>
        <v>0.8</v>
      </c>
      <c r="O136" s="52">
        <f t="shared" si="204"/>
        <v>0.8</v>
      </c>
      <c r="P136" s="52">
        <f t="shared" si="204"/>
        <v>0.8</v>
      </c>
      <c r="Q136" s="52">
        <f t="shared" si="204"/>
        <v>0.8</v>
      </c>
      <c r="S136" s="52" t="str">
        <f t="shared" si="198"/>
        <v>avege</v>
      </c>
      <c r="T136" s="52">
        <f t="shared" ref="T136:AH136" si="205">IF(BD53&gt;0,T$105,"")</f>
        <v>0.8</v>
      </c>
      <c r="U136" s="52">
        <f t="shared" si="205"/>
        <v>0.8</v>
      </c>
      <c r="V136" s="52">
        <f t="shared" si="205"/>
        <v>0.8</v>
      </c>
      <c r="W136" s="52">
        <f t="shared" si="205"/>
        <v>0.8</v>
      </c>
      <c r="X136" s="52">
        <f t="shared" si="205"/>
        <v>0.8</v>
      </c>
      <c r="Y136" s="52" t="str">
        <f t="shared" si="205"/>
        <v/>
      </c>
      <c r="Z136" s="52" t="str">
        <f t="shared" si="205"/>
        <v/>
      </c>
      <c r="AA136" s="52" t="str">
        <f t="shared" si="205"/>
        <v/>
      </c>
      <c r="AB136" s="52" t="str">
        <f t="shared" si="205"/>
        <v/>
      </c>
      <c r="AC136" s="52" t="str">
        <f t="shared" si="205"/>
        <v/>
      </c>
      <c r="AD136" s="52">
        <f t="shared" si="205"/>
        <v>0.8</v>
      </c>
      <c r="AE136" s="52">
        <f t="shared" si="205"/>
        <v>0.8</v>
      </c>
      <c r="AF136" s="52">
        <f t="shared" si="205"/>
        <v>0.8</v>
      </c>
      <c r="AG136" s="52">
        <f t="shared" si="205"/>
        <v>0.8</v>
      </c>
      <c r="AH136" s="52">
        <f t="shared" si="205"/>
        <v>0.8</v>
      </c>
    </row>
    <row r="137" spans="1:34" x14ac:dyDescent="0.35">
      <c r="B137" s="43" t="str">
        <f t="shared" si="196"/>
        <v>cfrui</v>
      </c>
      <c r="C137" s="43">
        <f t="shared" ref="C137:Q138" si="206">IF(AM54&gt;0,T$106,"")</f>
        <v>0.9</v>
      </c>
      <c r="D137" s="43">
        <f t="shared" si="206"/>
        <v>0.9</v>
      </c>
      <c r="E137" s="43">
        <f t="shared" si="206"/>
        <v>0.9</v>
      </c>
      <c r="F137" s="43">
        <f t="shared" si="206"/>
        <v>0.9</v>
      </c>
      <c r="G137" s="43">
        <f t="shared" si="206"/>
        <v>0.9</v>
      </c>
      <c r="H137" s="43">
        <f t="shared" si="206"/>
        <v>0.9</v>
      </c>
      <c r="I137" s="43">
        <f t="shared" si="206"/>
        <v>0.9</v>
      </c>
      <c r="J137" s="43">
        <f t="shared" si="206"/>
        <v>0.9</v>
      </c>
      <c r="K137" s="43">
        <f t="shared" si="206"/>
        <v>0.9</v>
      </c>
      <c r="L137" s="43">
        <f t="shared" si="206"/>
        <v>0.9</v>
      </c>
      <c r="M137" s="43">
        <f t="shared" si="206"/>
        <v>0.9</v>
      </c>
      <c r="N137" s="43">
        <f t="shared" si="206"/>
        <v>0.9</v>
      </c>
      <c r="O137" s="43">
        <f t="shared" si="206"/>
        <v>0.9</v>
      </c>
      <c r="P137" s="43">
        <f t="shared" si="206"/>
        <v>0.9</v>
      </c>
      <c r="Q137" s="43">
        <f t="shared" si="206"/>
        <v>0.9</v>
      </c>
      <c r="S137" s="43" t="str">
        <f t="shared" si="198"/>
        <v>afrui</v>
      </c>
      <c r="T137" s="43">
        <f t="shared" ref="T137:AH138" si="207">IF(BD54&gt;0,T$106,"")</f>
        <v>0.9</v>
      </c>
      <c r="U137" s="43">
        <f t="shared" si="207"/>
        <v>0.9</v>
      </c>
      <c r="V137" s="43">
        <f t="shared" si="207"/>
        <v>0.9</v>
      </c>
      <c r="W137" s="43">
        <f t="shared" si="207"/>
        <v>0.9</v>
      </c>
      <c r="X137" s="43">
        <f t="shared" si="207"/>
        <v>0.9</v>
      </c>
      <c r="Y137" s="43" t="str">
        <f t="shared" si="207"/>
        <v/>
      </c>
      <c r="Z137" s="43" t="str">
        <f t="shared" si="207"/>
        <v/>
      </c>
      <c r="AA137" s="43" t="str">
        <f t="shared" si="207"/>
        <v/>
      </c>
      <c r="AB137" s="43" t="str">
        <f t="shared" si="207"/>
        <v/>
      </c>
      <c r="AC137" s="43" t="str">
        <f t="shared" si="207"/>
        <v/>
      </c>
      <c r="AD137" s="43">
        <f t="shared" si="207"/>
        <v>0.9</v>
      </c>
      <c r="AE137" s="43">
        <f t="shared" si="207"/>
        <v>0.9</v>
      </c>
      <c r="AF137" s="43">
        <f t="shared" si="207"/>
        <v>0.9</v>
      </c>
      <c r="AG137" s="43">
        <f t="shared" si="207"/>
        <v>0.9</v>
      </c>
      <c r="AH137" s="43">
        <f t="shared" si="207"/>
        <v>0.9</v>
      </c>
    </row>
    <row r="138" spans="1:34" x14ac:dyDescent="0.35">
      <c r="B138" s="52" t="str">
        <f t="shared" si="196"/>
        <v>cfveg</v>
      </c>
      <c r="C138" s="52">
        <f t="shared" si="206"/>
        <v>0.9</v>
      </c>
      <c r="D138" s="52">
        <f t="shared" si="206"/>
        <v>0.9</v>
      </c>
      <c r="E138" s="52">
        <f t="shared" si="206"/>
        <v>0.9</v>
      </c>
      <c r="F138" s="52">
        <f t="shared" si="206"/>
        <v>0.9</v>
      </c>
      <c r="G138" s="52">
        <f t="shared" si="206"/>
        <v>0.9</v>
      </c>
      <c r="H138" s="52">
        <f t="shared" si="206"/>
        <v>0.9</v>
      </c>
      <c r="I138" s="52">
        <f t="shared" si="206"/>
        <v>0.9</v>
      </c>
      <c r="J138" s="52">
        <f t="shared" si="206"/>
        <v>0.9</v>
      </c>
      <c r="K138" s="52">
        <f t="shared" si="206"/>
        <v>0.9</v>
      </c>
      <c r="L138" s="52">
        <f t="shared" si="206"/>
        <v>0.9</v>
      </c>
      <c r="M138" s="52" t="str">
        <f t="shared" si="206"/>
        <v/>
      </c>
      <c r="N138" s="52" t="str">
        <f t="shared" si="206"/>
        <v/>
      </c>
      <c r="O138" s="52">
        <f t="shared" si="206"/>
        <v>0.9</v>
      </c>
      <c r="P138" s="52">
        <f t="shared" si="206"/>
        <v>0.9</v>
      </c>
      <c r="Q138" s="52">
        <f t="shared" si="206"/>
        <v>0.9</v>
      </c>
      <c r="S138" s="52" t="str">
        <f t="shared" si="198"/>
        <v>afveg</v>
      </c>
      <c r="T138" s="52" t="str">
        <f t="shared" si="207"/>
        <v/>
      </c>
      <c r="U138" s="52" t="str">
        <f t="shared" si="207"/>
        <v/>
      </c>
      <c r="V138" s="52" t="str">
        <f t="shared" si="207"/>
        <v/>
      </c>
      <c r="W138" s="52" t="str">
        <f t="shared" si="207"/>
        <v/>
      </c>
      <c r="X138" s="52" t="str">
        <f t="shared" si="207"/>
        <v/>
      </c>
      <c r="Y138" s="52" t="str">
        <f t="shared" si="207"/>
        <v/>
      </c>
      <c r="Z138" s="52" t="str">
        <f t="shared" si="207"/>
        <v/>
      </c>
      <c r="AA138" s="52" t="str">
        <f t="shared" si="207"/>
        <v/>
      </c>
      <c r="AB138" s="52" t="str">
        <f t="shared" si="207"/>
        <v/>
      </c>
      <c r="AC138" s="52" t="str">
        <f t="shared" si="207"/>
        <v/>
      </c>
      <c r="AD138" s="52" t="str">
        <f t="shared" si="207"/>
        <v/>
      </c>
      <c r="AE138" s="52" t="str">
        <f t="shared" si="207"/>
        <v/>
      </c>
      <c r="AF138" s="52" t="str">
        <f t="shared" si="207"/>
        <v/>
      </c>
      <c r="AG138" s="52" t="str">
        <f t="shared" si="207"/>
        <v/>
      </c>
      <c r="AH138" s="52" t="str">
        <f t="shared" si="207"/>
        <v/>
      </c>
    </row>
    <row r="139" spans="1:34" x14ac:dyDescent="0.35">
      <c r="B139" s="43" t="str">
        <f t="shared" si="196"/>
        <v>clive</v>
      </c>
      <c r="C139" s="43">
        <f t="shared" ref="C139:Q142" si="208">IF(AM56&gt;0,T$107,"")</f>
        <v>0.9</v>
      </c>
      <c r="D139" s="43">
        <f t="shared" si="208"/>
        <v>0.9</v>
      </c>
      <c r="E139" s="43">
        <f t="shared" si="208"/>
        <v>0.9</v>
      </c>
      <c r="F139" s="43">
        <f t="shared" si="208"/>
        <v>0.9</v>
      </c>
      <c r="G139" s="43">
        <f t="shared" si="208"/>
        <v>0.9</v>
      </c>
      <c r="H139" s="43">
        <f t="shared" si="208"/>
        <v>0.9</v>
      </c>
      <c r="I139" s="43">
        <f t="shared" si="208"/>
        <v>0.9</v>
      </c>
      <c r="J139" s="43">
        <f t="shared" si="208"/>
        <v>0.9</v>
      </c>
      <c r="K139" s="43">
        <f t="shared" si="208"/>
        <v>0.9</v>
      </c>
      <c r="L139" s="43">
        <f t="shared" si="208"/>
        <v>0.9</v>
      </c>
      <c r="M139" s="43">
        <f t="shared" si="208"/>
        <v>0.9</v>
      </c>
      <c r="N139" s="43">
        <f t="shared" si="208"/>
        <v>0.9</v>
      </c>
      <c r="O139" s="43">
        <f t="shared" si="208"/>
        <v>0.9</v>
      </c>
      <c r="P139" s="43">
        <f t="shared" si="208"/>
        <v>0.9</v>
      </c>
      <c r="Q139" s="43">
        <f t="shared" si="208"/>
        <v>0.9</v>
      </c>
      <c r="S139" s="43" t="str">
        <f t="shared" si="198"/>
        <v>alive</v>
      </c>
      <c r="T139" s="43">
        <f t="shared" ref="T139:AH142" si="209">IF(BD56&gt;0,T$107,"")</f>
        <v>0.9</v>
      </c>
      <c r="U139" s="43">
        <f t="shared" si="209"/>
        <v>0.9</v>
      </c>
      <c r="V139" s="43">
        <f t="shared" si="209"/>
        <v>0.9</v>
      </c>
      <c r="W139" s="43">
        <f t="shared" si="209"/>
        <v>0.9</v>
      </c>
      <c r="X139" s="43">
        <f t="shared" si="209"/>
        <v>0.9</v>
      </c>
      <c r="Y139" s="43" t="str">
        <f t="shared" si="209"/>
        <v/>
      </c>
      <c r="Z139" s="43" t="str">
        <f t="shared" si="209"/>
        <v/>
      </c>
      <c r="AA139" s="43" t="str">
        <f t="shared" si="209"/>
        <v/>
      </c>
      <c r="AB139" s="43" t="str">
        <f t="shared" si="209"/>
        <v/>
      </c>
      <c r="AC139" s="43" t="str">
        <f t="shared" si="209"/>
        <v/>
      </c>
      <c r="AD139" s="43">
        <f t="shared" si="209"/>
        <v>0.9</v>
      </c>
      <c r="AE139" s="43">
        <f t="shared" si="209"/>
        <v>0.9</v>
      </c>
      <c r="AF139" s="43">
        <f t="shared" si="209"/>
        <v>0.9</v>
      </c>
      <c r="AG139" s="43">
        <f t="shared" si="209"/>
        <v>0.9</v>
      </c>
      <c r="AH139" s="43">
        <f t="shared" si="209"/>
        <v>0.9</v>
      </c>
    </row>
    <row r="140" spans="1:34" x14ac:dyDescent="0.35">
      <c r="B140" s="43" t="str">
        <f t="shared" si="196"/>
        <v>cfish</v>
      </c>
      <c r="C140" s="43">
        <f t="shared" si="208"/>
        <v>0.9</v>
      </c>
      <c r="D140" s="43">
        <f t="shared" si="208"/>
        <v>0.9</v>
      </c>
      <c r="E140" s="43">
        <f t="shared" si="208"/>
        <v>0.9</v>
      </c>
      <c r="F140" s="43">
        <f t="shared" si="208"/>
        <v>0.9</v>
      </c>
      <c r="G140" s="43">
        <f t="shared" si="208"/>
        <v>0.9</v>
      </c>
      <c r="H140" s="43">
        <f t="shared" si="208"/>
        <v>0.9</v>
      </c>
      <c r="I140" s="43">
        <f t="shared" si="208"/>
        <v>0.9</v>
      </c>
      <c r="J140" s="43">
        <f t="shared" si="208"/>
        <v>0.9</v>
      </c>
      <c r="K140" s="43">
        <f t="shared" si="208"/>
        <v>0.9</v>
      </c>
      <c r="L140" s="43">
        <f t="shared" si="208"/>
        <v>0.9</v>
      </c>
      <c r="M140" s="43">
        <f t="shared" si="208"/>
        <v>0.9</v>
      </c>
      <c r="N140" s="43">
        <f t="shared" si="208"/>
        <v>0.9</v>
      </c>
      <c r="O140" s="43">
        <f t="shared" si="208"/>
        <v>0.9</v>
      </c>
      <c r="P140" s="43">
        <f t="shared" si="208"/>
        <v>0.9</v>
      </c>
      <c r="Q140" s="43">
        <f t="shared" si="208"/>
        <v>0.9</v>
      </c>
      <c r="S140" s="43" t="str">
        <f t="shared" si="198"/>
        <v>afish</v>
      </c>
      <c r="T140" s="43">
        <f t="shared" si="209"/>
        <v>0.9</v>
      </c>
      <c r="U140" s="43">
        <f t="shared" si="209"/>
        <v>0.9</v>
      </c>
      <c r="V140" s="43">
        <f t="shared" si="209"/>
        <v>0.9</v>
      </c>
      <c r="W140" s="43">
        <f t="shared" si="209"/>
        <v>0.9</v>
      </c>
      <c r="X140" s="43">
        <f t="shared" si="209"/>
        <v>0.9</v>
      </c>
      <c r="Y140" s="43" t="str">
        <f t="shared" si="209"/>
        <v/>
      </c>
      <c r="Z140" s="43" t="str">
        <f t="shared" si="209"/>
        <v/>
      </c>
      <c r="AA140" s="43" t="str">
        <f t="shared" si="209"/>
        <v/>
      </c>
      <c r="AB140" s="43" t="str">
        <f t="shared" si="209"/>
        <v/>
      </c>
      <c r="AC140" s="43" t="str">
        <f t="shared" si="209"/>
        <v/>
      </c>
      <c r="AD140" s="43">
        <f t="shared" si="209"/>
        <v>0.9</v>
      </c>
      <c r="AE140" s="43" t="str">
        <f t="shared" si="209"/>
        <v/>
      </c>
      <c r="AF140" s="43">
        <f t="shared" si="209"/>
        <v>0.9</v>
      </c>
      <c r="AG140" s="43">
        <f t="shared" si="209"/>
        <v>0.9</v>
      </c>
      <c r="AH140" s="43">
        <f t="shared" si="209"/>
        <v>0.9</v>
      </c>
    </row>
    <row r="141" spans="1:34" x14ac:dyDescent="0.35">
      <c r="B141" s="43" t="str">
        <f t="shared" si="196"/>
        <v>cmeat</v>
      </c>
      <c r="C141" s="43">
        <f t="shared" si="208"/>
        <v>0.9</v>
      </c>
      <c r="D141" s="43">
        <f t="shared" si="208"/>
        <v>0.9</v>
      </c>
      <c r="E141" s="43">
        <f t="shared" si="208"/>
        <v>0.9</v>
      </c>
      <c r="F141" s="43">
        <f t="shared" si="208"/>
        <v>0.9</v>
      </c>
      <c r="G141" s="43">
        <f t="shared" si="208"/>
        <v>0.9</v>
      </c>
      <c r="H141" s="43">
        <f t="shared" si="208"/>
        <v>0.9</v>
      </c>
      <c r="I141" s="43">
        <f t="shared" si="208"/>
        <v>0.9</v>
      </c>
      <c r="J141" s="43">
        <f t="shared" si="208"/>
        <v>0.9</v>
      </c>
      <c r="K141" s="43">
        <f t="shared" si="208"/>
        <v>0.9</v>
      </c>
      <c r="L141" s="43">
        <f t="shared" si="208"/>
        <v>0.9</v>
      </c>
      <c r="M141" s="43" t="str">
        <f t="shared" si="208"/>
        <v/>
      </c>
      <c r="N141" s="43">
        <f t="shared" si="208"/>
        <v>0.9</v>
      </c>
      <c r="O141" s="43">
        <f t="shared" si="208"/>
        <v>0.9</v>
      </c>
      <c r="P141" s="43">
        <f t="shared" si="208"/>
        <v>0.9</v>
      </c>
      <c r="Q141" s="43">
        <f t="shared" si="208"/>
        <v>0.9</v>
      </c>
      <c r="S141" s="43" t="str">
        <f t="shared" si="198"/>
        <v>ameat</v>
      </c>
      <c r="T141" s="43" t="str">
        <f t="shared" si="209"/>
        <v/>
      </c>
      <c r="U141" s="43" t="str">
        <f t="shared" si="209"/>
        <v/>
      </c>
      <c r="V141" s="43" t="str">
        <f t="shared" si="209"/>
        <v/>
      </c>
      <c r="W141" s="43" t="str">
        <f t="shared" si="209"/>
        <v/>
      </c>
      <c r="X141" s="43" t="str">
        <f t="shared" si="209"/>
        <v/>
      </c>
      <c r="Y141" s="43" t="str">
        <f t="shared" si="209"/>
        <v/>
      </c>
      <c r="Z141" s="43" t="str">
        <f t="shared" si="209"/>
        <v/>
      </c>
      <c r="AA141" s="43" t="str">
        <f t="shared" si="209"/>
        <v/>
      </c>
      <c r="AB141" s="43" t="str">
        <f t="shared" si="209"/>
        <v/>
      </c>
      <c r="AC141" s="43" t="str">
        <f t="shared" si="209"/>
        <v/>
      </c>
      <c r="AD141" s="43" t="str">
        <f t="shared" si="209"/>
        <v/>
      </c>
      <c r="AE141" s="43" t="str">
        <f t="shared" si="209"/>
        <v/>
      </c>
      <c r="AF141" s="43" t="str">
        <f t="shared" si="209"/>
        <v/>
      </c>
      <c r="AG141" s="43" t="str">
        <f t="shared" si="209"/>
        <v/>
      </c>
      <c r="AH141" s="43" t="str">
        <f t="shared" si="209"/>
        <v/>
      </c>
    </row>
    <row r="142" spans="1:34" x14ac:dyDescent="0.35">
      <c r="B142" s="52" t="str">
        <f t="shared" si="196"/>
        <v>cfsea</v>
      </c>
      <c r="C142" s="52">
        <f t="shared" si="208"/>
        <v>0.9</v>
      </c>
      <c r="D142" s="52">
        <f t="shared" si="208"/>
        <v>0.9</v>
      </c>
      <c r="E142" s="52">
        <f t="shared" si="208"/>
        <v>0.9</v>
      </c>
      <c r="F142" s="52">
        <f t="shared" si="208"/>
        <v>0.9</v>
      </c>
      <c r="G142" s="52">
        <f t="shared" si="208"/>
        <v>0.9</v>
      </c>
      <c r="H142" s="52">
        <f t="shared" si="208"/>
        <v>0.9</v>
      </c>
      <c r="I142" s="52">
        <f t="shared" si="208"/>
        <v>0.9</v>
      </c>
      <c r="J142" s="52">
        <f t="shared" si="208"/>
        <v>0.9</v>
      </c>
      <c r="K142" s="52">
        <f t="shared" si="208"/>
        <v>0.9</v>
      </c>
      <c r="L142" s="52">
        <f t="shared" si="208"/>
        <v>0.9</v>
      </c>
      <c r="M142" s="52">
        <f t="shared" si="208"/>
        <v>0.9</v>
      </c>
      <c r="N142" s="52">
        <f t="shared" si="208"/>
        <v>0.9</v>
      </c>
      <c r="O142" s="52">
        <f t="shared" si="208"/>
        <v>0.9</v>
      </c>
      <c r="P142" s="52">
        <f t="shared" si="208"/>
        <v>0.9</v>
      </c>
      <c r="Q142" s="52">
        <f t="shared" si="208"/>
        <v>0.9</v>
      </c>
      <c r="S142" s="52" t="str">
        <f t="shared" si="198"/>
        <v>afsea</v>
      </c>
      <c r="T142" s="52" t="str">
        <f t="shared" si="209"/>
        <v/>
      </c>
      <c r="U142" s="52" t="str">
        <f t="shared" si="209"/>
        <v/>
      </c>
      <c r="V142" s="52" t="str">
        <f t="shared" si="209"/>
        <v/>
      </c>
      <c r="W142" s="52" t="str">
        <f t="shared" si="209"/>
        <v/>
      </c>
      <c r="X142" s="52" t="str">
        <f t="shared" si="209"/>
        <v/>
      </c>
      <c r="Y142" s="52" t="str">
        <f t="shared" si="209"/>
        <v/>
      </c>
      <c r="Z142" s="52" t="str">
        <f t="shared" si="209"/>
        <v/>
      </c>
      <c r="AA142" s="52" t="str">
        <f t="shared" si="209"/>
        <v/>
      </c>
      <c r="AB142" s="52" t="str">
        <f t="shared" si="209"/>
        <v/>
      </c>
      <c r="AC142" s="52" t="str">
        <f t="shared" si="209"/>
        <v/>
      </c>
      <c r="AD142" s="52" t="str">
        <f t="shared" si="209"/>
        <v/>
      </c>
      <c r="AE142" s="52" t="str">
        <f t="shared" si="209"/>
        <v/>
      </c>
      <c r="AF142" s="52" t="str">
        <f t="shared" si="209"/>
        <v/>
      </c>
      <c r="AG142" s="52" t="str">
        <f t="shared" si="209"/>
        <v/>
      </c>
      <c r="AH142" s="52" t="str">
        <f t="shared" si="209"/>
        <v/>
      </c>
    </row>
    <row r="143" spans="1:34" x14ac:dyDescent="0.35">
      <c r="B143" s="43" t="str">
        <f t="shared" si="196"/>
        <v>cmilk</v>
      </c>
      <c r="C143" s="43">
        <f t="shared" ref="C143:Q144" si="210">IF(AM60&gt;0,T$108,"")</f>
        <v>0.8</v>
      </c>
      <c r="D143" s="43">
        <f t="shared" si="210"/>
        <v>0.8</v>
      </c>
      <c r="E143" s="43">
        <f t="shared" si="210"/>
        <v>0.8</v>
      </c>
      <c r="F143" s="43">
        <f t="shared" si="210"/>
        <v>0.8</v>
      </c>
      <c r="G143" s="43">
        <f t="shared" si="210"/>
        <v>0.8</v>
      </c>
      <c r="H143" s="43">
        <f t="shared" si="210"/>
        <v>0.8</v>
      </c>
      <c r="I143" s="43">
        <f t="shared" si="210"/>
        <v>0.8</v>
      </c>
      <c r="J143" s="43">
        <f t="shared" si="210"/>
        <v>0.8</v>
      </c>
      <c r="K143" s="43">
        <f t="shared" si="210"/>
        <v>0.8</v>
      </c>
      <c r="L143" s="43">
        <f t="shared" si="210"/>
        <v>0.8</v>
      </c>
      <c r="M143" s="43">
        <f t="shared" si="210"/>
        <v>0.8</v>
      </c>
      <c r="N143" s="43">
        <f t="shared" si="210"/>
        <v>0.8</v>
      </c>
      <c r="O143" s="43">
        <f t="shared" si="210"/>
        <v>0.8</v>
      </c>
      <c r="P143" s="43">
        <f t="shared" si="210"/>
        <v>0.8</v>
      </c>
      <c r="Q143" s="43">
        <f t="shared" si="210"/>
        <v>0.8</v>
      </c>
      <c r="S143" s="43" t="str">
        <f t="shared" si="198"/>
        <v>amilk</v>
      </c>
      <c r="T143" s="43">
        <f t="shared" ref="T143:AH144" si="211">IF(BD60&gt;0,T$108,"")</f>
        <v>0.8</v>
      </c>
      <c r="U143" s="43">
        <f t="shared" si="211"/>
        <v>0.8</v>
      </c>
      <c r="V143" s="43">
        <f t="shared" si="211"/>
        <v>0.8</v>
      </c>
      <c r="W143" s="43">
        <f t="shared" si="211"/>
        <v>0.8</v>
      </c>
      <c r="X143" s="43">
        <f t="shared" si="211"/>
        <v>0.8</v>
      </c>
      <c r="Y143" s="43" t="str">
        <f t="shared" si="211"/>
        <v/>
      </c>
      <c r="Z143" s="43" t="str">
        <f t="shared" si="211"/>
        <v/>
      </c>
      <c r="AA143" s="43" t="str">
        <f t="shared" si="211"/>
        <v/>
      </c>
      <c r="AB143" s="43" t="str">
        <f t="shared" si="211"/>
        <v/>
      </c>
      <c r="AC143" s="43" t="str">
        <f t="shared" si="211"/>
        <v/>
      </c>
      <c r="AD143" s="43">
        <f t="shared" si="211"/>
        <v>0.8</v>
      </c>
      <c r="AE143" s="43">
        <f t="shared" si="211"/>
        <v>0.8</v>
      </c>
      <c r="AF143" s="43">
        <f t="shared" si="211"/>
        <v>0.8</v>
      </c>
      <c r="AG143" s="43">
        <f t="shared" si="211"/>
        <v>0.8</v>
      </c>
      <c r="AH143" s="43">
        <f t="shared" si="211"/>
        <v>0.8</v>
      </c>
    </row>
    <row r="144" spans="1:34" x14ac:dyDescent="0.35">
      <c r="B144" s="52" t="str">
        <f t="shared" si="196"/>
        <v>cdair</v>
      </c>
      <c r="C144" s="52">
        <f t="shared" si="210"/>
        <v>0.8</v>
      </c>
      <c r="D144" s="52">
        <f t="shared" si="210"/>
        <v>0.8</v>
      </c>
      <c r="E144" s="52">
        <f t="shared" si="210"/>
        <v>0.8</v>
      </c>
      <c r="F144" s="52">
        <f t="shared" si="210"/>
        <v>0.8</v>
      </c>
      <c r="G144" s="52">
        <f t="shared" si="210"/>
        <v>0.8</v>
      </c>
      <c r="H144" s="52">
        <f t="shared" si="210"/>
        <v>0.8</v>
      </c>
      <c r="I144" s="52">
        <f t="shared" si="210"/>
        <v>0.8</v>
      </c>
      <c r="J144" s="52">
        <f t="shared" si="210"/>
        <v>0.8</v>
      </c>
      <c r="K144" s="52">
        <f t="shared" si="210"/>
        <v>0.8</v>
      </c>
      <c r="L144" s="52">
        <f t="shared" si="210"/>
        <v>0.8</v>
      </c>
      <c r="M144" s="52">
        <f t="shared" si="210"/>
        <v>0.8</v>
      </c>
      <c r="N144" s="52">
        <f t="shared" si="210"/>
        <v>0.8</v>
      </c>
      <c r="O144" s="52">
        <f t="shared" si="210"/>
        <v>0.8</v>
      </c>
      <c r="P144" s="52">
        <f t="shared" si="210"/>
        <v>0.8</v>
      </c>
      <c r="Q144" s="52">
        <f t="shared" si="210"/>
        <v>0.8</v>
      </c>
      <c r="S144" s="52" t="str">
        <f t="shared" si="198"/>
        <v>adair</v>
      </c>
      <c r="T144" s="52" t="str">
        <f t="shared" si="211"/>
        <v/>
      </c>
      <c r="U144" s="52" t="str">
        <f t="shared" si="211"/>
        <v/>
      </c>
      <c r="V144" s="52" t="str">
        <f t="shared" si="211"/>
        <v/>
      </c>
      <c r="W144" s="52" t="str">
        <f t="shared" si="211"/>
        <v/>
      </c>
      <c r="X144" s="52" t="str">
        <f t="shared" si="211"/>
        <v/>
      </c>
      <c r="Y144" s="52" t="str">
        <f t="shared" si="211"/>
        <v/>
      </c>
      <c r="Z144" s="52" t="str">
        <f t="shared" si="211"/>
        <v/>
      </c>
      <c r="AA144" s="52" t="str">
        <f t="shared" si="211"/>
        <v/>
      </c>
      <c r="AB144" s="52" t="str">
        <f t="shared" si="211"/>
        <v/>
      </c>
      <c r="AC144" s="52" t="str">
        <f t="shared" si="211"/>
        <v/>
      </c>
      <c r="AD144" s="52" t="str">
        <f t="shared" si="211"/>
        <v/>
      </c>
      <c r="AE144" s="52" t="str">
        <f t="shared" si="211"/>
        <v/>
      </c>
      <c r="AF144" s="52" t="str">
        <f t="shared" si="211"/>
        <v/>
      </c>
      <c r="AG144" s="52" t="str">
        <f t="shared" si="211"/>
        <v/>
      </c>
      <c r="AH144" s="52" t="str">
        <f t="shared" si="211"/>
        <v/>
      </c>
    </row>
    <row r="145" spans="2:34" x14ac:dyDescent="0.35">
      <c r="B145" s="43" t="str">
        <f t="shared" si="196"/>
        <v>coils</v>
      </c>
      <c r="C145" s="43">
        <f t="shared" ref="C145:Q146" si="212">IF(AM62&gt;0,T$109,"")</f>
        <v>0.8</v>
      </c>
      <c r="D145" s="43">
        <f t="shared" si="212"/>
        <v>0.8</v>
      </c>
      <c r="E145" s="43">
        <f t="shared" si="212"/>
        <v>0.8</v>
      </c>
      <c r="F145" s="43">
        <f t="shared" si="212"/>
        <v>0.8</v>
      </c>
      <c r="G145" s="43">
        <f t="shared" si="212"/>
        <v>0.8</v>
      </c>
      <c r="H145" s="43">
        <f t="shared" si="212"/>
        <v>0.8</v>
      </c>
      <c r="I145" s="43">
        <f t="shared" si="212"/>
        <v>0.8</v>
      </c>
      <c r="J145" s="43">
        <f t="shared" si="212"/>
        <v>0.8</v>
      </c>
      <c r="K145" s="43">
        <f t="shared" si="212"/>
        <v>0.8</v>
      </c>
      <c r="L145" s="43">
        <f t="shared" si="212"/>
        <v>0.8</v>
      </c>
      <c r="M145" s="43">
        <f t="shared" si="212"/>
        <v>0.8</v>
      </c>
      <c r="N145" s="43">
        <f t="shared" si="212"/>
        <v>0.8</v>
      </c>
      <c r="O145" s="43">
        <f t="shared" si="212"/>
        <v>0.8</v>
      </c>
      <c r="P145" s="43">
        <f t="shared" si="212"/>
        <v>0.8</v>
      </c>
      <c r="Q145" s="43">
        <f t="shared" si="212"/>
        <v>0.8</v>
      </c>
      <c r="S145" s="43" t="str">
        <f t="shared" si="198"/>
        <v>aoils</v>
      </c>
      <c r="T145" s="43">
        <f t="shared" ref="T145:AH146" si="213">IF(BD62&gt;0,T$109,"")</f>
        <v>0.8</v>
      </c>
      <c r="U145" s="43">
        <f t="shared" si="213"/>
        <v>0.8</v>
      </c>
      <c r="V145" s="43">
        <f t="shared" si="213"/>
        <v>0.8</v>
      </c>
      <c r="W145" s="43">
        <f t="shared" si="213"/>
        <v>0.8</v>
      </c>
      <c r="X145" s="43">
        <f t="shared" si="213"/>
        <v>0.8</v>
      </c>
      <c r="Y145" s="43" t="str">
        <f t="shared" si="213"/>
        <v/>
      </c>
      <c r="Z145" s="43" t="str">
        <f t="shared" si="213"/>
        <v/>
      </c>
      <c r="AA145" s="43" t="str">
        <f t="shared" si="213"/>
        <v/>
      </c>
      <c r="AB145" s="43" t="str">
        <f t="shared" si="213"/>
        <v/>
      </c>
      <c r="AC145" s="43" t="str">
        <f t="shared" si="213"/>
        <v/>
      </c>
      <c r="AD145" s="43">
        <f t="shared" si="213"/>
        <v>0.8</v>
      </c>
      <c r="AE145" s="43">
        <f t="shared" si="213"/>
        <v>0.8</v>
      </c>
      <c r="AF145" s="43">
        <f t="shared" si="213"/>
        <v>0.8</v>
      </c>
      <c r="AG145" s="43">
        <f t="shared" si="213"/>
        <v>0.8</v>
      </c>
      <c r="AH145" s="43">
        <f t="shared" si="213"/>
        <v>0.8</v>
      </c>
    </row>
    <row r="146" spans="2:34" x14ac:dyDescent="0.35">
      <c r="B146" s="52" t="str">
        <f t="shared" si="196"/>
        <v>cfoil</v>
      </c>
      <c r="C146" s="52">
        <f t="shared" si="212"/>
        <v>0.8</v>
      </c>
      <c r="D146" s="52">
        <f t="shared" si="212"/>
        <v>0.8</v>
      </c>
      <c r="E146" s="52">
        <f t="shared" si="212"/>
        <v>0.8</v>
      </c>
      <c r="F146" s="52">
        <f t="shared" si="212"/>
        <v>0.8</v>
      </c>
      <c r="G146" s="52">
        <f t="shared" si="212"/>
        <v>0.8</v>
      </c>
      <c r="H146" s="52">
        <f t="shared" si="212"/>
        <v>0.8</v>
      </c>
      <c r="I146" s="52">
        <f t="shared" si="212"/>
        <v>0.8</v>
      </c>
      <c r="J146" s="52">
        <f t="shared" si="212"/>
        <v>0.8</v>
      </c>
      <c r="K146" s="52">
        <f t="shared" si="212"/>
        <v>0.8</v>
      </c>
      <c r="L146" s="52">
        <f t="shared" si="212"/>
        <v>0.8</v>
      </c>
      <c r="M146" s="52">
        <f t="shared" si="212"/>
        <v>0.8</v>
      </c>
      <c r="N146" s="52">
        <f t="shared" si="212"/>
        <v>0.8</v>
      </c>
      <c r="O146" s="52">
        <f t="shared" si="212"/>
        <v>0.8</v>
      </c>
      <c r="P146" s="52">
        <f t="shared" si="212"/>
        <v>0.8</v>
      </c>
      <c r="Q146" s="52">
        <f t="shared" si="212"/>
        <v>0.8</v>
      </c>
      <c r="S146" s="52" t="str">
        <f t="shared" si="198"/>
        <v>afoil</v>
      </c>
      <c r="T146" s="52" t="str">
        <f t="shared" si="213"/>
        <v/>
      </c>
      <c r="U146" s="52" t="str">
        <f t="shared" si="213"/>
        <v/>
      </c>
      <c r="V146" s="52" t="str">
        <f t="shared" si="213"/>
        <v/>
      </c>
      <c r="W146" s="52" t="str">
        <f t="shared" si="213"/>
        <v/>
      </c>
      <c r="X146" s="52" t="str">
        <f t="shared" si="213"/>
        <v/>
      </c>
      <c r="Y146" s="52" t="str">
        <f t="shared" si="213"/>
        <v/>
      </c>
      <c r="Z146" s="52" t="str">
        <f t="shared" si="213"/>
        <v/>
      </c>
      <c r="AA146" s="52" t="str">
        <f t="shared" si="213"/>
        <v/>
      </c>
      <c r="AB146" s="52" t="str">
        <f t="shared" si="213"/>
        <v/>
      </c>
      <c r="AC146" s="52" t="str">
        <f t="shared" si="213"/>
        <v/>
      </c>
      <c r="AD146" s="52" t="str">
        <f t="shared" si="213"/>
        <v/>
      </c>
      <c r="AE146" s="52" t="str">
        <f t="shared" si="213"/>
        <v/>
      </c>
      <c r="AF146" s="52" t="str">
        <f t="shared" si="213"/>
        <v/>
      </c>
      <c r="AG146" s="52" t="str">
        <f t="shared" si="213"/>
        <v/>
      </c>
      <c r="AH146" s="52" t="str">
        <f t="shared" si="213"/>
        <v/>
      </c>
    </row>
    <row r="147" spans="2:34" x14ac:dyDescent="0.35">
      <c r="B147" s="43" t="str">
        <f t="shared" si="196"/>
        <v>cfobe</v>
      </c>
      <c r="C147" s="43">
        <f t="shared" ref="C147:Q147" si="214">IF(AM64&gt;0,T$110,"")</f>
        <v>1.5</v>
      </c>
      <c r="D147" s="43">
        <f t="shared" si="214"/>
        <v>1.5</v>
      </c>
      <c r="E147" s="43">
        <f t="shared" si="214"/>
        <v>1.5</v>
      </c>
      <c r="F147" s="43">
        <f t="shared" si="214"/>
        <v>1.5</v>
      </c>
      <c r="G147" s="43">
        <f t="shared" si="214"/>
        <v>1.5</v>
      </c>
      <c r="H147" s="43">
        <f t="shared" si="214"/>
        <v>1.5</v>
      </c>
      <c r="I147" s="43">
        <f t="shared" si="214"/>
        <v>1.5</v>
      </c>
      <c r="J147" s="43">
        <f t="shared" si="214"/>
        <v>1.5</v>
      </c>
      <c r="K147" s="43">
        <f t="shared" si="214"/>
        <v>1.5</v>
      </c>
      <c r="L147" s="43">
        <f t="shared" si="214"/>
        <v>1.5</v>
      </c>
      <c r="M147" s="43">
        <f t="shared" si="214"/>
        <v>1.5</v>
      </c>
      <c r="N147" s="43">
        <f t="shared" si="214"/>
        <v>1.5</v>
      </c>
      <c r="O147" s="43">
        <f t="shared" si="214"/>
        <v>1.5</v>
      </c>
      <c r="P147" s="43">
        <f t="shared" si="214"/>
        <v>1.5</v>
      </c>
      <c r="Q147" s="43">
        <f t="shared" si="214"/>
        <v>1.5</v>
      </c>
      <c r="S147" s="43" t="str">
        <f t="shared" si="198"/>
        <v>afobe</v>
      </c>
      <c r="T147" s="43" t="str">
        <f t="shared" ref="T147:AH147" si="215">IF(BD64&gt;0,T$110,"")</f>
        <v/>
      </c>
      <c r="U147" s="43" t="str">
        <f t="shared" si="215"/>
        <v/>
      </c>
      <c r="V147" s="43" t="str">
        <f t="shared" si="215"/>
        <v/>
      </c>
      <c r="W147" s="43" t="str">
        <f t="shared" si="215"/>
        <v/>
      </c>
      <c r="X147" s="43" t="str">
        <f t="shared" si="215"/>
        <v/>
      </c>
      <c r="Y147" s="43" t="str">
        <f t="shared" si="215"/>
        <v/>
      </c>
      <c r="Z147" s="43" t="str">
        <f t="shared" si="215"/>
        <v/>
      </c>
      <c r="AA147" s="43" t="str">
        <f t="shared" si="215"/>
        <v/>
      </c>
      <c r="AB147" s="43" t="str">
        <f t="shared" si="215"/>
        <v/>
      </c>
      <c r="AC147" s="43" t="str">
        <f t="shared" si="215"/>
        <v/>
      </c>
      <c r="AD147" s="43" t="str">
        <f t="shared" si="215"/>
        <v/>
      </c>
      <c r="AE147" s="43" t="str">
        <f t="shared" si="215"/>
        <v/>
      </c>
      <c r="AF147" s="43" t="str">
        <f t="shared" si="215"/>
        <v/>
      </c>
      <c r="AG147" s="43" t="str">
        <f t="shared" si="215"/>
        <v/>
      </c>
      <c r="AH147" s="43" t="str">
        <f t="shared" si="215"/>
        <v/>
      </c>
    </row>
    <row r="148" spans="2:34" x14ac:dyDescent="0.35">
      <c r="B148" s="43" t="str">
        <f t="shared" si="196"/>
        <v>ctext</v>
      </c>
      <c r="C148" s="43">
        <f t="shared" ref="C148:Q148" si="216">IF(AM65&gt;0,T$111,"")</f>
        <v>1</v>
      </c>
      <c r="D148" s="43">
        <f t="shared" si="216"/>
        <v>1</v>
      </c>
      <c r="E148" s="43">
        <f t="shared" si="216"/>
        <v>1</v>
      </c>
      <c r="F148" s="43">
        <f t="shared" si="216"/>
        <v>1</v>
      </c>
      <c r="G148" s="43">
        <f t="shared" si="216"/>
        <v>1</v>
      </c>
      <c r="H148" s="43">
        <f t="shared" si="216"/>
        <v>1</v>
      </c>
      <c r="I148" s="43">
        <f t="shared" si="216"/>
        <v>1</v>
      </c>
      <c r="J148" s="43">
        <f t="shared" si="216"/>
        <v>1</v>
      </c>
      <c r="K148" s="43">
        <f t="shared" si="216"/>
        <v>1</v>
      </c>
      <c r="L148" s="43">
        <f t="shared" si="216"/>
        <v>1</v>
      </c>
      <c r="M148" s="43">
        <f t="shared" si="216"/>
        <v>1</v>
      </c>
      <c r="N148" s="43">
        <f t="shared" si="216"/>
        <v>1</v>
      </c>
      <c r="O148" s="43">
        <f t="shared" si="216"/>
        <v>1</v>
      </c>
      <c r="P148" s="43">
        <f t="shared" si="216"/>
        <v>1</v>
      </c>
      <c r="Q148" s="43">
        <f t="shared" si="216"/>
        <v>1</v>
      </c>
      <c r="S148" s="43" t="str">
        <f t="shared" si="198"/>
        <v>atext</v>
      </c>
      <c r="T148" s="43" t="str">
        <f t="shared" ref="T148:AH148" si="217">IF(BD65&gt;0,T$111,"")</f>
        <v/>
      </c>
      <c r="U148" s="43" t="str">
        <f t="shared" si="217"/>
        <v/>
      </c>
      <c r="V148" s="43" t="str">
        <f t="shared" si="217"/>
        <v/>
      </c>
      <c r="W148" s="43" t="str">
        <f t="shared" si="217"/>
        <v/>
      </c>
      <c r="X148" s="43" t="str">
        <f t="shared" si="217"/>
        <v/>
      </c>
      <c r="Y148" s="43" t="str">
        <f t="shared" si="217"/>
        <v/>
      </c>
      <c r="Z148" s="43" t="str">
        <f t="shared" si="217"/>
        <v/>
      </c>
      <c r="AA148" s="43" t="str">
        <f t="shared" si="217"/>
        <v/>
      </c>
      <c r="AB148" s="43" t="str">
        <f t="shared" si="217"/>
        <v/>
      </c>
      <c r="AC148" s="43" t="str">
        <f t="shared" si="217"/>
        <v/>
      </c>
      <c r="AD148" s="43" t="str">
        <f t="shared" si="217"/>
        <v/>
      </c>
      <c r="AE148" s="43" t="str">
        <f t="shared" si="217"/>
        <v/>
      </c>
      <c r="AF148" s="43" t="str">
        <f t="shared" si="217"/>
        <v/>
      </c>
      <c r="AG148" s="43" t="str">
        <f t="shared" si="217"/>
        <v/>
      </c>
      <c r="AH148" s="43" t="str">
        <f t="shared" si="217"/>
        <v/>
      </c>
    </row>
    <row r="149" spans="2:34" x14ac:dyDescent="0.35">
      <c r="B149" s="58" t="str">
        <f t="shared" si="196"/>
        <v>celec</v>
      </c>
      <c r="C149" s="58">
        <f t="shared" ref="C149:Q150" si="218">IF(AM66&gt;0,T$112,"")</f>
        <v>1</v>
      </c>
      <c r="D149" s="58">
        <f t="shared" si="218"/>
        <v>1</v>
      </c>
      <c r="E149" s="58">
        <f t="shared" si="218"/>
        <v>1</v>
      </c>
      <c r="F149" s="58">
        <f t="shared" si="218"/>
        <v>1</v>
      </c>
      <c r="G149" s="58">
        <f t="shared" si="218"/>
        <v>1</v>
      </c>
      <c r="H149" s="58">
        <f t="shared" si="218"/>
        <v>1</v>
      </c>
      <c r="I149" s="58">
        <f t="shared" si="218"/>
        <v>1</v>
      </c>
      <c r="J149" s="58">
        <f t="shared" si="218"/>
        <v>1</v>
      </c>
      <c r="K149" s="58">
        <f t="shared" si="218"/>
        <v>1</v>
      </c>
      <c r="L149" s="58">
        <f t="shared" si="218"/>
        <v>1</v>
      </c>
      <c r="M149" s="58">
        <f t="shared" si="218"/>
        <v>1</v>
      </c>
      <c r="N149" s="58">
        <f t="shared" si="218"/>
        <v>1</v>
      </c>
      <c r="O149" s="58">
        <f t="shared" si="218"/>
        <v>1</v>
      </c>
      <c r="P149" s="58">
        <f t="shared" si="218"/>
        <v>1</v>
      </c>
      <c r="Q149" s="58">
        <f t="shared" si="218"/>
        <v>1</v>
      </c>
      <c r="S149" s="58" t="str">
        <f t="shared" si="198"/>
        <v>aelec</v>
      </c>
      <c r="T149" s="58" t="str">
        <f t="shared" ref="T149:AH150" si="219">IF(BD66&gt;0,T$112,"")</f>
        <v/>
      </c>
      <c r="U149" s="58" t="str">
        <f t="shared" si="219"/>
        <v/>
      </c>
      <c r="V149" s="58" t="str">
        <f t="shared" si="219"/>
        <v/>
      </c>
      <c r="W149" s="58" t="str">
        <f t="shared" si="219"/>
        <v/>
      </c>
      <c r="X149" s="58" t="str">
        <f t="shared" si="219"/>
        <v/>
      </c>
      <c r="Y149" s="58" t="str">
        <f t="shared" si="219"/>
        <v/>
      </c>
      <c r="Z149" s="58" t="str">
        <f t="shared" si="219"/>
        <v/>
      </c>
      <c r="AA149" s="58" t="str">
        <f t="shared" si="219"/>
        <v/>
      </c>
      <c r="AB149" s="58" t="str">
        <f t="shared" si="219"/>
        <v/>
      </c>
      <c r="AC149" s="58" t="str">
        <f t="shared" si="219"/>
        <v/>
      </c>
      <c r="AD149" s="58" t="str">
        <f t="shared" si="219"/>
        <v/>
      </c>
      <c r="AE149" s="58" t="str">
        <f t="shared" si="219"/>
        <v/>
      </c>
      <c r="AF149" s="58" t="str">
        <f t="shared" si="219"/>
        <v/>
      </c>
      <c r="AG149" s="58" t="str">
        <f t="shared" si="219"/>
        <v/>
      </c>
      <c r="AH149" s="58" t="str">
        <f t="shared" si="219"/>
        <v/>
      </c>
    </row>
    <row r="150" spans="2:34" x14ac:dyDescent="0.35">
      <c r="B150" s="52" t="str">
        <f t="shared" si="196"/>
        <v>cwatr</v>
      </c>
      <c r="C150" s="52">
        <f t="shared" si="218"/>
        <v>1</v>
      </c>
      <c r="D150" s="52">
        <f t="shared" si="218"/>
        <v>1</v>
      </c>
      <c r="E150" s="52">
        <f t="shared" si="218"/>
        <v>1</v>
      </c>
      <c r="F150" s="52">
        <f t="shared" si="218"/>
        <v>1</v>
      </c>
      <c r="G150" s="52">
        <f t="shared" si="218"/>
        <v>1</v>
      </c>
      <c r="H150" s="52">
        <f t="shared" si="218"/>
        <v>1</v>
      </c>
      <c r="I150" s="52">
        <f t="shared" si="218"/>
        <v>1</v>
      </c>
      <c r="J150" s="52">
        <f t="shared" si="218"/>
        <v>1</v>
      </c>
      <c r="K150" s="52">
        <f t="shared" si="218"/>
        <v>1</v>
      </c>
      <c r="L150" s="52">
        <f t="shared" si="218"/>
        <v>1</v>
      </c>
      <c r="M150" s="52">
        <f t="shared" si="218"/>
        <v>1</v>
      </c>
      <c r="N150" s="52">
        <f t="shared" si="218"/>
        <v>1</v>
      </c>
      <c r="O150" s="52">
        <f t="shared" si="218"/>
        <v>1</v>
      </c>
      <c r="P150" s="52">
        <f t="shared" si="218"/>
        <v>1</v>
      </c>
      <c r="Q150" s="52">
        <f t="shared" si="218"/>
        <v>1</v>
      </c>
      <c r="S150" s="52" t="str">
        <f t="shared" si="198"/>
        <v>awatr</v>
      </c>
      <c r="T150" s="52" t="str">
        <f t="shared" si="219"/>
        <v/>
      </c>
      <c r="U150" s="52" t="str">
        <f t="shared" si="219"/>
        <v/>
      </c>
      <c r="V150" s="52" t="str">
        <f t="shared" si="219"/>
        <v/>
      </c>
      <c r="W150" s="52" t="str">
        <f t="shared" si="219"/>
        <v/>
      </c>
      <c r="X150" s="52" t="str">
        <f t="shared" si="219"/>
        <v/>
      </c>
      <c r="Y150" s="52" t="str">
        <f t="shared" si="219"/>
        <v/>
      </c>
      <c r="Z150" s="52" t="str">
        <f t="shared" si="219"/>
        <v/>
      </c>
      <c r="AA150" s="52" t="str">
        <f t="shared" si="219"/>
        <v/>
      </c>
      <c r="AB150" s="52" t="str">
        <f t="shared" si="219"/>
        <v/>
      </c>
      <c r="AC150" s="52" t="str">
        <f t="shared" si="219"/>
        <v/>
      </c>
      <c r="AD150" s="52" t="str">
        <f t="shared" si="219"/>
        <v/>
      </c>
      <c r="AE150" s="52" t="str">
        <f t="shared" si="219"/>
        <v/>
      </c>
      <c r="AF150" s="52" t="str">
        <f t="shared" si="219"/>
        <v/>
      </c>
      <c r="AG150" s="52" t="str">
        <f t="shared" si="219"/>
        <v/>
      </c>
      <c r="AH150" s="52" t="str">
        <f t="shared" si="219"/>
        <v/>
      </c>
    </row>
    <row r="151" spans="2:34" x14ac:dyDescent="0.35">
      <c r="B151" s="55" t="str">
        <f t="shared" si="196"/>
        <v>creal</v>
      </c>
      <c r="C151" s="55">
        <f t="shared" ref="C151:Q151" si="220">IF(AM68&gt;0,T$113,"")</f>
        <v>0.8</v>
      </c>
      <c r="D151" s="55">
        <f t="shared" si="220"/>
        <v>0.8</v>
      </c>
      <c r="E151" s="55">
        <f t="shared" si="220"/>
        <v>0.8</v>
      </c>
      <c r="F151" s="55">
        <f t="shared" si="220"/>
        <v>0.8</v>
      </c>
      <c r="G151" s="55">
        <f t="shared" si="220"/>
        <v>0.8</v>
      </c>
      <c r="H151" s="55">
        <f t="shared" si="220"/>
        <v>0.8</v>
      </c>
      <c r="I151" s="55">
        <f t="shared" si="220"/>
        <v>0.8</v>
      </c>
      <c r="J151" s="55">
        <f t="shared" si="220"/>
        <v>0.8</v>
      </c>
      <c r="K151" s="55">
        <f t="shared" si="220"/>
        <v>0.8</v>
      </c>
      <c r="L151" s="55">
        <f t="shared" si="220"/>
        <v>0.8</v>
      </c>
      <c r="M151" s="55">
        <f t="shared" si="220"/>
        <v>0.8</v>
      </c>
      <c r="N151" s="55">
        <f t="shared" si="220"/>
        <v>0.8</v>
      </c>
      <c r="O151" s="55">
        <f t="shared" si="220"/>
        <v>0.8</v>
      </c>
      <c r="P151" s="55">
        <f t="shared" si="220"/>
        <v>0.8</v>
      </c>
      <c r="Q151" s="55">
        <f t="shared" si="220"/>
        <v>0.8</v>
      </c>
      <c r="S151" s="55" t="str">
        <f t="shared" si="198"/>
        <v>areal</v>
      </c>
      <c r="T151" s="55" t="str">
        <f t="shared" ref="T151:AH151" si="221">IF(BD68&gt;0,T$113,"")</f>
        <v/>
      </c>
      <c r="U151" s="55" t="str">
        <f t="shared" si="221"/>
        <v/>
      </c>
      <c r="V151" s="55" t="str">
        <f t="shared" si="221"/>
        <v/>
      </c>
      <c r="W151" s="55" t="str">
        <f t="shared" si="221"/>
        <v/>
      </c>
      <c r="X151" s="55" t="str">
        <f t="shared" si="221"/>
        <v/>
      </c>
      <c r="Y151" s="55" t="str">
        <f t="shared" si="221"/>
        <v/>
      </c>
      <c r="Z151" s="55" t="str">
        <f t="shared" si="221"/>
        <v/>
      </c>
      <c r="AA151" s="55" t="str">
        <f t="shared" si="221"/>
        <v/>
      </c>
      <c r="AB151" s="55" t="str">
        <f t="shared" si="221"/>
        <v/>
      </c>
      <c r="AC151" s="55" t="str">
        <f t="shared" si="221"/>
        <v/>
      </c>
      <c r="AD151" s="55" t="str">
        <f t="shared" si="221"/>
        <v/>
      </c>
      <c r="AE151" s="55" t="str">
        <f t="shared" si="221"/>
        <v/>
      </c>
      <c r="AF151" s="55" t="str">
        <f t="shared" si="221"/>
        <v/>
      </c>
      <c r="AG151" s="55" t="str">
        <f t="shared" si="221"/>
        <v/>
      </c>
      <c r="AH151" s="55" t="str">
        <f t="shared" si="221"/>
        <v/>
      </c>
    </row>
    <row r="152" spans="2:34" x14ac:dyDescent="0.35">
      <c r="B152" s="43" t="str">
        <f t="shared" si="196"/>
        <v>ceduc</v>
      </c>
      <c r="C152" s="43">
        <f t="shared" ref="C152:Q154" si="222">IF(AM69&gt;0,T$114,"")</f>
        <v>1</v>
      </c>
      <c r="D152" s="43">
        <f t="shared" si="222"/>
        <v>1</v>
      </c>
      <c r="E152" s="43">
        <f t="shared" si="222"/>
        <v>1</v>
      </c>
      <c r="F152" s="43">
        <f t="shared" si="222"/>
        <v>1</v>
      </c>
      <c r="G152" s="43">
        <f t="shared" si="222"/>
        <v>1</v>
      </c>
      <c r="H152" s="43">
        <f t="shared" si="222"/>
        <v>1</v>
      </c>
      <c r="I152" s="43">
        <f t="shared" si="222"/>
        <v>1</v>
      </c>
      <c r="J152" s="43">
        <f t="shared" si="222"/>
        <v>1</v>
      </c>
      <c r="K152" s="43">
        <f t="shared" si="222"/>
        <v>1</v>
      </c>
      <c r="L152" s="43">
        <f t="shared" si="222"/>
        <v>1</v>
      </c>
      <c r="M152" s="43">
        <f t="shared" si="222"/>
        <v>1</v>
      </c>
      <c r="N152" s="43">
        <f t="shared" si="222"/>
        <v>1</v>
      </c>
      <c r="O152" s="43">
        <f t="shared" si="222"/>
        <v>1</v>
      </c>
      <c r="P152" s="43">
        <f t="shared" si="222"/>
        <v>1</v>
      </c>
      <c r="Q152" s="43">
        <f t="shared" si="222"/>
        <v>1</v>
      </c>
      <c r="S152" s="43" t="str">
        <f t="shared" si="198"/>
        <v>aeduc</v>
      </c>
      <c r="T152" s="43" t="str">
        <f t="shared" ref="T152:AH154" si="223">IF(BD69&gt;0,T$114,"")</f>
        <v/>
      </c>
      <c r="U152" s="43" t="str">
        <f t="shared" si="223"/>
        <v/>
      </c>
      <c r="V152" s="43" t="str">
        <f t="shared" si="223"/>
        <v/>
      </c>
      <c r="W152" s="43" t="str">
        <f t="shared" si="223"/>
        <v/>
      </c>
      <c r="X152" s="43" t="str">
        <f t="shared" si="223"/>
        <v/>
      </c>
      <c r="Y152" s="43" t="str">
        <f t="shared" si="223"/>
        <v/>
      </c>
      <c r="Z152" s="43" t="str">
        <f t="shared" si="223"/>
        <v/>
      </c>
      <c r="AA152" s="43" t="str">
        <f t="shared" si="223"/>
        <v/>
      </c>
      <c r="AB152" s="43" t="str">
        <f t="shared" si="223"/>
        <v/>
      </c>
      <c r="AC152" s="43" t="str">
        <f t="shared" si="223"/>
        <v/>
      </c>
      <c r="AD152" s="43" t="str">
        <f t="shared" si="223"/>
        <v/>
      </c>
      <c r="AE152" s="43" t="str">
        <f t="shared" si="223"/>
        <v/>
      </c>
      <c r="AF152" s="43" t="str">
        <f t="shared" si="223"/>
        <v/>
      </c>
      <c r="AG152" s="43" t="str">
        <f t="shared" si="223"/>
        <v/>
      </c>
      <c r="AH152" s="43" t="str">
        <f t="shared" si="223"/>
        <v/>
      </c>
    </row>
    <row r="153" spans="2:34" x14ac:dyDescent="0.35">
      <c r="B153" s="43" t="str">
        <f t="shared" si="196"/>
        <v>cheal</v>
      </c>
      <c r="C153" s="43">
        <f t="shared" si="222"/>
        <v>1</v>
      </c>
      <c r="D153" s="43">
        <f t="shared" si="222"/>
        <v>1</v>
      </c>
      <c r="E153" s="43">
        <f t="shared" si="222"/>
        <v>1</v>
      </c>
      <c r="F153" s="43">
        <f t="shared" si="222"/>
        <v>1</v>
      </c>
      <c r="G153" s="43">
        <f t="shared" si="222"/>
        <v>1</v>
      </c>
      <c r="H153" s="43">
        <f t="shared" si="222"/>
        <v>1</v>
      </c>
      <c r="I153" s="43">
        <f t="shared" si="222"/>
        <v>1</v>
      </c>
      <c r="J153" s="43">
        <f t="shared" si="222"/>
        <v>1</v>
      </c>
      <c r="K153" s="43">
        <f t="shared" si="222"/>
        <v>1</v>
      </c>
      <c r="L153" s="43">
        <f t="shared" si="222"/>
        <v>1</v>
      </c>
      <c r="M153" s="43">
        <f t="shared" si="222"/>
        <v>1</v>
      </c>
      <c r="N153" s="43">
        <f t="shared" si="222"/>
        <v>1</v>
      </c>
      <c r="O153" s="43">
        <f t="shared" si="222"/>
        <v>1</v>
      </c>
      <c r="P153" s="43">
        <f t="shared" si="222"/>
        <v>1</v>
      </c>
      <c r="Q153" s="43">
        <f t="shared" si="222"/>
        <v>1</v>
      </c>
      <c r="S153" s="43" t="str">
        <f t="shared" si="198"/>
        <v>aheal</v>
      </c>
      <c r="T153" s="43" t="str">
        <f t="shared" si="223"/>
        <v/>
      </c>
      <c r="U153" s="43" t="str">
        <f t="shared" si="223"/>
        <v/>
      </c>
      <c r="V153" s="43" t="str">
        <f t="shared" si="223"/>
        <v/>
      </c>
      <c r="W153" s="43" t="str">
        <f t="shared" si="223"/>
        <v/>
      </c>
      <c r="X153" s="43" t="str">
        <f t="shared" si="223"/>
        <v/>
      </c>
      <c r="Y153" s="43" t="str">
        <f t="shared" si="223"/>
        <v/>
      </c>
      <c r="Z153" s="43" t="str">
        <f t="shared" si="223"/>
        <v/>
      </c>
      <c r="AA153" s="43" t="str">
        <f t="shared" si="223"/>
        <v/>
      </c>
      <c r="AB153" s="43" t="str">
        <f t="shared" si="223"/>
        <v/>
      </c>
      <c r="AC153" s="43" t="str">
        <f t="shared" si="223"/>
        <v/>
      </c>
      <c r="AD153" s="43" t="str">
        <f t="shared" si="223"/>
        <v/>
      </c>
      <c r="AE153" s="43" t="str">
        <f t="shared" si="223"/>
        <v/>
      </c>
      <c r="AF153" s="43" t="str">
        <f t="shared" si="223"/>
        <v/>
      </c>
      <c r="AG153" s="43" t="str">
        <f t="shared" si="223"/>
        <v/>
      </c>
      <c r="AH153" s="43" t="str">
        <f t="shared" si="223"/>
        <v/>
      </c>
    </row>
    <row r="154" spans="2:34" x14ac:dyDescent="0.35">
      <c r="B154" s="52" t="str">
        <f t="shared" si="196"/>
        <v>cpadm</v>
      </c>
      <c r="C154" s="52" t="str">
        <f t="shared" si="222"/>
        <v/>
      </c>
      <c r="D154" s="52" t="str">
        <f t="shared" si="222"/>
        <v/>
      </c>
      <c r="E154" s="52" t="str">
        <f t="shared" si="222"/>
        <v/>
      </c>
      <c r="F154" s="52" t="str">
        <f t="shared" si="222"/>
        <v/>
      </c>
      <c r="G154" s="52" t="str">
        <f t="shared" si="222"/>
        <v/>
      </c>
      <c r="H154" s="52" t="str">
        <f t="shared" si="222"/>
        <v/>
      </c>
      <c r="I154" s="52" t="str">
        <f t="shared" si="222"/>
        <v/>
      </c>
      <c r="J154" s="52" t="str">
        <f t="shared" si="222"/>
        <v/>
      </c>
      <c r="K154" s="52" t="str">
        <f t="shared" si="222"/>
        <v/>
      </c>
      <c r="L154" s="52" t="str">
        <f t="shared" si="222"/>
        <v/>
      </c>
      <c r="M154" s="52" t="str">
        <f t="shared" si="222"/>
        <v/>
      </c>
      <c r="N154" s="52" t="str">
        <f t="shared" si="222"/>
        <v/>
      </c>
      <c r="O154" s="52" t="str">
        <f t="shared" si="222"/>
        <v/>
      </c>
      <c r="P154" s="52" t="str">
        <f t="shared" si="222"/>
        <v/>
      </c>
      <c r="Q154" s="52" t="str">
        <f t="shared" si="222"/>
        <v/>
      </c>
      <c r="S154" s="52" t="str">
        <f t="shared" si="198"/>
        <v>apadm</v>
      </c>
      <c r="T154" s="52" t="str">
        <f t="shared" si="223"/>
        <v/>
      </c>
      <c r="U154" s="52" t="str">
        <f t="shared" si="223"/>
        <v/>
      </c>
      <c r="V154" s="52" t="str">
        <f t="shared" si="223"/>
        <v/>
      </c>
      <c r="W154" s="52" t="str">
        <f t="shared" si="223"/>
        <v/>
      </c>
      <c r="X154" s="52" t="str">
        <f t="shared" si="223"/>
        <v/>
      </c>
      <c r="Y154" s="52" t="str">
        <f t="shared" si="223"/>
        <v/>
      </c>
      <c r="Z154" s="52" t="str">
        <f t="shared" si="223"/>
        <v/>
      </c>
      <c r="AA154" s="52" t="str">
        <f t="shared" si="223"/>
        <v/>
      </c>
      <c r="AB154" s="52" t="str">
        <f t="shared" si="223"/>
        <v/>
      </c>
      <c r="AC154" s="52" t="str">
        <f t="shared" si="223"/>
        <v/>
      </c>
      <c r="AD154" s="52" t="str">
        <f t="shared" si="223"/>
        <v/>
      </c>
      <c r="AE154" s="52" t="str">
        <f t="shared" si="223"/>
        <v/>
      </c>
      <c r="AF154" s="52" t="str">
        <f t="shared" si="223"/>
        <v/>
      </c>
      <c r="AG154" s="52" t="str">
        <f t="shared" si="223"/>
        <v/>
      </c>
      <c r="AH154" s="52" t="str">
        <f t="shared" si="223"/>
        <v/>
      </c>
    </row>
    <row r="155" spans="2:34" x14ac:dyDescent="0.35">
      <c r="B155" s="43" t="str">
        <f t="shared" si="196"/>
        <v>cocrp</v>
      </c>
      <c r="C155" s="43" t="str">
        <f t="shared" ref="C155:Q158" si="224">IF(AM72&gt;0,T$116,"")</f>
        <v/>
      </c>
      <c r="D155" s="43">
        <f t="shared" si="224"/>
        <v>1.6684643426172761</v>
      </c>
      <c r="E155" s="43">
        <f t="shared" si="224"/>
        <v>1.4816947298517449</v>
      </c>
      <c r="F155" s="43">
        <f t="shared" si="224"/>
        <v>1.3640318144558865</v>
      </c>
      <c r="G155" s="43">
        <f t="shared" si="224"/>
        <v>1.1365360596135514</v>
      </c>
      <c r="H155" s="43">
        <f t="shared" si="224"/>
        <v>2.2726157885896208</v>
      </c>
      <c r="I155" s="43" t="str">
        <f t="shared" si="224"/>
        <v/>
      </c>
      <c r="J155" s="43">
        <f t="shared" si="224"/>
        <v>1.3405545621154533</v>
      </c>
      <c r="K155" s="43">
        <f t="shared" si="224"/>
        <v>1.0839971237108275</v>
      </c>
      <c r="L155" s="43">
        <f t="shared" si="224"/>
        <v>1.0893835134156142</v>
      </c>
      <c r="M155" s="43" t="str">
        <f t="shared" si="224"/>
        <v/>
      </c>
      <c r="N155" s="43">
        <f t="shared" si="224"/>
        <v>1.6474359432970573</v>
      </c>
      <c r="O155" s="43">
        <f t="shared" si="224"/>
        <v>1.3827959537447574</v>
      </c>
      <c r="P155" s="43">
        <f t="shared" si="224"/>
        <v>1.224140651470736</v>
      </c>
      <c r="Q155" s="43">
        <f t="shared" si="224"/>
        <v>1.0551709673754075</v>
      </c>
      <c r="S155" s="43" t="str">
        <f t="shared" si="198"/>
        <v>aocrp</v>
      </c>
      <c r="T155" s="43" t="str">
        <f t="shared" ref="T155:AH158" si="225">IF(BD72&gt;0,T$116,"")</f>
        <v/>
      </c>
      <c r="U155" s="43" t="str">
        <f t="shared" si="225"/>
        <v/>
      </c>
      <c r="V155" s="43" t="str">
        <f t="shared" si="225"/>
        <v/>
      </c>
      <c r="W155" s="43" t="str">
        <f t="shared" si="225"/>
        <v/>
      </c>
      <c r="X155" s="43" t="str">
        <f t="shared" si="225"/>
        <v/>
      </c>
      <c r="Y155" s="43" t="str">
        <f t="shared" si="225"/>
        <v/>
      </c>
      <c r="Z155" s="43" t="str">
        <f t="shared" si="225"/>
        <v/>
      </c>
      <c r="AA155" s="43" t="str">
        <f t="shared" si="225"/>
        <v/>
      </c>
      <c r="AB155" s="43" t="str">
        <f t="shared" si="225"/>
        <v/>
      </c>
      <c r="AC155" s="43" t="str">
        <f t="shared" si="225"/>
        <v/>
      </c>
      <c r="AD155" s="43" t="str">
        <f t="shared" si="225"/>
        <v/>
      </c>
      <c r="AE155" s="43" t="str">
        <f t="shared" si="225"/>
        <v/>
      </c>
      <c r="AF155" s="43" t="str">
        <f t="shared" si="225"/>
        <v/>
      </c>
      <c r="AG155" s="43" t="str">
        <f t="shared" si="225"/>
        <v/>
      </c>
      <c r="AH155" s="43" t="str">
        <f t="shared" si="225"/>
        <v/>
      </c>
    </row>
    <row r="156" spans="2:34" x14ac:dyDescent="0.35">
      <c r="B156" s="43" t="str">
        <f t="shared" si="196"/>
        <v>cbecr</v>
      </c>
      <c r="C156" s="43">
        <f t="shared" si="224"/>
        <v>1.9467496845424175</v>
      </c>
      <c r="D156" s="43">
        <f t="shared" si="224"/>
        <v>1.6684643426172761</v>
      </c>
      <c r="E156" s="43">
        <f t="shared" si="224"/>
        <v>1.4816947298517449</v>
      </c>
      <c r="F156" s="43">
        <f t="shared" si="224"/>
        <v>1.3640318144558865</v>
      </c>
      <c r="G156" s="43">
        <f t="shared" si="224"/>
        <v>1.1365360596135514</v>
      </c>
      <c r="H156" s="43">
        <f t="shared" si="224"/>
        <v>2.2726157885896208</v>
      </c>
      <c r="I156" s="43">
        <f t="shared" si="224"/>
        <v>1.6172320619729366</v>
      </c>
      <c r="J156" s="43">
        <f t="shared" si="224"/>
        <v>1.3405545621154533</v>
      </c>
      <c r="K156" s="43">
        <f t="shared" si="224"/>
        <v>1.0839971237108275</v>
      </c>
      <c r="L156" s="43">
        <f t="shared" si="224"/>
        <v>1.0893835134156142</v>
      </c>
      <c r="M156" s="43">
        <f t="shared" si="224"/>
        <v>1.8264112024882488</v>
      </c>
      <c r="N156" s="43">
        <f t="shared" si="224"/>
        <v>1.6474359432970573</v>
      </c>
      <c r="O156" s="43">
        <f t="shared" si="224"/>
        <v>1.3827959537447574</v>
      </c>
      <c r="P156" s="43">
        <f t="shared" si="224"/>
        <v>1.224140651470736</v>
      </c>
      <c r="Q156" s="43">
        <f t="shared" si="224"/>
        <v>1.0551709673754075</v>
      </c>
      <c r="S156" s="43" t="str">
        <f t="shared" si="198"/>
        <v>abecr</v>
      </c>
      <c r="T156" s="43">
        <f t="shared" si="225"/>
        <v>1.9467496845424175</v>
      </c>
      <c r="U156" s="43">
        <f t="shared" si="225"/>
        <v>1.6684643426172761</v>
      </c>
      <c r="V156" s="43">
        <f t="shared" si="225"/>
        <v>1.4816947298517449</v>
      </c>
      <c r="W156" s="43">
        <f t="shared" si="225"/>
        <v>1.3640318144558865</v>
      </c>
      <c r="X156" s="43">
        <f t="shared" si="225"/>
        <v>1.1365360596135514</v>
      </c>
      <c r="Y156" s="43" t="str">
        <f t="shared" si="225"/>
        <v/>
      </c>
      <c r="Z156" s="43" t="str">
        <f t="shared" si="225"/>
        <v/>
      </c>
      <c r="AA156" s="43" t="str">
        <f t="shared" si="225"/>
        <v/>
      </c>
      <c r="AB156" s="43" t="str">
        <f t="shared" si="225"/>
        <v/>
      </c>
      <c r="AC156" s="43" t="str">
        <f t="shared" si="225"/>
        <v/>
      </c>
      <c r="AD156" s="43">
        <f t="shared" si="225"/>
        <v>1.8264112024882488</v>
      </c>
      <c r="AE156" s="43">
        <f t="shared" si="225"/>
        <v>1.6474359432970573</v>
      </c>
      <c r="AF156" s="43">
        <f t="shared" si="225"/>
        <v>1.3827959537447574</v>
      </c>
      <c r="AG156" s="43">
        <f t="shared" si="225"/>
        <v>1.224140651470736</v>
      </c>
      <c r="AH156" s="43">
        <f t="shared" si="225"/>
        <v>1.0551709673754075</v>
      </c>
    </row>
    <row r="157" spans="2:34" x14ac:dyDescent="0.35">
      <c r="B157" s="43" t="str">
        <f t="shared" si="196"/>
        <v>cfore</v>
      </c>
      <c r="C157" s="43">
        <f t="shared" si="224"/>
        <v>1.9467496845424175</v>
      </c>
      <c r="D157" s="43">
        <f t="shared" si="224"/>
        <v>1.6684643426172761</v>
      </c>
      <c r="E157" s="43">
        <f t="shared" si="224"/>
        <v>1.4816947298517449</v>
      </c>
      <c r="F157" s="43">
        <f t="shared" si="224"/>
        <v>1.3640318144558865</v>
      </c>
      <c r="G157" s="43">
        <f t="shared" si="224"/>
        <v>1.1365360596135514</v>
      </c>
      <c r="H157" s="43">
        <f t="shared" si="224"/>
        <v>2.2726157885896208</v>
      </c>
      <c r="I157" s="43">
        <f t="shared" si="224"/>
        <v>1.6172320619729366</v>
      </c>
      <c r="J157" s="43">
        <f t="shared" si="224"/>
        <v>1.3405545621154533</v>
      </c>
      <c r="K157" s="43">
        <f t="shared" si="224"/>
        <v>1.0839971237108275</v>
      </c>
      <c r="L157" s="43">
        <f t="shared" si="224"/>
        <v>1.0893835134156142</v>
      </c>
      <c r="M157" s="43">
        <f t="shared" si="224"/>
        <v>1.8264112024882488</v>
      </c>
      <c r="N157" s="43">
        <f t="shared" si="224"/>
        <v>1.6474359432970573</v>
      </c>
      <c r="O157" s="43">
        <f t="shared" si="224"/>
        <v>1.3827959537447574</v>
      </c>
      <c r="P157" s="43">
        <f t="shared" si="224"/>
        <v>1.224140651470736</v>
      </c>
      <c r="Q157" s="43">
        <f t="shared" si="224"/>
        <v>1.0551709673754075</v>
      </c>
      <c r="S157" s="43" t="str">
        <f t="shared" si="198"/>
        <v>afore</v>
      </c>
      <c r="T157" s="43" t="str">
        <f t="shared" si="225"/>
        <v/>
      </c>
      <c r="U157" s="43" t="str">
        <f t="shared" si="225"/>
        <v/>
      </c>
      <c r="V157" s="43" t="str">
        <f t="shared" si="225"/>
        <v/>
      </c>
      <c r="W157" s="43" t="str">
        <f t="shared" si="225"/>
        <v/>
      </c>
      <c r="X157" s="43" t="str">
        <f t="shared" si="225"/>
        <v/>
      </c>
      <c r="Y157" s="43" t="str">
        <f t="shared" si="225"/>
        <v/>
      </c>
      <c r="Z157" s="43" t="str">
        <f t="shared" si="225"/>
        <v/>
      </c>
      <c r="AA157" s="43" t="str">
        <f t="shared" si="225"/>
        <v/>
      </c>
      <c r="AB157" s="43" t="str">
        <f t="shared" si="225"/>
        <v/>
      </c>
      <c r="AC157" s="43" t="str">
        <f t="shared" si="225"/>
        <v/>
      </c>
      <c r="AD157" s="43" t="str">
        <f t="shared" si="225"/>
        <v/>
      </c>
      <c r="AE157" s="43" t="str">
        <f t="shared" si="225"/>
        <v/>
      </c>
      <c r="AF157" s="43" t="str">
        <f t="shared" si="225"/>
        <v/>
      </c>
      <c r="AG157" s="43" t="str">
        <f t="shared" si="225"/>
        <v/>
      </c>
      <c r="AH157" s="43" t="str">
        <f t="shared" si="225"/>
        <v/>
      </c>
    </row>
    <row r="158" spans="2:34" x14ac:dyDescent="0.35">
      <c r="B158" s="43" t="str">
        <f t="shared" si="196"/>
        <v>coapr</v>
      </c>
      <c r="C158" s="43">
        <f t="shared" si="224"/>
        <v>1.9467496845424175</v>
      </c>
      <c r="D158" s="43">
        <f t="shared" si="224"/>
        <v>1.6684643426172761</v>
      </c>
      <c r="E158" s="43">
        <f t="shared" si="224"/>
        <v>1.4816947298517449</v>
      </c>
      <c r="F158" s="43">
        <f t="shared" si="224"/>
        <v>1.3640318144558865</v>
      </c>
      <c r="G158" s="43">
        <f t="shared" si="224"/>
        <v>1.1365360596135514</v>
      </c>
      <c r="H158" s="43">
        <f t="shared" si="224"/>
        <v>2.2726157885896208</v>
      </c>
      <c r="I158" s="43">
        <f t="shared" si="224"/>
        <v>1.6172320619729366</v>
      </c>
      <c r="J158" s="43">
        <f t="shared" si="224"/>
        <v>1.3405545621154533</v>
      </c>
      <c r="K158" s="43">
        <f t="shared" si="224"/>
        <v>1.0839971237108275</v>
      </c>
      <c r="L158" s="43">
        <f t="shared" si="224"/>
        <v>1.0893835134156142</v>
      </c>
      <c r="M158" s="43">
        <f t="shared" si="224"/>
        <v>1.8264112024882488</v>
      </c>
      <c r="N158" s="43">
        <f t="shared" si="224"/>
        <v>1.6474359432970573</v>
      </c>
      <c r="O158" s="43">
        <f t="shared" si="224"/>
        <v>1.3827959537447574</v>
      </c>
      <c r="P158" s="43">
        <f t="shared" si="224"/>
        <v>1.224140651470736</v>
      </c>
      <c r="Q158" s="43">
        <f t="shared" si="224"/>
        <v>1.0551709673754075</v>
      </c>
      <c r="S158" s="43" t="str">
        <f t="shared" si="198"/>
        <v>aoapr</v>
      </c>
      <c r="T158" s="43" t="str">
        <f t="shared" si="225"/>
        <v/>
      </c>
      <c r="U158" s="43" t="str">
        <f t="shared" si="225"/>
        <v/>
      </c>
      <c r="V158" s="43" t="str">
        <f t="shared" si="225"/>
        <v/>
      </c>
      <c r="W158" s="43" t="str">
        <f t="shared" si="225"/>
        <v/>
      </c>
      <c r="X158" s="43" t="str">
        <f t="shared" si="225"/>
        <v/>
      </c>
      <c r="Y158" s="43" t="str">
        <f t="shared" si="225"/>
        <v/>
      </c>
      <c r="Z158" s="43" t="str">
        <f t="shared" si="225"/>
        <v/>
      </c>
      <c r="AA158" s="43" t="str">
        <f t="shared" si="225"/>
        <v/>
      </c>
      <c r="AB158" s="43" t="str">
        <f t="shared" si="225"/>
        <v/>
      </c>
      <c r="AC158" s="43" t="str">
        <f t="shared" si="225"/>
        <v/>
      </c>
      <c r="AD158" s="43" t="str">
        <f t="shared" si="225"/>
        <v/>
      </c>
      <c r="AE158" s="43" t="str">
        <f t="shared" si="225"/>
        <v/>
      </c>
      <c r="AF158" s="43" t="str">
        <f t="shared" si="225"/>
        <v/>
      </c>
      <c r="AG158" s="43" t="str">
        <f t="shared" si="225"/>
        <v/>
      </c>
      <c r="AH158" s="43" t="str">
        <f t="shared" si="225"/>
        <v/>
      </c>
    </row>
    <row r="159" spans="2:34" x14ac:dyDescent="0.35">
      <c r="B159" s="43" t="str">
        <f t="shared" si="196"/>
        <v>cmine</v>
      </c>
      <c r="C159" s="43" t="str">
        <f t="shared" ref="C159:Q160" si="226">IF(AM76&gt;0,T$117,"")</f>
        <v/>
      </c>
      <c r="D159" s="43" t="str">
        <f t="shared" si="226"/>
        <v/>
      </c>
      <c r="E159" s="43" t="str">
        <f t="shared" si="226"/>
        <v/>
      </c>
      <c r="F159" s="43" t="str">
        <f t="shared" si="226"/>
        <v/>
      </c>
      <c r="G159" s="43" t="str">
        <f t="shared" si="226"/>
        <v/>
      </c>
      <c r="H159" s="43" t="str">
        <f t="shared" si="226"/>
        <v/>
      </c>
      <c r="I159" s="43" t="str">
        <f t="shared" si="226"/>
        <v/>
      </c>
      <c r="J159" s="43" t="str">
        <f t="shared" si="226"/>
        <v/>
      </c>
      <c r="K159" s="43" t="str">
        <f t="shared" si="226"/>
        <v/>
      </c>
      <c r="L159" s="43" t="str">
        <f t="shared" si="226"/>
        <v/>
      </c>
      <c r="M159" s="43" t="str">
        <f t="shared" si="226"/>
        <v/>
      </c>
      <c r="N159" s="43" t="str">
        <f t="shared" si="226"/>
        <v/>
      </c>
      <c r="O159" s="43" t="str">
        <f t="shared" si="226"/>
        <v/>
      </c>
      <c r="P159" s="43" t="str">
        <f t="shared" si="226"/>
        <v/>
      </c>
      <c r="Q159" s="43" t="str">
        <f t="shared" si="226"/>
        <v/>
      </c>
      <c r="S159" s="43" t="str">
        <f t="shared" si="198"/>
        <v>amine</v>
      </c>
      <c r="T159" s="43" t="str">
        <f t="shared" ref="T159:AH160" si="227">IF(BD76&gt;0,T$117,"")</f>
        <v/>
      </c>
      <c r="U159" s="43" t="str">
        <f t="shared" si="227"/>
        <v/>
      </c>
      <c r="V159" s="43" t="str">
        <f t="shared" si="227"/>
        <v/>
      </c>
      <c r="W159" s="43" t="str">
        <f t="shared" si="227"/>
        <v/>
      </c>
      <c r="X159" s="43" t="str">
        <f t="shared" si="227"/>
        <v/>
      </c>
      <c r="Y159" s="43" t="str">
        <f t="shared" si="227"/>
        <v/>
      </c>
      <c r="Z159" s="43" t="str">
        <f t="shared" si="227"/>
        <v/>
      </c>
      <c r="AA159" s="43" t="str">
        <f t="shared" si="227"/>
        <v/>
      </c>
      <c r="AB159" s="43" t="str">
        <f t="shared" si="227"/>
        <v/>
      </c>
      <c r="AC159" s="43" t="str">
        <f t="shared" si="227"/>
        <v/>
      </c>
      <c r="AD159" s="43" t="str">
        <f t="shared" si="227"/>
        <v/>
      </c>
      <c r="AE159" s="43" t="str">
        <f t="shared" si="227"/>
        <v/>
      </c>
      <c r="AF159" s="43" t="str">
        <f t="shared" si="227"/>
        <v/>
      </c>
      <c r="AG159" s="43" t="str">
        <f t="shared" si="227"/>
        <v/>
      </c>
      <c r="AH159" s="43" t="str">
        <f t="shared" si="227"/>
        <v/>
      </c>
    </row>
    <row r="160" spans="2:34" x14ac:dyDescent="0.35">
      <c r="B160" s="43" t="str">
        <f t="shared" si="196"/>
        <v>cmino</v>
      </c>
      <c r="C160" s="43" t="str">
        <f t="shared" si="226"/>
        <v/>
      </c>
      <c r="D160" s="43" t="str">
        <f t="shared" si="226"/>
        <v/>
      </c>
      <c r="E160" s="43" t="str">
        <f t="shared" si="226"/>
        <v/>
      </c>
      <c r="F160" s="43" t="str">
        <f t="shared" si="226"/>
        <v/>
      </c>
      <c r="G160" s="43" t="str">
        <f t="shared" si="226"/>
        <v/>
      </c>
      <c r="H160" s="43" t="str">
        <f t="shared" si="226"/>
        <v/>
      </c>
      <c r="I160" s="43" t="str">
        <f t="shared" si="226"/>
        <v/>
      </c>
      <c r="J160" s="43" t="str">
        <f t="shared" si="226"/>
        <v/>
      </c>
      <c r="K160" s="43" t="str">
        <f t="shared" si="226"/>
        <v/>
      </c>
      <c r="L160" s="43" t="str">
        <f t="shared" si="226"/>
        <v/>
      </c>
      <c r="M160" s="43" t="str">
        <f t="shared" si="226"/>
        <v/>
      </c>
      <c r="N160" s="43" t="str">
        <f t="shared" si="226"/>
        <v/>
      </c>
      <c r="O160" s="43" t="str">
        <f t="shared" si="226"/>
        <v/>
      </c>
      <c r="P160" s="43" t="str">
        <f t="shared" si="226"/>
        <v/>
      </c>
      <c r="Q160" s="43" t="str">
        <f t="shared" si="226"/>
        <v/>
      </c>
      <c r="S160" s="43" t="str">
        <f t="shared" si="198"/>
        <v>amino</v>
      </c>
      <c r="T160" s="43" t="str">
        <f t="shared" si="227"/>
        <v/>
      </c>
      <c r="U160" s="43" t="str">
        <f t="shared" si="227"/>
        <v/>
      </c>
      <c r="V160" s="43" t="str">
        <f t="shared" si="227"/>
        <v/>
      </c>
      <c r="W160" s="43" t="str">
        <f t="shared" si="227"/>
        <v/>
      </c>
      <c r="X160" s="43" t="str">
        <f t="shared" si="227"/>
        <v/>
      </c>
      <c r="Y160" s="43" t="str">
        <f t="shared" si="227"/>
        <v/>
      </c>
      <c r="Z160" s="43" t="str">
        <f t="shared" si="227"/>
        <v/>
      </c>
      <c r="AA160" s="43" t="str">
        <f t="shared" si="227"/>
        <v/>
      </c>
      <c r="AB160" s="43" t="str">
        <f t="shared" si="227"/>
        <v/>
      </c>
      <c r="AC160" s="43" t="str">
        <f t="shared" si="227"/>
        <v/>
      </c>
      <c r="AD160" s="43" t="str">
        <f t="shared" si="227"/>
        <v/>
      </c>
      <c r="AE160" s="43" t="str">
        <f t="shared" si="227"/>
        <v/>
      </c>
      <c r="AF160" s="43" t="str">
        <f t="shared" si="227"/>
        <v/>
      </c>
      <c r="AG160" s="43" t="str">
        <f t="shared" si="227"/>
        <v/>
      </c>
      <c r="AH160" s="43" t="str">
        <f t="shared" si="227"/>
        <v/>
      </c>
    </row>
    <row r="161" spans="2:34" x14ac:dyDescent="0.35">
      <c r="B161" s="43" t="str">
        <f t="shared" si="196"/>
        <v>cwood</v>
      </c>
      <c r="C161" s="43">
        <f t="shared" ref="C161:Q168" si="228">IF(AM78&gt;0,T$118,"")</f>
        <v>1.9467496845424175</v>
      </c>
      <c r="D161" s="43">
        <f t="shared" si="228"/>
        <v>1.6684643426172761</v>
      </c>
      <c r="E161" s="43">
        <f t="shared" si="228"/>
        <v>1.4816947298517449</v>
      </c>
      <c r="F161" s="43">
        <f t="shared" si="228"/>
        <v>1.3640318144558865</v>
      </c>
      <c r="G161" s="43">
        <f t="shared" si="228"/>
        <v>1.1365360596135514</v>
      </c>
      <c r="H161" s="43">
        <f t="shared" si="228"/>
        <v>2.2726157885896208</v>
      </c>
      <c r="I161" s="43">
        <f t="shared" si="228"/>
        <v>1.6172320619729366</v>
      </c>
      <c r="J161" s="43">
        <f t="shared" si="228"/>
        <v>1.3405545621154533</v>
      </c>
      <c r="K161" s="43">
        <f t="shared" si="228"/>
        <v>1.0839971237108275</v>
      </c>
      <c r="L161" s="43">
        <f t="shared" si="228"/>
        <v>1.0893835134156142</v>
      </c>
      <c r="M161" s="43">
        <f t="shared" si="228"/>
        <v>1.8264112024882488</v>
      </c>
      <c r="N161" s="43">
        <f t="shared" si="228"/>
        <v>1.6474359432970573</v>
      </c>
      <c r="O161" s="43">
        <f t="shared" si="228"/>
        <v>1.3827959537447574</v>
      </c>
      <c r="P161" s="43">
        <f t="shared" si="228"/>
        <v>1.224140651470736</v>
      </c>
      <c r="Q161" s="43">
        <f t="shared" si="228"/>
        <v>1.0551709673754075</v>
      </c>
      <c r="S161" s="43" t="str">
        <f t="shared" si="198"/>
        <v>awood</v>
      </c>
      <c r="T161" s="43" t="str">
        <f t="shared" ref="T161:AH168" si="229">IF(BD78&gt;0,T$118,"")</f>
        <v/>
      </c>
      <c r="U161" s="43" t="str">
        <f t="shared" si="229"/>
        <v/>
      </c>
      <c r="V161" s="43" t="str">
        <f t="shared" si="229"/>
        <v/>
      </c>
      <c r="W161" s="43" t="str">
        <f t="shared" si="229"/>
        <v/>
      </c>
      <c r="X161" s="43" t="str">
        <f t="shared" si="229"/>
        <v/>
      </c>
      <c r="Y161" s="43" t="str">
        <f t="shared" si="229"/>
        <v/>
      </c>
      <c r="Z161" s="43" t="str">
        <f t="shared" si="229"/>
        <v/>
      </c>
      <c r="AA161" s="43" t="str">
        <f t="shared" si="229"/>
        <v/>
      </c>
      <c r="AB161" s="43" t="str">
        <f t="shared" si="229"/>
        <v/>
      </c>
      <c r="AC161" s="43" t="str">
        <f t="shared" si="229"/>
        <v/>
      </c>
      <c r="AD161" s="43" t="str">
        <f t="shared" si="229"/>
        <v/>
      </c>
      <c r="AE161" s="43" t="str">
        <f t="shared" si="229"/>
        <v/>
      </c>
      <c r="AF161" s="43" t="str">
        <f t="shared" si="229"/>
        <v/>
      </c>
      <c r="AG161" s="43" t="str">
        <f t="shared" si="229"/>
        <v/>
      </c>
      <c r="AH161" s="43" t="str">
        <f t="shared" si="229"/>
        <v/>
      </c>
    </row>
    <row r="162" spans="2:34" x14ac:dyDescent="0.35">
      <c r="B162" s="43" t="str">
        <f t="shared" si="196"/>
        <v>cpetr</v>
      </c>
      <c r="C162" s="43">
        <f t="shared" si="228"/>
        <v>1.9467496845424175</v>
      </c>
      <c r="D162" s="43">
        <f t="shared" si="228"/>
        <v>1.6684643426172761</v>
      </c>
      <c r="E162" s="43">
        <f t="shared" si="228"/>
        <v>1.4816947298517449</v>
      </c>
      <c r="F162" s="43">
        <f t="shared" si="228"/>
        <v>1.3640318144558865</v>
      </c>
      <c r="G162" s="43">
        <f t="shared" si="228"/>
        <v>1.1365360596135514</v>
      </c>
      <c r="H162" s="43">
        <f t="shared" si="228"/>
        <v>2.2726157885896208</v>
      </c>
      <c r="I162" s="43">
        <f t="shared" si="228"/>
        <v>1.6172320619729366</v>
      </c>
      <c r="J162" s="43">
        <f t="shared" si="228"/>
        <v>1.3405545621154533</v>
      </c>
      <c r="K162" s="43">
        <f t="shared" si="228"/>
        <v>1.0839971237108275</v>
      </c>
      <c r="L162" s="43">
        <f t="shared" si="228"/>
        <v>1.0893835134156142</v>
      </c>
      <c r="M162" s="43">
        <f t="shared" si="228"/>
        <v>1.8264112024882488</v>
      </c>
      <c r="N162" s="43">
        <f t="shared" si="228"/>
        <v>1.6474359432970573</v>
      </c>
      <c r="O162" s="43">
        <f t="shared" si="228"/>
        <v>1.3827959537447574</v>
      </c>
      <c r="P162" s="43">
        <f t="shared" si="228"/>
        <v>1.224140651470736</v>
      </c>
      <c r="Q162" s="43">
        <f t="shared" si="228"/>
        <v>1.0551709673754075</v>
      </c>
      <c r="S162" s="43" t="str">
        <f t="shared" si="198"/>
        <v>apetr</v>
      </c>
      <c r="T162" s="43" t="str">
        <f t="shared" si="229"/>
        <v/>
      </c>
      <c r="U162" s="43" t="str">
        <f t="shared" si="229"/>
        <v/>
      </c>
      <c r="V162" s="43" t="str">
        <f t="shared" si="229"/>
        <v/>
      </c>
      <c r="W162" s="43" t="str">
        <f t="shared" si="229"/>
        <v/>
      </c>
      <c r="X162" s="43" t="str">
        <f t="shared" si="229"/>
        <v/>
      </c>
      <c r="Y162" s="43" t="str">
        <f t="shared" si="229"/>
        <v/>
      </c>
      <c r="Z162" s="43" t="str">
        <f t="shared" si="229"/>
        <v/>
      </c>
      <c r="AA162" s="43" t="str">
        <f t="shared" si="229"/>
        <v/>
      </c>
      <c r="AB162" s="43" t="str">
        <f t="shared" si="229"/>
        <v/>
      </c>
      <c r="AC162" s="43" t="str">
        <f t="shared" si="229"/>
        <v/>
      </c>
      <c r="AD162" s="43" t="str">
        <f t="shared" si="229"/>
        <v/>
      </c>
      <c r="AE162" s="43" t="str">
        <f t="shared" si="229"/>
        <v/>
      </c>
      <c r="AF162" s="43" t="str">
        <f t="shared" si="229"/>
        <v/>
      </c>
      <c r="AG162" s="43" t="str">
        <f t="shared" si="229"/>
        <v/>
      </c>
      <c r="AH162" s="43" t="str">
        <f t="shared" si="229"/>
        <v/>
      </c>
    </row>
    <row r="163" spans="2:34" x14ac:dyDescent="0.35">
      <c r="B163" s="43" t="str">
        <f t="shared" si="196"/>
        <v>cfert</v>
      </c>
      <c r="C163" s="43" t="str">
        <f t="shared" si="228"/>
        <v/>
      </c>
      <c r="D163" s="43" t="str">
        <f t="shared" si="228"/>
        <v/>
      </c>
      <c r="E163" s="43" t="str">
        <f t="shared" si="228"/>
        <v/>
      </c>
      <c r="F163" s="43" t="str">
        <f t="shared" si="228"/>
        <v/>
      </c>
      <c r="G163" s="43" t="str">
        <f t="shared" si="228"/>
        <v/>
      </c>
      <c r="H163" s="43" t="str">
        <f t="shared" si="228"/>
        <v/>
      </c>
      <c r="I163" s="43" t="str">
        <f t="shared" si="228"/>
        <v/>
      </c>
      <c r="J163" s="43" t="str">
        <f t="shared" si="228"/>
        <v/>
      </c>
      <c r="K163" s="43" t="str">
        <f t="shared" si="228"/>
        <v/>
      </c>
      <c r="L163" s="43" t="str">
        <f t="shared" si="228"/>
        <v/>
      </c>
      <c r="M163" s="43" t="str">
        <f t="shared" si="228"/>
        <v/>
      </c>
      <c r="N163" s="43" t="str">
        <f t="shared" si="228"/>
        <v/>
      </c>
      <c r="O163" s="43" t="str">
        <f t="shared" si="228"/>
        <v/>
      </c>
      <c r="P163" s="43" t="str">
        <f t="shared" si="228"/>
        <v/>
      </c>
      <c r="Q163" s="43" t="str">
        <f t="shared" si="228"/>
        <v/>
      </c>
      <c r="S163" s="43" t="str">
        <f t="shared" si="198"/>
        <v>afert</v>
      </c>
      <c r="T163" s="43" t="str">
        <f t="shared" si="229"/>
        <v/>
      </c>
      <c r="U163" s="43" t="str">
        <f t="shared" si="229"/>
        <v/>
      </c>
      <c r="V163" s="43" t="str">
        <f t="shared" si="229"/>
        <v/>
      </c>
      <c r="W163" s="43" t="str">
        <f t="shared" si="229"/>
        <v/>
      </c>
      <c r="X163" s="43" t="str">
        <f t="shared" si="229"/>
        <v/>
      </c>
      <c r="Y163" s="43" t="str">
        <f t="shared" si="229"/>
        <v/>
      </c>
      <c r="Z163" s="43" t="str">
        <f t="shared" si="229"/>
        <v/>
      </c>
      <c r="AA163" s="43" t="str">
        <f t="shared" si="229"/>
        <v/>
      </c>
      <c r="AB163" s="43" t="str">
        <f t="shared" si="229"/>
        <v/>
      </c>
      <c r="AC163" s="43" t="str">
        <f t="shared" si="229"/>
        <v/>
      </c>
      <c r="AD163" s="43" t="str">
        <f t="shared" si="229"/>
        <v/>
      </c>
      <c r="AE163" s="43" t="str">
        <f t="shared" si="229"/>
        <v/>
      </c>
      <c r="AF163" s="43" t="str">
        <f t="shared" si="229"/>
        <v/>
      </c>
      <c r="AG163" s="43" t="str">
        <f t="shared" si="229"/>
        <v/>
      </c>
      <c r="AH163" s="43" t="str">
        <f t="shared" si="229"/>
        <v/>
      </c>
    </row>
    <row r="164" spans="2:34" x14ac:dyDescent="0.35">
      <c r="B164" s="43" t="str">
        <f t="shared" si="196"/>
        <v>cchem</v>
      </c>
      <c r="C164" s="43">
        <f t="shared" si="228"/>
        <v>1.9467496845424175</v>
      </c>
      <c r="D164" s="43">
        <f t="shared" si="228"/>
        <v>1.6684643426172761</v>
      </c>
      <c r="E164" s="43">
        <f t="shared" si="228"/>
        <v>1.4816947298517449</v>
      </c>
      <c r="F164" s="43">
        <f t="shared" si="228"/>
        <v>1.3640318144558865</v>
      </c>
      <c r="G164" s="43">
        <f t="shared" si="228"/>
        <v>1.1365360596135514</v>
      </c>
      <c r="H164" s="43">
        <f t="shared" si="228"/>
        <v>2.2726157885896208</v>
      </c>
      <c r="I164" s="43">
        <f t="shared" si="228"/>
        <v>1.6172320619729366</v>
      </c>
      <c r="J164" s="43">
        <f t="shared" si="228"/>
        <v>1.3405545621154533</v>
      </c>
      <c r="K164" s="43">
        <f t="shared" si="228"/>
        <v>1.0839971237108275</v>
      </c>
      <c r="L164" s="43">
        <f t="shared" si="228"/>
        <v>1.0893835134156142</v>
      </c>
      <c r="M164" s="43">
        <f t="shared" si="228"/>
        <v>1.8264112024882488</v>
      </c>
      <c r="N164" s="43">
        <f t="shared" si="228"/>
        <v>1.6474359432970573</v>
      </c>
      <c r="O164" s="43">
        <f t="shared" si="228"/>
        <v>1.3827959537447574</v>
      </c>
      <c r="P164" s="43">
        <f t="shared" si="228"/>
        <v>1.224140651470736</v>
      </c>
      <c r="Q164" s="43">
        <f t="shared" si="228"/>
        <v>1.0551709673754075</v>
      </c>
      <c r="S164" s="43" t="str">
        <f t="shared" si="198"/>
        <v>achem</v>
      </c>
      <c r="T164" s="43" t="str">
        <f t="shared" si="229"/>
        <v/>
      </c>
      <c r="U164" s="43" t="str">
        <f t="shared" si="229"/>
        <v/>
      </c>
      <c r="V164" s="43" t="str">
        <f t="shared" si="229"/>
        <v/>
      </c>
      <c r="W164" s="43" t="str">
        <f t="shared" si="229"/>
        <v/>
      </c>
      <c r="X164" s="43" t="str">
        <f t="shared" si="229"/>
        <v/>
      </c>
      <c r="Y164" s="43" t="str">
        <f t="shared" si="229"/>
        <v/>
      </c>
      <c r="Z164" s="43" t="str">
        <f t="shared" si="229"/>
        <v/>
      </c>
      <c r="AA164" s="43" t="str">
        <f t="shared" si="229"/>
        <v/>
      </c>
      <c r="AB164" s="43" t="str">
        <f t="shared" si="229"/>
        <v/>
      </c>
      <c r="AC164" s="43" t="str">
        <f t="shared" si="229"/>
        <v/>
      </c>
      <c r="AD164" s="43" t="str">
        <f t="shared" si="229"/>
        <v/>
      </c>
      <c r="AE164" s="43" t="str">
        <f t="shared" si="229"/>
        <v/>
      </c>
      <c r="AF164" s="43" t="str">
        <f t="shared" si="229"/>
        <v/>
      </c>
      <c r="AG164" s="43" t="str">
        <f t="shared" si="229"/>
        <v/>
      </c>
      <c r="AH164" s="43" t="str">
        <f t="shared" si="229"/>
        <v/>
      </c>
    </row>
    <row r="165" spans="2:34" x14ac:dyDescent="0.35">
      <c r="B165" s="43" t="str">
        <f t="shared" si="196"/>
        <v>cnmet</v>
      </c>
      <c r="C165" s="43">
        <f t="shared" si="228"/>
        <v>1.9467496845424175</v>
      </c>
      <c r="D165" s="43">
        <f t="shared" si="228"/>
        <v>1.6684643426172761</v>
      </c>
      <c r="E165" s="43">
        <f t="shared" si="228"/>
        <v>1.4816947298517449</v>
      </c>
      <c r="F165" s="43">
        <f t="shared" si="228"/>
        <v>1.3640318144558865</v>
      </c>
      <c r="G165" s="43">
        <f t="shared" si="228"/>
        <v>1.1365360596135514</v>
      </c>
      <c r="H165" s="43">
        <f t="shared" si="228"/>
        <v>2.2726157885896208</v>
      </c>
      <c r="I165" s="43">
        <f t="shared" si="228"/>
        <v>1.6172320619729366</v>
      </c>
      <c r="J165" s="43">
        <f t="shared" si="228"/>
        <v>1.3405545621154533</v>
      </c>
      <c r="K165" s="43">
        <f t="shared" si="228"/>
        <v>1.0839971237108275</v>
      </c>
      <c r="L165" s="43">
        <f t="shared" si="228"/>
        <v>1.0893835134156142</v>
      </c>
      <c r="M165" s="43">
        <f t="shared" si="228"/>
        <v>1.8264112024882488</v>
      </c>
      <c r="N165" s="43">
        <f t="shared" si="228"/>
        <v>1.6474359432970573</v>
      </c>
      <c r="O165" s="43">
        <f t="shared" si="228"/>
        <v>1.3827959537447574</v>
      </c>
      <c r="P165" s="43">
        <f t="shared" si="228"/>
        <v>1.224140651470736</v>
      </c>
      <c r="Q165" s="43">
        <f t="shared" si="228"/>
        <v>1.0551709673754075</v>
      </c>
      <c r="S165" s="43" t="str">
        <f t="shared" si="198"/>
        <v>anmet</v>
      </c>
      <c r="T165" s="43" t="str">
        <f t="shared" si="229"/>
        <v/>
      </c>
      <c r="U165" s="43" t="str">
        <f t="shared" si="229"/>
        <v/>
      </c>
      <c r="V165" s="43" t="str">
        <f t="shared" si="229"/>
        <v/>
      </c>
      <c r="W165" s="43" t="str">
        <f t="shared" si="229"/>
        <v/>
      </c>
      <c r="X165" s="43" t="str">
        <f t="shared" si="229"/>
        <v/>
      </c>
      <c r="Y165" s="43" t="str">
        <f t="shared" si="229"/>
        <v/>
      </c>
      <c r="Z165" s="43" t="str">
        <f t="shared" si="229"/>
        <v/>
      </c>
      <c r="AA165" s="43" t="str">
        <f t="shared" si="229"/>
        <v/>
      </c>
      <c r="AB165" s="43" t="str">
        <f t="shared" si="229"/>
        <v/>
      </c>
      <c r="AC165" s="43" t="str">
        <f t="shared" si="229"/>
        <v/>
      </c>
      <c r="AD165" s="43" t="str">
        <f t="shared" si="229"/>
        <v/>
      </c>
      <c r="AE165" s="43" t="str">
        <f t="shared" si="229"/>
        <v/>
      </c>
      <c r="AF165" s="43" t="str">
        <f t="shared" si="229"/>
        <v/>
      </c>
      <c r="AG165" s="43" t="str">
        <f t="shared" si="229"/>
        <v/>
      </c>
      <c r="AH165" s="43" t="str">
        <f t="shared" si="229"/>
        <v/>
      </c>
    </row>
    <row r="166" spans="2:34" x14ac:dyDescent="0.35">
      <c r="B166" s="43" t="str">
        <f t="shared" si="196"/>
        <v>cmetl</v>
      </c>
      <c r="C166" s="43">
        <f t="shared" si="228"/>
        <v>1.9467496845424175</v>
      </c>
      <c r="D166" s="43" t="str">
        <f t="shared" si="228"/>
        <v/>
      </c>
      <c r="E166" s="43">
        <f t="shared" si="228"/>
        <v>1.4816947298517449</v>
      </c>
      <c r="F166" s="43">
        <f t="shared" si="228"/>
        <v>1.3640318144558865</v>
      </c>
      <c r="G166" s="43">
        <f t="shared" si="228"/>
        <v>1.1365360596135514</v>
      </c>
      <c r="H166" s="43" t="str">
        <f t="shared" si="228"/>
        <v/>
      </c>
      <c r="I166" s="43">
        <f t="shared" si="228"/>
        <v>1.6172320619729366</v>
      </c>
      <c r="J166" s="43" t="str">
        <f t="shared" si="228"/>
        <v/>
      </c>
      <c r="K166" s="43">
        <f t="shared" si="228"/>
        <v>1.0839971237108275</v>
      </c>
      <c r="L166" s="43">
        <f t="shared" si="228"/>
        <v>1.0893835134156142</v>
      </c>
      <c r="M166" s="43">
        <f t="shared" si="228"/>
        <v>1.8264112024882488</v>
      </c>
      <c r="N166" s="43">
        <f t="shared" si="228"/>
        <v>1.6474359432970573</v>
      </c>
      <c r="O166" s="43">
        <f t="shared" si="228"/>
        <v>1.3827959537447574</v>
      </c>
      <c r="P166" s="43">
        <f t="shared" si="228"/>
        <v>1.224140651470736</v>
      </c>
      <c r="Q166" s="43">
        <f t="shared" si="228"/>
        <v>1.0551709673754075</v>
      </c>
      <c r="S166" s="43" t="str">
        <f t="shared" si="198"/>
        <v>ametl</v>
      </c>
      <c r="T166" s="43" t="str">
        <f t="shared" si="229"/>
        <v/>
      </c>
      <c r="U166" s="43" t="str">
        <f t="shared" si="229"/>
        <v/>
      </c>
      <c r="V166" s="43" t="str">
        <f t="shared" si="229"/>
        <v/>
      </c>
      <c r="W166" s="43" t="str">
        <f t="shared" si="229"/>
        <v/>
      </c>
      <c r="X166" s="43" t="str">
        <f t="shared" si="229"/>
        <v/>
      </c>
      <c r="Y166" s="43" t="str">
        <f t="shared" si="229"/>
        <v/>
      </c>
      <c r="Z166" s="43" t="str">
        <f t="shared" si="229"/>
        <v/>
      </c>
      <c r="AA166" s="43" t="str">
        <f t="shared" si="229"/>
        <v/>
      </c>
      <c r="AB166" s="43" t="str">
        <f t="shared" si="229"/>
        <v/>
      </c>
      <c r="AC166" s="43" t="str">
        <f t="shared" si="229"/>
        <v/>
      </c>
      <c r="AD166" s="43" t="str">
        <f t="shared" si="229"/>
        <v/>
      </c>
      <c r="AE166" s="43" t="str">
        <f t="shared" si="229"/>
        <v/>
      </c>
      <c r="AF166" s="43" t="str">
        <f t="shared" si="229"/>
        <v/>
      </c>
      <c r="AG166" s="43" t="str">
        <f t="shared" si="229"/>
        <v/>
      </c>
      <c r="AH166" s="43" t="str">
        <f t="shared" si="229"/>
        <v/>
      </c>
    </row>
    <row r="167" spans="2:34" x14ac:dyDescent="0.35">
      <c r="B167" s="43" t="str">
        <f t="shared" si="196"/>
        <v>cmach</v>
      </c>
      <c r="C167" s="43">
        <f t="shared" si="228"/>
        <v>1.9467496845424175</v>
      </c>
      <c r="D167" s="43">
        <f t="shared" si="228"/>
        <v>1.6684643426172761</v>
      </c>
      <c r="E167" s="43">
        <f t="shared" si="228"/>
        <v>1.4816947298517449</v>
      </c>
      <c r="F167" s="43">
        <f t="shared" si="228"/>
        <v>1.3640318144558865</v>
      </c>
      <c r="G167" s="43">
        <f t="shared" si="228"/>
        <v>1.1365360596135514</v>
      </c>
      <c r="H167" s="43">
        <f t="shared" si="228"/>
        <v>2.2726157885896208</v>
      </c>
      <c r="I167" s="43">
        <f t="shared" si="228"/>
        <v>1.6172320619729366</v>
      </c>
      <c r="J167" s="43">
        <f t="shared" si="228"/>
        <v>1.3405545621154533</v>
      </c>
      <c r="K167" s="43">
        <f t="shared" si="228"/>
        <v>1.0839971237108275</v>
      </c>
      <c r="L167" s="43">
        <f t="shared" si="228"/>
        <v>1.0893835134156142</v>
      </c>
      <c r="M167" s="43">
        <f t="shared" si="228"/>
        <v>1.8264112024882488</v>
      </c>
      <c r="N167" s="43">
        <f t="shared" si="228"/>
        <v>1.6474359432970573</v>
      </c>
      <c r="O167" s="43">
        <f t="shared" si="228"/>
        <v>1.3827959537447574</v>
      </c>
      <c r="P167" s="43">
        <f t="shared" si="228"/>
        <v>1.224140651470736</v>
      </c>
      <c r="Q167" s="43">
        <f t="shared" si="228"/>
        <v>1.0551709673754075</v>
      </c>
      <c r="S167" s="43" t="str">
        <f t="shared" si="198"/>
        <v>amach</v>
      </c>
      <c r="T167" s="43" t="str">
        <f t="shared" si="229"/>
        <v/>
      </c>
      <c r="U167" s="43" t="str">
        <f t="shared" si="229"/>
        <v/>
      </c>
      <c r="V167" s="43" t="str">
        <f t="shared" si="229"/>
        <v/>
      </c>
      <c r="W167" s="43" t="str">
        <f t="shared" si="229"/>
        <v/>
      </c>
      <c r="X167" s="43" t="str">
        <f t="shared" si="229"/>
        <v/>
      </c>
      <c r="Y167" s="43" t="str">
        <f t="shared" si="229"/>
        <v/>
      </c>
      <c r="Z167" s="43" t="str">
        <f t="shared" si="229"/>
        <v/>
      </c>
      <c r="AA167" s="43" t="str">
        <f t="shared" si="229"/>
        <v/>
      </c>
      <c r="AB167" s="43" t="str">
        <f t="shared" si="229"/>
        <v/>
      </c>
      <c r="AC167" s="43" t="str">
        <f t="shared" si="229"/>
        <v/>
      </c>
      <c r="AD167" s="43" t="str">
        <f t="shared" si="229"/>
        <v/>
      </c>
      <c r="AE167" s="43" t="str">
        <f t="shared" si="229"/>
        <v/>
      </c>
      <c r="AF167" s="43" t="str">
        <f t="shared" si="229"/>
        <v/>
      </c>
      <c r="AG167" s="43" t="str">
        <f t="shared" si="229"/>
        <v/>
      </c>
      <c r="AH167" s="43" t="str">
        <f t="shared" si="229"/>
        <v/>
      </c>
    </row>
    <row r="168" spans="2:34" x14ac:dyDescent="0.35">
      <c r="B168" s="52" t="str">
        <f t="shared" si="196"/>
        <v>coman</v>
      </c>
      <c r="C168" s="52">
        <f t="shared" si="228"/>
        <v>1.9467496845424175</v>
      </c>
      <c r="D168" s="52">
        <f t="shared" si="228"/>
        <v>1.6684643426172761</v>
      </c>
      <c r="E168" s="52">
        <f t="shared" si="228"/>
        <v>1.4816947298517449</v>
      </c>
      <c r="F168" s="52">
        <f t="shared" si="228"/>
        <v>1.3640318144558865</v>
      </c>
      <c r="G168" s="52">
        <f t="shared" si="228"/>
        <v>1.1365360596135514</v>
      </c>
      <c r="H168" s="52">
        <f t="shared" si="228"/>
        <v>2.2726157885896208</v>
      </c>
      <c r="I168" s="52">
        <f t="shared" si="228"/>
        <v>1.6172320619729366</v>
      </c>
      <c r="J168" s="52">
        <f t="shared" si="228"/>
        <v>1.3405545621154533</v>
      </c>
      <c r="K168" s="52">
        <f t="shared" si="228"/>
        <v>1.0839971237108275</v>
      </c>
      <c r="L168" s="52">
        <f t="shared" si="228"/>
        <v>1.0893835134156142</v>
      </c>
      <c r="M168" s="52">
        <f t="shared" si="228"/>
        <v>1.8264112024882488</v>
      </c>
      <c r="N168" s="52">
        <f t="shared" si="228"/>
        <v>1.6474359432970573</v>
      </c>
      <c r="O168" s="52">
        <f t="shared" si="228"/>
        <v>1.3827959537447574</v>
      </c>
      <c r="P168" s="52">
        <f t="shared" si="228"/>
        <v>1.224140651470736</v>
      </c>
      <c r="Q168" s="52">
        <f t="shared" si="228"/>
        <v>1.0551709673754075</v>
      </c>
      <c r="S168" s="52" t="str">
        <f t="shared" si="198"/>
        <v>aoman</v>
      </c>
      <c r="T168" s="52" t="str">
        <f t="shared" si="229"/>
        <v/>
      </c>
      <c r="U168" s="52" t="str">
        <f t="shared" si="229"/>
        <v/>
      </c>
      <c r="V168" s="52" t="str">
        <f t="shared" si="229"/>
        <v/>
      </c>
      <c r="W168" s="52" t="str">
        <f t="shared" si="229"/>
        <v/>
      </c>
      <c r="X168" s="52" t="str">
        <f t="shared" si="229"/>
        <v/>
      </c>
      <c r="Y168" s="52" t="str">
        <f t="shared" si="229"/>
        <v/>
      </c>
      <c r="Z168" s="52" t="str">
        <f t="shared" si="229"/>
        <v/>
      </c>
      <c r="AA168" s="52" t="str">
        <f t="shared" si="229"/>
        <v/>
      </c>
      <c r="AB168" s="52" t="str">
        <f t="shared" si="229"/>
        <v/>
      </c>
      <c r="AC168" s="52" t="str">
        <f t="shared" si="229"/>
        <v/>
      </c>
      <c r="AD168" s="52" t="str">
        <f t="shared" si="229"/>
        <v/>
      </c>
      <c r="AE168" s="52" t="str">
        <f t="shared" si="229"/>
        <v/>
      </c>
      <c r="AF168" s="52" t="str">
        <f t="shared" si="229"/>
        <v/>
      </c>
      <c r="AG168" s="52" t="str">
        <f t="shared" si="229"/>
        <v/>
      </c>
      <c r="AH168" s="52" t="str">
        <f t="shared" si="229"/>
        <v/>
      </c>
    </row>
    <row r="169" spans="2:34" x14ac:dyDescent="0.35">
      <c r="B169" s="55" t="str">
        <f t="shared" si="196"/>
        <v>ccons</v>
      </c>
      <c r="C169" s="55" t="str">
        <f t="shared" ref="C169:Q169" si="230">IF(AM86&gt;0,T$119,"")</f>
        <v/>
      </c>
      <c r="D169" s="55" t="str">
        <f t="shared" si="230"/>
        <v/>
      </c>
      <c r="E169" s="55" t="str">
        <f t="shared" si="230"/>
        <v/>
      </c>
      <c r="F169" s="55" t="str">
        <f t="shared" si="230"/>
        <v/>
      </c>
      <c r="G169" s="55" t="str">
        <f t="shared" si="230"/>
        <v/>
      </c>
      <c r="H169" s="55" t="str">
        <f t="shared" si="230"/>
        <v/>
      </c>
      <c r="I169" s="55" t="str">
        <f t="shared" si="230"/>
        <v/>
      </c>
      <c r="J169" s="55" t="str">
        <f t="shared" si="230"/>
        <v/>
      </c>
      <c r="K169" s="55" t="str">
        <f t="shared" si="230"/>
        <v/>
      </c>
      <c r="L169" s="55" t="str">
        <f t="shared" si="230"/>
        <v/>
      </c>
      <c r="M169" s="55" t="str">
        <f t="shared" si="230"/>
        <v/>
      </c>
      <c r="N169" s="55" t="str">
        <f t="shared" si="230"/>
        <v/>
      </c>
      <c r="O169" s="55" t="str">
        <f t="shared" si="230"/>
        <v/>
      </c>
      <c r="P169" s="55" t="str">
        <f t="shared" si="230"/>
        <v/>
      </c>
      <c r="Q169" s="55" t="str">
        <f t="shared" si="230"/>
        <v/>
      </c>
      <c r="S169" s="55" t="str">
        <f t="shared" si="198"/>
        <v>acons</v>
      </c>
      <c r="T169" s="55" t="str">
        <f t="shared" ref="T169:AH169" si="231">IF(BD86&gt;0,T$119,"")</f>
        <v/>
      </c>
      <c r="U169" s="55" t="str">
        <f t="shared" si="231"/>
        <v/>
      </c>
      <c r="V169" s="55" t="str">
        <f t="shared" si="231"/>
        <v/>
      </c>
      <c r="W169" s="55" t="str">
        <f t="shared" si="231"/>
        <v/>
      </c>
      <c r="X169" s="55" t="str">
        <f t="shared" si="231"/>
        <v/>
      </c>
      <c r="Y169" s="55" t="str">
        <f t="shared" si="231"/>
        <v/>
      </c>
      <c r="Z169" s="55" t="str">
        <f t="shared" si="231"/>
        <v/>
      </c>
      <c r="AA169" s="55" t="str">
        <f t="shared" si="231"/>
        <v/>
      </c>
      <c r="AB169" s="55" t="str">
        <f t="shared" si="231"/>
        <v/>
      </c>
      <c r="AC169" s="55" t="str">
        <f t="shared" si="231"/>
        <v/>
      </c>
      <c r="AD169" s="55" t="str">
        <f t="shared" si="231"/>
        <v/>
      </c>
      <c r="AE169" s="55" t="str">
        <f t="shared" si="231"/>
        <v/>
      </c>
      <c r="AF169" s="55" t="str">
        <f t="shared" si="231"/>
        <v/>
      </c>
      <c r="AG169" s="55" t="str">
        <f t="shared" si="231"/>
        <v/>
      </c>
      <c r="AH169" s="55" t="str">
        <f t="shared" si="231"/>
        <v/>
      </c>
    </row>
    <row r="170" spans="2:34" x14ac:dyDescent="0.35">
      <c r="B170" s="58" t="str">
        <f t="shared" si="196"/>
        <v>chotl</v>
      </c>
      <c r="C170" s="58">
        <f t="shared" ref="C170:Q171" si="232">IF(AM87&gt;0,T$120,"")</f>
        <v>1.9467496845424175</v>
      </c>
      <c r="D170" s="58">
        <f t="shared" si="232"/>
        <v>1.6684643426172761</v>
      </c>
      <c r="E170" s="58">
        <f t="shared" si="232"/>
        <v>1.4816947298517449</v>
      </c>
      <c r="F170" s="58">
        <f t="shared" si="232"/>
        <v>1.3640318144558865</v>
      </c>
      <c r="G170" s="58">
        <f t="shared" si="232"/>
        <v>1.1365360596135514</v>
      </c>
      <c r="H170" s="58" t="str">
        <f t="shared" si="232"/>
        <v/>
      </c>
      <c r="I170" s="58">
        <f t="shared" si="232"/>
        <v>1.6172320619729366</v>
      </c>
      <c r="J170" s="58" t="str">
        <f t="shared" si="232"/>
        <v/>
      </c>
      <c r="K170" s="58">
        <f t="shared" si="232"/>
        <v>1.0839971237108275</v>
      </c>
      <c r="L170" s="58">
        <f t="shared" si="232"/>
        <v>1.0893835134156142</v>
      </c>
      <c r="M170" s="58" t="str">
        <f t="shared" si="232"/>
        <v/>
      </c>
      <c r="N170" s="58">
        <f t="shared" si="232"/>
        <v>1.6474359432970573</v>
      </c>
      <c r="O170" s="58">
        <f t="shared" si="232"/>
        <v>1.3827959537447574</v>
      </c>
      <c r="P170" s="58">
        <f t="shared" si="232"/>
        <v>1.224140651470736</v>
      </c>
      <c r="Q170" s="58">
        <f t="shared" si="232"/>
        <v>1.0551709673754075</v>
      </c>
      <c r="S170" s="58" t="str">
        <f t="shared" si="198"/>
        <v>ahotl</v>
      </c>
      <c r="T170" s="58" t="str">
        <f t="shared" ref="T170:AH171" si="233">IF(BD87&gt;0,T$120,"")</f>
        <v/>
      </c>
      <c r="U170" s="58" t="str">
        <f t="shared" si="233"/>
        <v/>
      </c>
      <c r="V170" s="58" t="str">
        <f t="shared" si="233"/>
        <v/>
      </c>
      <c r="W170" s="58" t="str">
        <f t="shared" si="233"/>
        <v/>
      </c>
      <c r="X170" s="58" t="str">
        <f t="shared" si="233"/>
        <v/>
      </c>
      <c r="Y170" s="58" t="str">
        <f t="shared" si="233"/>
        <v/>
      </c>
      <c r="Z170" s="58" t="str">
        <f t="shared" si="233"/>
        <v/>
      </c>
      <c r="AA170" s="58" t="str">
        <f t="shared" si="233"/>
        <v/>
      </c>
      <c r="AB170" s="58" t="str">
        <f t="shared" si="233"/>
        <v/>
      </c>
      <c r="AC170" s="58" t="str">
        <f t="shared" si="233"/>
        <v/>
      </c>
      <c r="AD170" s="58" t="str">
        <f t="shared" si="233"/>
        <v/>
      </c>
      <c r="AE170" s="58" t="str">
        <f t="shared" si="233"/>
        <v/>
      </c>
      <c r="AF170" s="58" t="str">
        <f t="shared" si="233"/>
        <v/>
      </c>
      <c r="AG170" s="58" t="str">
        <f t="shared" si="233"/>
        <v/>
      </c>
      <c r="AH170" s="58" t="str">
        <f t="shared" si="233"/>
        <v/>
      </c>
    </row>
    <row r="171" spans="2:34" x14ac:dyDescent="0.35">
      <c r="B171" s="52" t="str">
        <f t="shared" si="196"/>
        <v>crest</v>
      </c>
      <c r="C171" s="52">
        <f t="shared" si="232"/>
        <v>1.9467496845424175</v>
      </c>
      <c r="D171" s="52">
        <f t="shared" si="232"/>
        <v>1.6684643426172761</v>
      </c>
      <c r="E171" s="52">
        <f t="shared" si="232"/>
        <v>1.4816947298517449</v>
      </c>
      <c r="F171" s="52">
        <f t="shared" si="232"/>
        <v>1.3640318144558865</v>
      </c>
      <c r="G171" s="52">
        <f t="shared" si="232"/>
        <v>1.1365360596135514</v>
      </c>
      <c r="H171" s="52">
        <f t="shared" si="232"/>
        <v>2.2726157885896208</v>
      </c>
      <c r="I171" s="52">
        <f t="shared" si="232"/>
        <v>1.6172320619729366</v>
      </c>
      <c r="J171" s="52">
        <f t="shared" si="232"/>
        <v>1.3405545621154533</v>
      </c>
      <c r="K171" s="52">
        <f t="shared" si="232"/>
        <v>1.0839971237108275</v>
      </c>
      <c r="L171" s="52">
        <f t="shared" si="232"/>
        <v>1.0893835134156142</v>
      </c>
      <c r="M171" s="52">
        <f t="shared" si="232"/>
        <v>1.8264112024882488</v>
      </c>
      <c r="N171" s="52">
        <f t="shared" si="232"/>
        <v>1.6474359432970573</v>
      </c>
      <c r="O171" s="52">
        <f t="shared" si="232"/>
        <v>1.3827959537447574</v>
      </c>
      <c r="P171" s="52">
        <f t="shared" si="232"/>
        <v>1.224140651470736</v>
      </c>
      <c r="Q171" s="52">
        <f t="shared" si="232"/>
        <v>1.0551709673754075</v>
      </c>
      <c r="S171" s="52" t="str">
        <f t="shared" si="198"/>
        <v>arest</v>
      </c>
      <c r="T171" s="52" t="str">
        <f t="shared" si="233"/>
        <v/>
      </c>
      <c r="U171" s="52" t="str">
        <f t="shared" si="233"/>
        <v/>
      </c>
      <c r="V171" s="52" t="str">
        <f t="shared" si="233"/>
        <v/>
      </c>
      <c r="W171" s="52" t="str">
        <f t="shared" si="233"/>
        <v/>
      </c>
      <c r="X171" s="52" t="str">
        <f t="shared" si="233"/>
        <v/>
      </c>
      <c r="Y171" s="52" t="str">
        <f t="shared" si="233"/>
        <v/>
      </c>
      <c r="Z171" s="52" t="str">
        <f t="shared" si="233"/>
        <v/>
      </c>
      <c r="AA171" s="52" t="str">
        <f t="shared" si="233"/>
        <v/>
      </c>
      <c r="AB171" s="52" t="str">
        <f t="shared" si="233"/>
        <v/>
      </c>
      <c r="AC171" s="52" t="str">
        <f t="shared" si="233"/>
        <v/>
      </c>
      <c r="AD171" s="52" t="str">
        <f t="shared" si="233"/>
        <v/>
      </c>
      <c r="AE171" s="52" t="str">
        <f t="shared" si="233"/>
        <v/>
      </c>
      <c r="AF171" s="52" t="str">
        <f t="shared" si="233"/>
        <v/>
      </c>
      <c r="AG171" s="52" t="str">
        <f t="shared" si="233"/>
        <v/>
      </c>
      <c r="AH171" s="52" t="str">
        <f t="shared" si="233"/>
        <v/>
      </c>
    </row>
    <row r="172" spans="2:34" x14ac:dyDescent="0.35">
      <c r="B172" s="58" t="str">
        <f t="shared" si="196"/>
        <v>ctrad</v>
      </c>
      <c r="C172" s="58">
        <f t="shared" ref="C172:Q174" si="234">IF(AM89&gt;0,T$121,"")</f>
        <v>1.9467496845424175</v>
      </c>
      <c r="D172" s="58">
        <f t="shared" si="234"/>
        <v>1.6684643426172761</v>
      </c>
      <c r="E172" s="58">
        <f t="shared" si="234"/>
        <v>1.4816947298517449</v>
      </c>
      <c r="F172" s="58">
        <f t="shared" si="234"/>
        <v>1.3640318144558865</v>
      </c>
      <c r="G172" s="58">
        <f t="shared" si="234"/>
        <v>1.1365360596135514</v>
      </c>
      <c r="H172" s="58" t="str">
        <f t="shared" si="234"/>
        <v/>
      </c>
      <c r="I172" s="58">
        <f t="shared" si="234"/>
        <v>1.6172320619729366</v>
      </c>
      <c r="J172" s="58" t="str">
        <f t="shared" si="234"/>
        <v/>
      </c>
      <c r="K172" s="58">
        <f t="shared" si="234"/>
        <v>1.0839971237108275</v>
      </c>
      <c r="L172" s="58">
        <f t="shared" si="234"/>
        <v>1.0893835134156142</v>
      </c>
      <c r="M172" s="58" t="str">
        <f t="shared" si="234"/>
        <v/>
      </c>
      <c r="N172" s="58">
        <f t="shared" si="234"/>
        <v>1.6474359432970573</v>
      </c>
      <c r="O172" s="58">
        <f t="shared" si="234"/>
        <v>1.3827959537447574</v>
      </c>
      <c r="P172" s="58">
        <f t="shared" si="234"/>
        <v>1.224140651470736</v>
      </c>
      <c r="Q172" s="58">
        <f t="shared" si="234"/>
        <v>1.0551709673754075</v>
      </c>
      <c r="S172" s="58" t="str">
        <f t="shared" si="198"/>
        <v>atrad</v>
      </c>
      <c r="T172" s="58" t="str">
        <f t="shared" ref="T172:AH174" si="235">IF(BD89&gt;0,T$121,"")</f>
        <v/>
      </c>
      <c r="U172" s="58" t="str">
        <f t="shared" si="235"/>
        <v/>
      </c>
      <c r="V172" s="58" t="str">
        <f t="shared" si="235"/>
        <v/>
      </c>
      <c r="W172" s="58" t="str">
        <f t="shared" si="235"/>
        <v/>
      </c>
      <c r="X172" s="58" t="str">
        <f t="shared" si="235"/>
        <v/>
      </c>
      <c r="Y172" s="58" t="str">
        <f t="shared" si="235"/>
        <v/>
      </c>
      <c r="Z172" s="58" t="str">
        <f t="shared" si="235"/>
        <v/>
      </c>
      <c r="AA172" s="58" t="str">
        <f t="shared" si="235"/>
        <v/>
      </c>
      <c r="AB172" s="58" t="str">
        <f t="shared" si="235"/>
        <v/>
      </c>
      <c r="AC172" s="58" t="str">
        <f t="shared" si="235"/>
        <v/>
      </c>
      <c r="AD172" s="58" t="str">
        <f t="shared" si="235"/>
        <v/>
      </c>
      <c r="AE172" s="58" t="str">
        <f t="shared" si="235"/>
        <v/>
      </c>
      <c r="AF172" s="58" t="str">
        <f t="shared" si="235"/>
        <v/>
      </c>
      <c r="AG172" s="58" t="str">
        <f t="shared" si="235"/>
        <v/>
      </c>
      <c r="AH172" s="58" t="str">
        <f t="shared" si="235"/>
        <v/>
      </c>
    </row>
    <row r="173" spans="2:34" x14ac:dyDescent="0.35">
      <c r="B173" s="43" t="str">
        <f t="shared" si="196"/>
        <v>ctran</v>
      </c>
      <c r="C173" s="43">
        <f t="shared" si="234"/>
        <v>1.9467496845424175</v>
      </c>
      <c r="D173" s="43">
        <f t="shared" si="234"/>
        <v>1.6684643426172761</v>
      </c>
      <c r="E173" s="43">
        <f t="shared" si="234"/>
        <v>1.4816947298517449</v>
      </c>
      <c r="F173" s="43">
        <f t="shared" si="234"/>
        <v>1.3640318144558865</v>
      </c>
      <c r="G173" s="43">
        <f t="shared" si="234"/>
        <v>1.1365360596135514</v>
      </c>
      <c r="H173" s="43">
        <f t="shared" si="234"/>
        <v>2.2726157885896208</v>
      </c>
      <c r="I173" s="43">
        <f t="shared" si="234"/>
        <v>1.6172320619729366</v>
      </c>
      <c r="J173" s="43">
        <f t="shared" si="234"/>
        <v>1.3405545621154533</v>
      </c>
      <c r="K173" s="43">
        <f t="shared" si="234"/>
        <v>1.0839971237108275</v>
      </c>
      <c r="L173" s="43">
        <f t="shared" si="234"/>
        <v>1.0893835134156142</v>
      </c>
      <c r="M173" s="43">
        <f t="shared" si="234"/>
        <v>1.8264112024882488</v>
      </c>
      <c r="N173" s="43">
        <f t="shared" si="234"/>
        <v>1.6474359432970573</v>
      </c>
      <c r="O173" s="43">
        <f t="shared" si="234"/>
        <v>1.3827959537447574</v>
      </c>
      <c r="P173" s="43">
        <f t="shared" si="234"/>
        <v>1.224140651470736</v>
      </c>
      <c r="Q173" s="43">
        <f t="shared" si="234"/>
        <v>1.0551709673754075</v>
      </c>
      <c r="S173" s="43" t="str">
        <f t="shared" si="198"/>
        <v>atran</v>
      </c>
      <c r="T173" s="43" t="str">
        <f t="shared" si="235"/>
        <v/>
      </c>
      <c r="U173" s="43" t="str">
        <f t="shared" si="235"/>
        <v/>
      </c>
      <c r="V173" s="43" t="str">
        <f t="shared" si="235"/>
        <v/>
      </c>
      <c r="W173" s="43" t="str">
        <f t="shared" si="235"/>
        <v/>
      </c>
      <c r="X173" s="43" t="str">
        <f t="shared" si="235"/>
        <v/>
      </c>
      <c r="Y173" s="43" t="str">
        <f t="shared" si="235"/>
        <v/>
      </c>
      <c r="Z173" s="43" t="str">
        <f t="shared" si="235"/>
        <v/>
      </c>
      <c r="AA173" s="43" t="str">
        <f t="shared" si="235"/>
        <v/>
      </c>
      <c r="AB173" s="43" t="str">
        <f t="shared" si="235"/>
        <v/>
      </c>
      <c r="AC173" s="43" t="str">
        <f t="shared" si="235"/>
        <v/>
      </c>
      <c r="AD173" s="43" t="str">
        <f t="shared" si="235"/>
        <v/>
      </c>
      <c r="AE173" s="43" t="str">
        <f t="shared" si="235"/>
        <v/>
      </c>
      <c r="AF173" s="43" t="str">
        <f t="shared" si="235"/>
        <v/>
      </c>
      <c r="AG173" s="43" t="str">
        <f t="shared" si="235"/>
        <v/>
      </c>
      <c r="AH173" s="43" t="str">
        <f t="shared" si="235"/>
        <v/>
      </c>
    </row>
    <row r="174" spans="2:34" x14ac:dyDescent="0.35">
      <c r="B174" s="52" t="str">
        <f t="shared" si="196"/>
        <v>ccomm</v>
      </c>
      <c r="C174" s="52">
        <f t="shared" si="234"/>
        <v>1.9467496845424175</v>
      </c>
      <c r="D174" s="52">
        <f t="shared" si="234"/>
        <v>1.6684643426172761</v>
      </c>
      <c r="E174" s="52">
        <f t="shared" si="234"/>
        <v>1.4816947298517449</v>
      </c>
      <c r="F174" s="52">
        <f t="shared" si="234"/>
        <v>1.3640318144558865</v>
      </c>
      <c r="G174" s="52">
        <f t="shared" si="234"/>
        <v>1.1365360596135514</v>
      </c>
      <c r="H174" s="52">
        <f t="shared" si="234"/>
        <v>2.2726157885896208</v>
      </c>
      <c r="I174" s="52">
        <f t="shared" si="234"/>
        <v>1.6172320619729366</v>
      </c>
      <c r="J174" s="52">
        <f t="shared" si="234"/>
        <v>1.3405545621154533</v>
      </c>
      <c r="K174" s="52">
        <f t="shared" si="234"/>
        <v>1.0839971237108275</v>
      </c>
      <c r="L174" s="52">
        <f t="shared" si="234"/>
        <v>1.0893835134156142</v>
      </c>
      <c r="M174" s="52">
        <f t="shared" si="234"/>
        <v>1.8264112024882488</v>
      </c>
      <c r="N174" s="52">
        <f t="shared" si="234"/>
        <v>1.6474359432970573</v>
      </c>
      <c r="O174" s="52">
        <f t="shared" si="234"/>
        <v>1.3827959537447574</v>
      </c>
      <c r="P174" s="52">
        <f t="shared" si="234"/>
        <v>1.224140651470736</v>
      </c>
      <c r="Q174" s="52">
        <f t="shared" si="234"/>
        <v>1.0551709673754075</v>
      </c>
      <c r="S174" s="52" t="str">
        <f t="shared" si="198"/>
        <v>acomm</v>
      </c>
      <c r="T174" s="52" t="str">
        <f t="shared" si="235"/>
        <v/>
      </c>
      <c r="U174" s="52" t="str">
        <f t="shared" si="235"/>
        <v/>
      </c>
      <c r="V174" s="52" t="str">
        <f t="shared" si="235"/>
        <v/>
      </c>
      <c r="W174" s="52" t="str">
        <f t="shared" si="235"/>
        <v/>
      </c>
      <c r="X174" s="52" t="str">
        <f t="shared" si="235"/>
        <v/>
      </c>
      <c r="Y174" s="52" t="str">
        <f t="shared" si="235"/>
        <v/>
      </c>
      <c r="Z174" s="52" t="str">
        <f t="shared" si="235"/>
        <v/>
      </c>
      <c r="AA174" s="52" t="str">
        <f t="shared" si="235"/>
        <v/>
      </c>
      <c r="AB174" s="52" t="str">
        <f t="shared" si="235"/>
        <v/>
      </c>
      <c r="AC174" s="52" t="str">
        <f t="shared" si="235"/>
        <v/>
      </c>
      <c r="AD174" s="52" t="str">
        <f t="shared" si="235"/>
        <v/>
      </c>
      <c r="AE174" s="52" t="str">
        <f t="shared" si="235"/>
        <v/>
      </c>
      <c r="AF174" s="52" t="str">
        <f t="shared" si="235"/>
        <v/>
      </c>
      <c r="AG174" s="52" t="str">
        <f t="shared" si="235"/>
        <v/>
      </c>
      <c r="AH174" s="52" t="str">
        <f t="shared" si="235"/>
        <v/>
      </c>
    </row>
    <row r="175" spans="2:34" x14ac:dyDescent="0.35">
      <c r="B175" s="43" t="str">
        <f t="shared" si="196"/>
        <v>cfsrv</v>
      </c>
      <c r="C175" s="43">
        <f t="shared" ref="C175:Q177" si="236">IF(AM92&gt;0,T$122,"")</f>
        <v>1.9467496845424175</v>
      </c>
      <c r="D175" s="43">
        <f t="shared" si="236"/>
        <v>1.6684643426172761</v>
      </c>
      <c r="E175" s="43">
        <f t="shared" si="236"/>
        <v>1.4816947298517449</v>
      </c>
      <c r="F175" s="43">
        <f t="shared" si="236"/>
        <v>1.3640318144558865</v>
      </c>
      <c r="G175" s="43">
        <f t="shared" si="236"/>
        <v>1.1365360596135514</v>
      </c>
      <c r="H175" s="43">
        <f t="shared" si="236"/>
        <v>2.2726157885896208</v>
      </c>
      <c r="I175" s="43">
        <f t="shared" si="236"/>
        <v>1.6172320619729366</v>
      </c>
      <c r="J175" s="43">
        <f t="shared" si="236"/>
        <v>1.3405545621154533</v>
      </c>
      <c r="K175" s="43">
        <f t="shared" si="236"/>
        <v>1.0839971237108275</v>
      </c>
      <c r="L175" s="43">
        <f t="shared" si="236"/>
        <v>1.0893835134156142</v>
      </c>
      <c r="M175" s="43">
        <f t="shared" si="236"/>
        <v>1.8264112024882488</v>
      </c>
      <c r="N175" s="43">
        <f t="shared" si="236"/>
        <v>1.6474359432970573</v>
      </c>
      <c r="O175" s="43">
        <f t="shared" si="236"/>
        <v>1.3827959537447574</v>
      </c>
      <c r="P175" s="43">
        <f t="shared" si="236"/>
        <v>1.224140651470736</v>
      </c>
      <c r="Q175" s="43">
        <f t="shared" si="236"/>
        <v>1.0551709673754075</v>
      </c>
      <c r="S175" s="43" t="str">
        <f t="shared" si="198"/>
        <v>afsrv</v>
      </c>
      <c r="T175" s="43" t="str">
        <f t="shared" ref="T175:AH177" si="237">IF(BD92&gt;0,T$122,"")</f>
        <v/>
      </c>
      <c r="U175" s="43" t="str">
        <f t="shared" si="237"/>
        <v/>
      </c>
      <c r="V175" s="43" t="str">
        <f t="shared" si="237"/>
        <v/>
      </c>
      <c r="W175" s="43" t="str">
        <f t="shared" si="237"/>
        <v/>
      </c>
      <c r="X175" s="43" t="str">
        <f t="shared" si="237"/>
        <v/>
      </c>
      <c r="Y175" s="43" t="str">
        <f t="shared" si="237"/>
        <v/>
      </c>
      <c r="Z175" s="43" t="str">
        <f t="shared" si="237"/>
        <v/>
      </c>
      <c r="AA175" s="43" t="str">
        <f t="shared" si="237"/>
        <v/>
      </c>
      <c r="AB175" s="43" t="str">
        <f t="shared" si="237"/>
        <v/>
      </c>
      <c r="AC175" s="43" t="str">
        <f t="shared" si="237"/>
        <v/>
      </c>
      <c r="AD175" s="43" t="str">
        <f t="shared" si="237"/>
        <v/>
      </c>
      <c r="AE175" s="43" t="str">
        <f t="shared" si="237"/>
        <v/>
      </c>
      <c r="AF175" s="43" t="str">
        <f t="shared" si="237"/>
        <v/>
      </c>
      <c r="AG175" s="43" t="str">
        <f t="shared" si="237"/>
        <v/>
      </c>
      <c r="AH175" s="43" t="str">
        <f t="shared" si="237"/>
        <v/>
      </c>
    </row>
    <row r="176" spans="2:34" x14ac:dyDescent="0.35">
      <c r="B176" s="43" t="str">
        <f t="shared" si="196"/>
        <v>cbsrv</v>
      </c>
      <c r="C176" s="43">
        <f t="shared" si="236"/>
        <v>1.9467496845424175</v>
      </c>
      <c r="D176" s="43">
        <f t="shared" si="236"/>
        <v>1.6684643426172761</v>
      </c>
      <c r="E176" s="43">
        <f t="shared" si="236"/>
        <v>1.4816947298517449</v>
      </c>
      <c r="F176" s="43">
        <f t="shared" si="236"/>
        <v>1.3640318144558865</v>
      </c>
      <c r="G176" s="43">
        <f t="shared" si="236"/>
        <v>1.1365360596135514</v>
      </c>
      <c r="H176" s="43">
        <f t="shared" si="236"/>
        <v>2.2726157885896208</v>
      </c>
      <c r="I176" s="43">
        <f t="shared" si="236"/>
        <v>1.6172320619729366</v>
      </c>
      <c r="J176" s="43">
        <f t="shared" si="236"/>
        <v>1.3405545621154533</v>
      </c>
      <c r="K176" s="43">
        <f t="shared" si="236"/>
        <v>1.0839971237108275</v>
      </c>
      <c r="L176" s="43">
        <f t="shared" si="236"/>
        <v>1.0893835134156142</v>
      </c>
      <c r="M176" s="43">
        <f t="shared" si="236"/>
        <v>1.8264112024882488</v>
      </c>
      <c r="N176" s="43">
        <f t="shared" si="236"/>
        <v>1.6474359432970573</v>
      </c>
      <c r="O176" s="43">
        <f t="shared" si="236"/>
        <v>1.3827959537447574</v>
      </c>
      <c r="P176" s="43">
        <f t="shared" si="236"/>
        <v>1.224140651470736</v>
      </c>
      <c r="Q176" s="43">
        <f t="shared" si="236"/>
        <v>1.0551709673754075</v>
      </c>
      <c r="S176" s="43" t="str">
        <f t="shared" si="198"/>
        <v>absrv</v>
      </c>
      <c r="T176" s="43" t="str">
        <f t="shared" si="237"/>
        <v/>
      </c>
      <c r="U176" s="43" t="str">
        <f t="shared" si="237"/>
        <v/>
      </c>
      <c r="V176" s="43" t="str">
        <f t="shared" si="237"/>
        <v/>
      </c>
      <c r="W176" s="43" t="str">
        <f t="shared" si="237"/>
        <v/>
      </c>
      <c r="X176" s="43" t="str">
        <f t="shared" si="237"/>
        <v/>
      </c>
      <c r="Y176" s="43" t="str">
        <f t="shared" si="237"/>
        <v/>
      </c>
      <c r="Z176" s="43" t="str">
        <f t="shared" si="237"/>
        <v/>
      </c>
      <c r="AA176" s="43" t="str">
        <f t="shared" si="237"/>
        <v/>
      </c>
      <c r="AB176" s="43" t="str">
        <f t="shared" si="237"/>
        <v/>
      </c>
      <c r="AC176" s="43" t="str">
        <f t="shared" si="237"/>
        <v/>
      </c>
      <c r="AD176" s="43" t="str">
        <f t="shared" si="237"/>
        <v/>
      </c>
      <c r="AE176" s="43" t="str">
        <f t="shared" si="237"/>
        <v/>
      </c>
      <c r="AF176" s="43" t="str">
        <f t="shared" si="237"/>
        <v/>
      </c>
      <c r="AG176" s="43" t="str">
        <f t="shared" si="237"/>
        <v/>
      </c>
      <c r="AH176" s="43" t="str">
        <f t="shared" si="237"/>
        <v/>
      </c>
    </row>
    <row r="177" spans="1:34" x14ac:dyDescent="0.35">
      <c r="B177" s="52" t="str">
        <f t="shared" si="196"/>
        <v>cosrv</v>
      </c>
      <c r="C177" s="52">
        <f t="shared" si="236"/>
        <v>1.9467496845424175</v>
      </c>
      <c r="D177" s="52">
        <f t="shared" si="236"/>
        <v>1.6684643426172761</v>
      </c>
      <c r="E177" s="52">
        <f t="shared" si="236"/>
        <v>1.4816947298517449</v>
      </c>
      <c r="F177" s="52">
        <f t="shared" si="236"/>
        <v>1.3640318144558865</v>
      </c>
      <c r="G177" s="52">
        <f t="shared" si="236"/>
        <v>1.1365360596135514</v>
      </c>
      <c r="H177" s="52">
        <f t="shared" si="236"/>
        <v>2.2726157885896208</v>
      </c>
      <c r="I177" s="52">
        <f t="shared" si="236"/>
        <v>1.6172320619729366</v>
      </c>
      <c r="J177" s="52">
        <f t="shared" si="236"/>
        <v>1.3405545621154533</v>
      </c>
      <c r="K177" s="52">
        <f t="shared" si="236"/>
        <v>1.0839971237108275</v>
      </c>
      <c r="L177" s="52">
        <f t="shared" si="236"/>
        <v>1.0893835134156142</v>
      </c>
      <c r="M177" s="52">
        <f t="shared" si="236"/>
        <v>1.8264112024882488</v>
      </c>
      <c r="N177" s="52">
        <f t="shared" si="236"/>
        <v>1.6474359432970573</v>
      </c>
      <c r="O177" s="52">
        <f t="shared" si="236"/>
        <v>1.3827959537447574</v>
      </c>
      <c r="P177" s="52">
        <f t="shared" si="236"/>
        <v>1.224140651470736</v>
      </c>
      <c r="Q177" s="52">
        <f t="shared" si="236"/>
        <v>1.0551709673754075</v>
      </c>
      <c r="S177" s="52" t="str">
        <f t="shared" si="198"/>
        <v>aosrv</v>
      </c>
      <c r="T177" s="52" t="str">
        <f t="shared" si="237"/>
        <v/>
      </c>
      <c r="U177" s="52" t="str">
        <f t="shared" si="237"/>
        <v/>
      </c>
      <c r="V177" s="52" t="str">
        <f t="shared" si="237"/>
        <v/>
      </c>
      <c r="W177" s="52" t="str">
        <f t="shared" si="237"/>
        <v/>
      </c>
      <c r="X177" s="52" t="str">
        <f t="shared" si="237"/>
        <v/>
      </c>
      <c r="Y177" s="52" t="str">
        <f t="shared" si="237"/>
        <v/>
      </c>
      <c r="Z177" s="52" t="str">
        <f t="shared" si="237"/>
        <v/>
      </c>
      <c r="AA177" s="52" t="str">
        <f t="shared" si="237"/>
        <v/>
      </c>
      <c r="AB177" s="52" t="str">
        <f t="shared" si="237"/>
        <v/>
      </c>
      <c r="AC177" s="52" t="str">
        <f t="shared" si="237"/>
        <v/>
      </c>
      <c r="AD177" s="52" t="str">
        <f t="shared" si="237"/>
        <v/>
      </c>
      <c r="AE177" s="52" t="str">
        <f t="shared" si="237"/>
        <v/>
      </c>
      <c r="AF177" s="52" t="str">
        <f t="shared" si="237"/>
        <v/>
      </c>
      <c r="AG177" s="52" t="str">
        <f t="shared" si="237"/>
        <v/>
      </c>
      <c r="AH177" s="52" t="str">
        <f t="shared" si="237"/>
        <v/>
      </c>
    </row>
    <row r="180" spans="1:34" s="34" customFormat="1" x14ac:dyDescent="0.35"/>
    <row r="182" spans="1:34" x14ac:dyDescent="0.35">
      <c r="A182" t="s">
        <v>614</v>
      </c>
    </row>
    <row r="183" spans="1:34" x14ac:dyDescent="0.35">
      <c r="A183" t="s">
        <v>609</v>
      </c>
    </row>
    <row r="184" spans="1:34" x14ac:dyDescent="0.35">
      <c r="A184" s="18"/>
      <c r="B184" s="44" t="s">
        <v>127</v>
      </c>
      <c r="C184" s="30" t="s">
        <v>217</v>
      </c>
      <c r="D184" s="30" t="s">
        <v>218</v>
      </c>
      <c r="E184" s="30" t="s">
        <v>219</v>
      </c>
      <c r="F184" s="30" t="s">
        <v>220</v>
      </c>
      <c r="G184" s="30" t="s">
        <v>221</v>
      </c>
      <c r="H184" s="30" t="s">
        <v>595</v>
      </c>
      <c r="I184" s="30" t="s">
        <v>596</v>
      </c>
      <c r="J184" s="30" t="s">
        <v>597</v>
      </c>
      <c r="K184" s="30" t="s">
        <v>598</v>
      </c>
      <c r="L184" s="30" t="s">
        <v>599</v>
      </c>
      <c r="M184" s="30" t="s">
        <v>222</v>
      </c>
      <c r="N184" s="30" t="s">
        <v>223</v>
      </c>
      <c r="O184" s="30" t="s">
        <v>224</v>
      </c>
      <c r="P184" s="30" t="s">
        <v>225</v>
      </c>
      <c r="Q184" s="30" t="s">
        <v>226</v>
      </c>
    </row>
    <row r="185" spans="1:34" x14ac:dyDescent="0.35">
      <c r="B185" s="33">
        <f>SUM(C185:Q185)</f>
        <v>7784.0695142568366</v>
      </c>
      <c r="C185" s="18">
        <f t="shared" ref="C185:Q185" si="238">U43</f>
        <v>242.62912841786473</v>
      </c>
      <c r="D185" s="18">
        <f t="shared" si="238"/>
        <v>356.94881072170148</v>
      </c>
      <c r="E185" s="18">
        <f t="shared" si="238"/>
        <v>476.98153982123335</v>
      </c>
      <c r="F185" s="18">
        <f t="shared" si="238"/>
        <v>494.704599135622</v>
      </c>
      <c r="G185" s="18">
        <f t="shared" si="238"/>
        <v>448.84485827284607</v>
      </c>
      <c r="H185" s="18">
        <f t="shared" si="238"/>
        <v>83.958840553831408</v>
      </c>
      <c r="I185" s="18">
        <f t="shared" si="238"/>
        <v>105.47279614431551</v>
      </c>
      <c r="J185" s="18">
        <f t="shared" si="238"/>
        <v>132.93324198735115</v>
      </c>
      <c r="K185" s="18">
        <f t="shared" si="238"/>
        <v>356.65442184387223</v>
      </c>
      <c r="L185" s="18">
        <f t="shared" si="238"/>
        <v>325.92691951670446</v>
      </c>
      <c r="M185" s="18">
        <f t="shared" si="238"/>
        <v>42.752101498625372</v>
      </c>
      <c r="N185" s="18">
        <f t="shared" si="238"/>
        <v>108.10407236416391</v>
      </c>
      <c r="O185" s="18">
        <f t="shared" si="238"/>
        <v>228.60893083562047</v>
      </c>
      <c r="P185" s="18">
        <f t="shared" si="238"/>
        <v>561.12393348424087</v>
      </c>
      <c r="Q185" s="18">
        <f t="shared" si="238"/>
        <v>3818.4253196588434</v>
      </c>
    </row>
    <row r="186" spans="1:34" x14ac:dyDescent="0.35">
      <c r="C186" s="43"/>
    </row>
    <row r="187" spans="1:34" x14ac:dyDescent="0.35">
      <c r="A187" s="69" t="s">
        <v>653</v>
      </c>
      <c r="D187" t="s">
        <v>647</v>
      </c>
      <c r="E187" s="68" t="s">
        <v>648</v>
      </c>
    </row>
    <row r="188" spans="1:34" x14ac:dyDescent="0.35">
      <c r="A188" s="66">
        <f>E188</f>
        <v>101.991</v>
      </c>
      <c r="D188">
        <f>E188/0.151863382</f>
        <v>671.59705425235427</v>
      </c>
      <c r="E188" s="68">
        <v>101.991</v>
      </c>
    </row>
    <row r="190" spans="1:34" x14ac:dyDescent="0.35">
      <c r="A190" t="s">
        <v>610</v>
      </c>
    </row>
    <row r="191" spans="1:34" x14ac:dyDescent="0.35">
      <c r="A191" s="18"/>
      <c r="B191" s="44" t="s">
        <v>127</v>
      </c>
      <c r="C191" s="30" t="s">
        <v>217</v>
      </c>
      <c r="D191" s="30" t="s">
        <v>218</v>
      </c>
      <c r="E191" s="30" t="s">
        <v>219</v>
      </c>
      <c r="F191" s="30" t="s">
        <v>220</v>
      </c>
      <c r="G191" s="30" t="s">
        <v>221</v>
      </c>
      <c r="H191" s="30" t="s">
        <v>595</v>
      </c>
      <c r="I191" s="30" t="s">
        <v>596</v>
      </c>
      <c r="J191" s="30" t="s">
        <v>597</v>
      </c>
      <c r="K191" s="30" t="s">
        <v>598</v>
      </c>
      <c r="L191" s="30" t="s">
        <v>599</v>
      </c>
      <c r="M191" s="30" t="s">
        <v>222</v>
      </c>
      <c r="N191" s="30" t="s">
        <v>223</v>
      </c>
      <c r="O191" s="30" t="s">
        <v>224</v>
      </c>
      <c r="P191" s="30" t="s">
        <v>225</v>
      </c>
      <c r="Q191" s="30" t="s">
        <v>226</v>
      </c>
    </row>
    <row r="192" spans="1:34" x14ac:dyDescent="0.35">
      <c r="A192" t="s">
        <v>127</v>
      </c>
      <c r="B192" s="41">
        <f t="shared" ref="B192:Q192" si="239">B185/$A$188</f>
        <v>76.321141220861023</v>
      </c>
      <c r="C192" s="18">
        <f t="shared" si="239"/>
        <v>2.3789268505835293</v>
      </c>
      <c r="D192" s="18">
        <f t="shared" si="239"/>
        <v>3.4998069508260676</v>
      </c>
      <c r="E192" s="18">
        <f t="shared" si="239"/>
        <v>4.6767022562896079</v>
      </c>
      <c r="F192" s="18">
        <f t="shared" si="239"/>
        <v>4.8504730724830818</v>
      </c>
      <c r="G192" s="18">
        <f t="shared" si="239"/>
        <v>4.4008280953500414</v>
      </c>
      <c r="H192" s="18">
        <f t="shared" si="239"/>
        <v>0.82319852294645024</v>
      </c>
      <c r="I192" s="18">
        <f t="shared" si="239"/>
        <v>1.034138268516982</v>
      </c>
      <c r="J192" s="18">
        <f t="shared" si="239"/>
        <v>1.303382082608771</v>
      </c>
      <c r="K192" s="18">
        <f t="shared" si="239"/>
        <v>3.4969205306730222</v>
      </c>
      <c r="L192" s="18">
        <f t="shared" si="239"/>
        <v>3.1956439246277069</v>
      </c>
      <c r="M192" s="18">
        <f t="shared" si="239"/>
        <v>0.41917523603676177</v>
      </c>
      <c r="N192" s="18">
        <f t="shared" si="239"/>
        <v>1.0599373705931299</v>
      </c>
      <c r="O192" s="18">
        <f t="shared" si="239"/>
        <v>2.241461803841716</v>
      </c>
      <c r="P192" s="18">
        <f t="shared" si="239"/>
        <v>5.5017004783190755</v>
      </c>
      <c r="Q192" s="18">
        <f t="shared" si="239"/>
        <v>37.438845777165078</v>
      </c>
    </row>
    <row r="194" spans="1:17" x14ac:dyDescent="0.35">
      <c r="A194" t="s">
        <v>612</v>
      </c>
    </row>
    <row r="195" spans="1:17" x14ac:dyDescent="0.35">
      <c r="A195" s="18"/>
      <c r="B195" s="44" t="s">
        <v>127</v>
      </c>
      <c r="C195" s="30" t="s">
        <v>217</v>
      </c>
      <c r="D195" s="30" t="s">
        <v>218</v>
      </c>
      <c r="E195" s="30" t="s">
        <v>219</v>
      </c>
      <c r="F195" s="30" t="s">
        <v>220</v>
      </c>
      <c r="G195" s="30" t="s">
        <v>221</v>
      </c>
      <c r="H195" s="30" t="s">
        <v>595</v>
      </c>
      <c r="I195" s="30" t="s">
        <v>596</v>
      </c>
      <c r="J195" s="30" t="s">
        <v>597</v>
      </c>
      <c r="K195" s="30" t="s">
        <v>598</v>
      </c>
      <c r="L195" s="30" t="s">
        <v>599</v>
      </c>
      <c r="M195" s="30" t="s">
        <v>222</v>
      </c>
      <c r="N195" s="30" t="s">
        <v>223</v>
      </c>
      <c r="O195" s="30" t="s">
        <v>224</v>
      </c>
      <c r="P195" s="30" t="s">
        <v>225</v>
      </c>
      <c r="Q195" s="30" t="s">
        <v>226</v>
      </c>
    </row>
    <row r="196" spans="1:17" x14ac:dyDescent="0.35">
      <c r="A196" t="s">
        <v>127</v>
      </c>
      <c r="B196" s="33">
        <f>SUM(C196:Q196)</f>
        <v>45371</v>
      </c>
      <c r="C196" s="18">
        <f t="array" ref="C196:Q196">TRANSPOSE(Population!B7:B21)</f>
        <v>6154</v>
      </c>
      <c r="D196" s="18">
        <v>5941</v>
      </c>
      <c r="E196" s="18">
        <v>5252</v>
      </c>
      <c r="F196" s="18">
        <v>3752.9999999999995</v>
      </c>
      <c r="G196" s="18">
        <v>1571.0000000000002</v>
      </c>
      <c r="H196" s="18">
        <v>1842</v>
      </c>
      <c r="I196" s="18">
        <v>1367</v>
      </c>
      <c r="J196" s="18">
        <v>1233</v>
      </c>
      <c r="K196" s="18">
        <v>1232</v>
      </c>
      <c r="L196" s="18">
        <v>781.00000000000011</v>
      </c>
      <c r="M196" s="18">
        <v>1079</v>
      </c>
      <c r="N196" s="18">
        <v>1766</v>
      </c>
      <c r="O196" s="18">
        <v>2589</v>
      </c>
      <c r="P196" s="18">
        <v>4089</v>
      </c>
      <c r="Q196" s="18">
        <v>6722</v>
      </c>
    </row>
    <row r="198" spans="1:17" x14ac:dyDescent="0.35">
      <c r="A198" t="s">
        <v>611</v>
      </c>
    </row>
    <row r="199" spans="1:17" x14ac:dyDescent="0.35">
      <c r="A199" s="18"/>
      <c r="B199" s="44" t="s">
        <v>127</v>
      </c>
      <c r="C199" s="30" t="s">
        <v>217</v>
      </c>
      <c r="D199" s="30" t="s">
        <v>218</v>
      </c>
      <c r="E199" s="30" t="s">
        <v>219</v>
      </c>
      <c r="F199" s="30" t="s">
        <v>220</v>
      </c>
      <c r="G199" s="30" t="s">
        <v>221</v>
      </c>
      <c r="H199" s="30" t="s">
        <v>595</v>
      </c>
      <c r="I199" s="30" t="s">
        <v>596</v>
      </c>
      <c r="J199" s="30" t="s">
        <v>597</v>
      </c>
      <c r="K199" s="30" t="s">
        <v>598</v>
      </c>
      <c r="L199" s="30" t="s">
        <v>599</v>
      </c>
      <c r="M199" s="30" t="s">
        <v>222</v>
      </c>
      <c r="N199" s="30" t="s">
        <v>223</v>
      </c>
      <c r="O199" s="30" t="s">
        <v>224</v>
      </c>
      <c r="P199" s="30" t="s">
        <v>225</v>
      </c>
      <c r="Q199" s="30" t="s">
        <v>226</v>
      </c>
    </row>
    <row r="200" spans="1:17" x14ac:dyDescent="0.35">
      <c r="A200" t="s">
        <v>127</v>
      </c>
      <c r="B200" s="70">
        <f t="shared" ref="B200:Q200" si="240">B192*10^9/(B196*1000)</f>
        <v>1682.1569112618417</v>
      </c>
      <c r="C200" s="42">
        <f t="shared" si="240"/>
        <v>386.56594907109678</v>
      </c>
      <c r="D200" s="42">
        <f t="shared" si="240"/>
        <v>589.0939153048422</v>
      </c>
      <c r="E200" s="42">
        <f t="shared" si="240"/>
        <v>890.46120645270526</v>
      </c>
      <c r="F200" s="42">
        <f t="shared" si="240"/>
        <v>1292.4255455590414</v>
      </c>
      <c r="G200" s="42">
        <f t="shared" si="240"/>
        <v>2801.2909582113562</v>
      </c>
      <c r="H200" s="42">
        <f t="shared" si="240"/>
        <v>446.90473558439209</v>
      </c>
      <c r="I200" s="42">
        <f t="shared" si="240"/>
        <v>756.50202525016971</v>
      </c>
      <c r="J200" s="42">
        <f t="shared" si="240"/>
        <v>1057.0819810290113</v>
      </c>
      <c r="K200" s="42">
        <f t="shared" si="240"/>
        <v>2838.4095216501805</v>
      </c>
      <c r="L200" s="42">
        <f t="shared" si="240"/>
        <v>4091.7335782685104</v>
      </c>
      <c r="M200" s="42">
        <f t="shared" si="240"/>
        <v>388.48492681812951</v>
      </c>
      <c r="N200" s="42">
        <f t="shared" si="240"/>
        <v>600.19103657595122</v>
      </c>
      <c r="O200" s="42">
        <f t="shared" si="240"/>
        <v>865.76353952943828</v>
      </c>
      <c r="P200" s="42">
        <f t="shared" si="240"/>
        <v>1345.488011327727</v>
      </c>
      <c r="Q200" s="42">
        <f t="shared" si="240"/>
        <v>5569.5991932706156</v>
      </c>
    </row>
    <row r="202" spans="1:17" x14ac:dyDescent="0.35">
      <c r="A202" s="1"/>
      <c r="B202" s="44" t="s">
        <v>127</v>
      </c>
      <c r="C202" s="44" t="s">
        <v>217</v>
      </c>
      <c r="D202" s="44" t="s">
        <v>218</v>
      </c>
      <c r="E202" s="44" t="s">
        <v>219</v>
      </c>
      <c r="F202" s="44" t="s">
        <v>220</v>
      </c>
      <c r="G202" s="44" t="s">
        <v>221</v>
      </c>
      <c r="H202" s="44" t="s">
        <v>595</v>
      </c>
      <c r="I202" s="44" t="s">
        <v>596</v>
      </c>
      <c r="J202" s="44" t="s">
        <v>597</v>
      </c>
      <c r="K202" s="44" t="s">
        <v>598</v>
      </c>
      <c r="L202" s="44" t="s">
        <v>599</v>
      </c>
      <c r="M202" s="44" t="s">
        <v>222</v>
      </c>
      <c r="N202" s="44" t="s">
        <v>223</v>
      </c>
      <c r="O202" s="44" t="s">
        <v>224</v>
      </c>
      <c r="P202" s="44" t="s">
        <v>225</v>
      </c>
      <c r="Q202" s="44" t="s">
        <v>226</v>
      </c>
    </row>
    <row r="203" spans="1:17" x14ac:dyDescent="0.35">
      <c r="A203" t="s">
        <v>615</v>
      </c>
      <c r="B203" s="43">
        <f t="shared" ref="B203:Q203" si="241">-36*B200^(-0.36)</f>
        <v>-2.4830791271300243</v>
      </c>
      <c r="C203" s="43">
        <f t="shared" si="241"/>
        <v>-4.2160136287929877</v>
      </c>
      <c r="D203" s="43">
        <f t="shared" si="241"/>
        <v>-3.6227308336342565</v>
      </c>
      <c r="E203" s="43">
        <f t="shared" si="241"/>
        <v>-3.1220589522931417</v>
      </c>
      <c r="F203" s="43">
        <f t="shared" si="241"/>
        <v>-2.7302128646315897</v>
      </c>
      <c r="G203" s="43">
        <f t="shared" si="241"/>
        <v>-2.0665862797830523</v>
      </c>
      <c r="H203" s="43">
        <f t="shared" si="241"/>
        <v>-4.0015211470481891</v>
      </c>
      <c r="I203" s="43">
        <f t="shared" si="241"/>
        <v>-3.310784143619022</v>
      </c>
      <c r="J203" s="43">
        <f t="shared" si="241"/>
        <v>-2.9351032249092905</v>
      </c>
      <c r="K203" s="43">
        <f t="shared" si="241"/>
        <v>-2.0568161843585111</v>
      </c>
      <c r="L203" s="43">
        <f t="shared" si="241"/>
        <v>-1.8030835675865822</v>
      </c>
      <c r="M203" s="43">
        <f t="shared" si="241"/>
        <v>-4.2085045256298415</v>
      </c>
      <c r="N203" s="43">
        <f t="shared" si="241"/>
        <v>-3.5984732521272726</v>
      </c>
      <c r="O203" s="43">
        <f t="shared" si="241"/>
        <v>-3.1538334539909805</v>
      </c>
      <c r="P203" s="43">
        <f t="shared" si="241"/>
        <v>-2.6909508227931216</v>
      </c>
      <c r="Q203" s="43">
        <f t="shared" si="241"/>
        <v>-1.6136371403389858</v>
      </c>
    </row>
    <row r="205" spans="1:17" x14ac:dyDescent="0.35">
      <c r="A205" s="1" t="s">
        <v>654</v>
      </c>
    </row>
    <row r="206" spans="1:17" x14ac:dyDescent="0.35">
      <c r="A206" s="1"/>
      <c r="B206" s="44" t="s">
        <v>127</v>
      </c>
      <c r="C206" s="44" t="s">
        <v>217</v>
      </c>
      <c r="D206" s="44" t="s">
        <v>218</v>
      </c>
      <c r="E206" s="44" t="s">
        <v>219</v>
      </c>
      <c r="F206" s="44" t="s">
        <v>220</v>
      </c>
      <c r="G206" s="44" t="s">
        <v>221</v>
      </c>
      <c r="H206" s="44" t="s">
        <v>595</v>
      </c>
      <c r="I206" s="44" t="s">
        <v>596</v>
      </c>
      <c r="J206" s="44" t="s">
        <v>597</v>
      </c>
      <c r="K206" s="44" t="s">
        <v>598</v>
      </c>
      <c r="L206" s="44" t="s">
        <v>599</v>
      </c>
      <c r="M206" s="44" t="s">
        <v>222</v>
      </c>
      <c r="N206" s="44" t="s">
        <v>223</v>
      </c>
      <c r="O206" s="44" t="s">
        <v>224</v>
      </c>
      <c r="P206" s="44" t="s">
        <v>225</v>
      </c>
      <c r="Q206" s="44" t="s">
        <v>226</v>
      </c>
    </row>
    <row r="207" spans="1:17" x14ac:dyDescent="0.35">
      <c r="A207" t="s">
        <v>652</v>
      </c>
      <c r="B207" s="63">
        <f>-36*B200^(-0.36)</f>
        <v>-2.4830791271300243</v>
      </c>
      <c r="C207" s="63">
        <f t="shared" ref="C207:Q207" si="242">-36*C200^(-0.36)</f>
        <v>-4.2160136287929877</v>
      </c>
      <c r="D207" s="63">
        <f t="shared" si="242"/>
        <v>-3.6227308336342565</v>
      </c>
      <c r="E207" s="63">
        <f t="shared" si="242"/>
        <v>-3.1220589522931417</v>
      </c>
      <c r="F207" s="63">
        <f t="shared" si="242"/>
        <v>-2.7302128646315897</v>
      </c>
      <c r="G207" s="63">
        <f t="shared" si="242"/>
        <v>-2.0665862797830523</v>
      </c>
      <c r="H207" s="63">
        <f t="shared" si="242"/>
        <v>-4.0015211470481891</v>
      </c>
      <c r="I207" s="63">
        <f t="shared" si="242"/>
        <v>-3.310784143619022</v>
      </c>
      <c r="J207" s="63">
        <f t="shared" si="242"/>
        <v>-2.9351032249092905</v>
      </c>
      <c r="K207" s="63">
        <f t="shared" si="242"/>
        <v>-2.0568161843585111</v>
      </c>
      <c r="L207" s="63">
        <f t="shared" si="242"/>
        <v>-1.8030835675865822</v>
      </c>
      <c r="M207" s="63">
        <f t="shared" si="242"/>
        <v>-4.2085045256298415</v>
      </c>
      <c r="N207" s="63">
        <f t="shared" si="242"/>
        <v>-3.5984732521272726</v>
      </c>
      <c r="O207" s="63">
        <f t="shared" si="242"/>
        <v>-3.1538334539909805</v>
      </c>
      <c r="P207" s="63">
        <f t="shared" si="242"/>
        <v>-2.6909508227931216</v>
      </c>
      <c r="Q207" s="63">
        <f t="shared" si="242"/>
        <v>-1.6136371403389858</v>
      </c>
    </row>
    <row r="208" spans="1:17" x14ac:dyDescent="0.35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</row>
    <row r="209" spans="1:17" x14ac:dyDescent="0.35">
      <c r="B209" s="44" t="s">
        <v>127</v>
      </c>
      <c r="C209" s="44" t="s">
        <v>217</v>
      </c>
      <c r="D209" s="44" t="s">
        <v>218</v>
      </c>
      <c r="E209" s="44" t="s">
        <v>219</v>
      </c>
      <c r="F209" s="44" t="s">
        <v>220</v>
      </c>
      <c r="G209" s="44" t="s">
        <v>221</v>
      </c>
      <c r="H209" s="44" t="s">
        <v>595</v>
      </c>
      <c r="I209" s="44" t="s">
        <v>596</v>
      </c>
      <c r="J209" s="44" t="s">
        <v>597</v>
      </c>
      <c r="K209" s="44" t="s">
        <v>598</v>
      </c>
      <c r="L209" s="44" t="s">
        <v>599</v>
      </c>
      <c r="M209" s="44" t="s">
        <v>222</v>
      </c>
      <c r="N209" s="44" t="s">
        <v>223</v>
      </c>
      <c r="O209" s="44" t="s">
        <v>224</v>
      </c>
      <c r="P209" s="44" t="s">
        <v>225</v>
      </c>
      <c r="Q209" s="44" t="s">
        <v>226</v>
      </c>
    </row>
    <row r="210" spans="1:17" x14ac:dyDescent="0.35">
      <c r="A210" t="s">
        <v>613</v>
      </c>
      <c r="B210" s="60">
        <f t="shared" ref="B210:Q210" si="243">100*-1/B203</f>
        <v>40.272578874915403</v>
      </c>
      <c r="C210" s="43">
        <f t="shared" si="243"/>
        <v>23.719088410212098</v>
      </c>
      <c r="D210" s="43">
        <f t="shared" si="243"/>
        <v>27.603486041959638</v>
      </c>
      <c r="E210" s="43">
        <f t="shared" si="243"/>
        <v>32.030144698757319</v>
      </c>
      <c r="F210" s="43">
        <f t="shared" si="243"/>
        <v>36.627180721124404</v>
      </c>
      <c r="G210" s="43">
        <f t="shared" si="243"/>
        <v>48.388978954461017</v>
      </c>
      <c r="H210" s="43">
        <f t="shared" si="243"/>
        <v>24.990496445024966</v>
      </c>
      <c r="I210" s="43">
        <f t="shared" si="243"/>
        <v>30.204324915815828</v>
      </c>
      <c r="J210" s="43">
        <f t="shared" si="243"/>
        <v>34.070351990121402</v>
      </c>
      <c r="K210" s="43">
        <f t="shared" si="243"/>
        <v>48.618831746108825</v>
      </c>
      <c r="L210" s="43">
        <f t="shared" si="243"/>
        <v>55.460546475862721</v>
      </c>
      <c r="M210" s="43">
        <f t="shared" si="243"/>
        <v>23.761409638744318</v>
      </c>
      <c r="N210" s="43">
        <f t="shared" si="243"/>
        <v>27.789563237932647</v>
      </c>
      <c r="O210" s="43">
        <f t="shared" si="243"/>
        <v>31.707444752181257</v>
      </c>
      <c r="P210" s="43">
        <f t="shared" si="243"/>
        <v>37.161585842807476</v>
      </c>
      <c r="Q210" s="43">
        <f t="shared" si="243"/>
        <v>61.971801156604791</v>
      </c>
    </row>
    <row r="211" spans="1:17" x14ac:dyDescent="0.35">
      <c r="A211" t="s">
        <v>651</v>
      </c>
      <c r="B211" s="60">
        <f t="shared" ref="B211" si="244">100-B210</f>
        <v>59.727421125084597</v>
      </c>
      <c r="C211" s="60">
        <f t="shared" ref="C211:Q211" si="245">100-C210</f>
        <v>76.280911589787905</v>
      </c>
      <c r="D211" s="60">
        <f t="shared" si="245"/>
        <v>72.396513958040359</v>
      </c>
      <c r="E211" s="60">
        <f t="shared" si="245"/>
        <v>67.969855301242688</v>
      </c>
      <c r="F211" s="60">
        <f t="shared" si="245"/>
        <v>63.372819278875596</v>
      </c>
      <c r="G211" s="60">
        <f t="shared" si="245"/>
        <v>51.611021045538983</v>
      </c>
      <c r="H211" s="60">
        <f t="shared" si="245"/>
        <v>75.009503554975026</v>
      </c>
      <c r="I211" s="60">
        <f t="shared" si="245"/>
        <v>69.795675084184168</v>
      </c>
      <c r="J211" s="60">
        <f t="shared" si="245"/>
        <v>65.929648009878605</v>
      </c>
      <c r="K211" s="60">
        <f t="shared" si="245"/>
        <v>51.381168253891175</v>
      </c>
      <c r="L211" s="60">
        <f t="shared" si="245"/>
        <v>44.539453524137279</v>
      </c>
      <c r="M211" s="60">
        <f t="shared" si="245"/>
        <v>76.238590361255689</v>
      </c>
      <c r="N211" s="60">
        <f t="shared" si="245"/>
        <v>72.21043676206736</v>
      </c>
      <c r="O211" s="60">
        <f t="shared" si="245"/>
        <v>68.29255524781874</v>
      </c>
      <c r="P211" s="60">
        <f t="shared" si="245"/>
        <v>62.838414157192524</v>
      </c>
      <c r="Q211" s="60">
        <f t="shared" si="245"/>
        <v>38.028198843395209</v>
      </c>
    </row>
    <row r="213" spans="1:17" s="34" customFormat="1" x14ac:dyDescent="0.35"/>
    <row r="215" spans="1:17" x14ac:dyDescent="0.35">
      <c r="A215" t="s">
        <v>650</v>
      </c>
    </row>
    <row r="216" spans="1:17" x14ac:dyDescent="0.35">
      <c r="C216" s="153" t="s">
        <v>606</v>
      </c>
      <c r="D216" s="153"/>
      <c r="E216" s="153"/>
      <c r="F216" s="153"/>
      <c r="G216" s="154"/>
      <c r="H216" s="155" t="s">
        <v>607</v>
      </c>
      <c r="I216" s="153"/>
      <c r="J216" s="153"/>
      <c r="K216" s="153"/>
      <c r="L216" s="154"/>
      <c r="M216" s="153" t="s">
        <v>468</v>
      </c>
      <c r="N216" s="153"/>
      <c r="O216" s="153"/>
      <c r="P216" s="153"/>
      <c r="Q216" s="153"/>
    </row>
    <row r="217" spans="1:17" x14ac:dyDescent="0.35">
      <c r="A217" s="85"/>
      <c r="B217" s="39"/>
      <c r="C217" s="35" t="s">
        <v>217</v>
      </c>
      <c r="D217" s="35" t="s">
        <v>218</v>
      </c>
      <c r="E217" s="35" t="s">
        <v>219</v>
      </c>
      <c r="F217" s="35" t="s">
        <v>220</v>
      </c>
      <c r="G217" s="36" t="s">
        <v>221</v>
      </c>
      <c r="H217" s="37" t="s">
        <v>595</v>
      </c>
      <c r="I217" s="35" t="s">
        <v>596</v>
      </c>
      <c r="J217" s="35" t="s">
        <v>597</v>
      </c>
      <c r="K217" s="35" t="s">
        <v>598</v>
      </c>
      <c r="L217" s="36" t="s">
        <v>599</v>
      </c>
      <c r="M217" s="35" t="s">
        <v>222</v>
      </c>
      <c r="N217" s="35" t="s">
        <v>223</v>
      </c>
      <c r="O217" s="35" t="s">
        <v>224</v>
      </c>
      <c r="P217" s="35" t="s">
        <v>225</v>
      </c>
      <c r="Q217" s="35" t="s">
        <v>226</v>
      </c>
    </row>
    <row r="218" spans="1:17" x14ac:dyDescent="0.35">
      <c r="A218" s="91" t="str">
        <f t="shared" ref="A218:A230" si="246">S102</f>
        <v>given</v>
      </c>
      <c r="B218" s="92" t="s">
        <v>616</v>
      </c>
      <c r="C218" s="93">
        <f t="shared" ref="C218:Q218" si="247">IF(C19&gt;0, 100*(C19+C102/C$203)/C19,"")</f>
        <v>88.140455794893953</v>
      </c>
      <c r="D218" s="93">
        <f t="shared" si="247"/>
        <v>86.198256979020186</v>
      </c>
      <c r="E218" s="93">
        <f t="shared" si="247"/>
        <v>83.984927650621344</v>
      </c>
      <c r="F218" s="93">
        <f t="shared" si="247"/>
        <v>81.686409639437798</v>
      </c>
      <c r="G218" s="94">
        <f t="shared" si="247"/>
        <v>75.805510522769495</v>
      </c>
      <c r="H218" s="95">
        <f t="shared" si="247"/>
        <v>87.504751777487527</v>
      </c>
      <c r="I218" s="93">
        <f t="shared" si="247"/>
        <v>84.897837542092091</v>
      </c>
      <c r="J218" s="93">
        <f t="shared" si="247"/>
        <v>82.964824004939302</v>
      </c>
      <c r="K218" s="93">
        <f t="shared" si="247"/>
        <v>75.690584126945595</v>
      </c>
      <c r="L218" s="94">
        <f t="shared" si="247"/>
        <v>72.269726762068643</v>
      </c>
      <c r="M218" s="93">
        <f t="shared" si="247"/>
        <v>88.119295180627844</v>
      </c>
      <c r="N218" s="93">
        <f t="shared" si="247"/>
        <v>86.105218381033666</v>
      </c>
      <c r="O218" s="93">
        <f t="shared" si="247"/>
        <v>84.146277623909384</v>
      </c>
      <c r="P218" s="93">
        <f t="shared" si="247"/>
        <v>81.419207078596273</v>
      </c>
      <c r="Q218" s="93">
        <f t="shared" si="247"/>
        <v>69.014099421697608</v>
      </c>
    </row>
    <row r="219" spans="1:17" x14ac:dyDescent="0.35">
      <c r="A219" s="91" t="str">
        <f t="shared" si="246"/>
        <v>given</v>
      </c>
      <c r="B219" s="92" t="s">
        <v>618</v>
      </c>
      <c r="C219" s="93">
        <f t="shared" ref="C219:Q219" si="248">IF(C20&gt;0, 100*(C20+C103/C$203)/C20,"")</f>
        <v>88.140455794893953</v>
      </c>
      <c r="D219" s="93">
        <f t="shared" si="248"/>
        <v>86.198256979020186</v>
      </c>
      <c r="E219" s="93">
        <f t="shared" si="248"/>
        <v>83.984927650621344</v>
      </c>
      <c r="F219" s="93">
        <f t="shared" si="248"/>
        <v>81.686409639437798</v>
      </c>
      <c r="G219" s="94">
        <f t="shared" si="248"/>
        <v>75.805510522769495</v>
      </c>
      <c r="H219" s="95">
        <f t="shared" si="248"/>
        <v>87.504751777487499</v>
      </c>
      <c r="I219" s="93">
        <f t="shared" si="248"/>
        <v>84.897837542092077</v>
      </c>
      <c r="J219" s="93">
        <f t="shared" si="248"/>
        <v>82.964824004939302</v>
      </c>
      <c r="K219" s="93">
        <f t="shared" si="248"/>
        <v>75.690584126945581</v>
      </c>
      <c r="L219" s="94">
        <f t="shared" si="248"/>
        <v>72.269726762068643</v>
      </c>
      <c r="M219" s="93">
        <f t="shared" si="248"/>
        <v>88.119295180627844</v>
      </c>
      <c r="N219" s="93">
        <f t="shared" si="248"/>
        <v>86.105218381033666</v>
      </c>
      <c r="O219" s="93">
        <f t="shared" si="248"/>
        <v>84.146277623909384</v>
      </c>
      <c r="P219" s="93">
        <f t="shared" si="248"/>
        <v>81.419207078596258</v>
      </c>
      <c r="Q219" s="93">
        <f t="shared" si="248"/>
        <v>69.014099421697594</v>
      </c>
    </row>
    <row r="220" spans="1:17" x14ac:dyDescent="0.35">
      <c r="A220" s="91" t="str">
        <f t="shared" si="246"/>
        <v>given</v>
      </c>
      <c r="B220" s="92" t="s">
        <v>617</v>
      </c>
      <c r="C220" s="93">
        <f t="shared" ref="C220:Q220" si="249">IF(C21&gt;0, 100*(C21+C104/C$203)/C21,"")</f>
        <v>81.024729271830324</v>
      </c>
      <c r="D220" s="93">
        <f t="shared" si="249"/>
        <v>77.917211166432295</v>
      </c>
      <c r="E220" s="93">
        <f t="shared" si="249"/>
        <v>74.375884240994154</v>
      </c>
      <c r="F220" s="93">
        <f t="shared" si="249"/>
        <v>70.698255423100477</v>
      </c>
      <c r="G220" s="94">
        <f t="shared" si="249"/>
        <v>61.288816836431188</v>
      </c>
      <c r="H220" s="95">
        <f t="shared" si="249"/>
        <v>80.007602843980024</v>
      </c>
      <c r="I220" s="93">
        <f t="shared" si="249"/>
        <v>75.836540067347329</v>
      </c>
      <c r="J220" s="93">
        <f t="shared" si="249"/>
        <v>72.743718407902875</v>
      </c>
      <c r="K220" s="93">
        <f t="shared" si="249"/>
        <v>61.10493460311293</v>
      </c>
      <c r="L220" s="94">
        <f t="shared" si="249"/>
        <v>55.631562819309828</v>
      </c>
      <c r="M220" s="93">
        <f t="shared" si="249"/>
        <v>80.990872289004542</v>
      </c>
      <c r="N220" s="93">
        <f t="shared" si="249"/>
        <v>77.768349409653865</v>
      </c>
      <c r="O220" s="93">
        <f t="shared" si="249"/>
        <v>74.634044198254998</v>
      </c>
      <c r="P220" s="93">
        <f t="shared" si="249"/>
        <v>70.270731325754014</v>
      </c>
      <c r="Q220" s="93">
        <f t="shared" si="249"/>
        <v>50.422559074716162</v>
      </c>
    </row>
    <row r="221" spans="1:17" x14ac:dyDescent="0.35">
      <c r="A221" s="91" t="str">
        <f t="shared" si="246"/>
        <v>given</v>
      </c>
      <c r="B221" s="92" t="s">
        <v>619</v>
      </c>
      <c r="C221" s="93">
        <f t="shared" ref="C221:Q221" si="250">IF(C22&gt;0, 100*(C22+C105/C$203)/C22,"")</f>
        <v>81.024729271830324</v>
      </c>
      <c r="D221" s="93">
        <f t="shared" si="250"/>
        <v>77.917211166432281</v>
      </c>
      <c r="E221" s="93">
        <f t="shared" si="250"/>
        <v>74.375884240994154</v>
      </c>
      <c r="F221" s="93">
        <f t="shared" si="250"/>
        <v>70.698255423100463</v>
      </c>
      <c r="G221" s="94">
        <f t="shared" si="250"/>
        <v>61.288816836431188</v>
      </c>
      <c r="H221" s="95">
        <f t="shared" si="250"/>
        <v>80.00760284398001</v>
      </c>
      <c r="I221" s="93">
        <f t="shared" si="250"/>
        <v>75.836540067347329</v>
      </c>
      <c r="J221" s="93">
        <f t="shared" si="250"/>
        <v>72.743718407902875</v>
      </c>
      <c r="K221" s="93">
        <f t="shared" si="250"/>
        <v>61.104934603112937</v>
      </c>
      <c r="L221" s="94">
        <f t="shared" si="250"/>
        <v>55.631562819309828</v>
      </c>
      <c r="M221" s="93">
        <f t="shared" si="250"/>
        <v>80.990872289004557</v>
      </c>
      <c r="N221" s="93">
        <f t="shared" si="250"/>
        <v>77.768349409653879</v>
      </c>
      <c r="O221" s="93">
        <f t="shared" si="250"/>
        <v>74.634044198254998</v>
      </c>
      <c r="P221" s="93">
        <f t="shared" si="250"/>
        <v>70.270731325754014</v>
      </c>
      <c r="Q221" s="93">
        <f t="shared" si="250"/>
        <v>50.422559074716176</v>
      </c>
    </row>
    <row r="222" spans="1:17" x14ac:dyDescent="0.35">
      <c r="A222" s="91" t="str">
        <f t="shared" si="246"/>
        <v>given</v>
      </c>
      <c r="B222" s="92" t="s">
        <v>620</v>
      </c>
      <c r="C222" s="93">
        <f t="shared" ref="C222:Q222" si="251">IF(C23&gt;0, 100*(C23+C106/C$203)/C23,"")</f>
        <v>78.652820430809115</v>
      </c>
      <c r="D222" s="93">
        <f t="shared" si="251"/>
        <v>75.156862562236327</v>
      </c>
      <c r="E222" s="93">
        <f t="shared" si="251"/>
        <v>71.172869771118414</v>
      </c>
      <c r="F222" s="93">
        <f t="shared" si="251"/>
        <v>67.035537350988037</v>
      </c>
      <c r="G222" s="94">
        <f t="shared" si="251"/>
        <v>56.449918940985079</v>
      </c>
      <c r="H222" s="95">
        <f t="shared" si="251"/>
        <v>77.508553199477532</v>
      </c>
      <c r="I222" s="93">
        <f t="shared" si="251"/>
        <v>72.816107575765756</v>
      </c>
      <c r="J222" s="93">
        <f t="shared" si="251"/>
        <v>69.336683208890733</v>
      </c>
      <c r="K222" s="93">
        <f t="shared" si="251"/>
        <v>56.243051428502056</v>
      </c>
      <c r="L222" s="94">
        <f t="shared" si="251"/>
        <v>50.085508171723546</v>
      </c>
      <c r="M222" s="93">
        <f t="shared" si="251"/>
        <v>78.614731325130109</v>
      </c>
      <c r="N222" s="93">
        <f t="shared" si="251"/>
        <v>74.989393085860627</v>
      </c>
      <c r="O222" s="93">
        <f t="shared" si="251"/>
        <v>71.463299723036869</v>
      </c>
      <c r="P222" s="93">
        <f t="shared" si="251"/>
        <v>66.554572741473265</v>
      </c>
      <c r="Q222" s="93">
        <f t="shared" si="251"/>
        <v>44.225378959055682</v>
      </c>
    </row>
    <row r="223" spans="1:17" x14ac:dyDescent="0.35">
      <c r="A223" s="91" t="str">
        <f t="shared" si="246"/>
        <v>given</v>
      </c>
      <c r="B223" s="92" t="s">
        <v>621</v>
      </c>
      <c r="C223" s="93">
        <f t="shared" ref="C223:Q223" si="252">IF(C24&gt;0, 100*(C24+C107/C$203)/C24,"")</f>
        <v>78.652820430809101</v>
      </c>
      <c r="D223" s="93">
        <f t="shared" si="252"/>
        <v>75.156862562236327</v>
      </c>
      <c r="E223" s="93">
        <f t="shared" si="252"/>
        <v>71.1728697711184</v>
      </c>
      <c r="F223" s="93">
        <f t="shared" si="252"/>
        <v>67.035537350988022</v>
      </c>
      <c r="G223" s="94">
        <f t="shared" si="252"/>
        <v>56.449918940985086</v>
      </c>
      <c r="H223" s="95">
        <f t="shared" si="252"/>
        <v>77.508553199477518</v>
      </c>
      <c r="I223" s="93">
        <f t="shared" si="252"/>
        <v>72.81610757576577</v>
      </c>
      <c r="J223" s="93">
        <f t="shared" si="252"/>
        <v>69.336683208890733</v>
      </c>
      <c r="K223" s="93">
        <f t="shared" si="252"/>
        <v>56.243051428502056</v>
      </c>
      <c r="L223" s="94">
        <f t="shared" si="252"/>
        <v>50.085508171723546</v>
      </c>
      <c r="M223" s="93">
        <f t="shared" si="252"/>
        <v>78.614731325130109</v>
      </c>
      <c r="N223" s="93">
        <f t="shared" si="252"/>
        <v>74.989393085860613</v>
      </c>
      <c r="O223" s="93">
        <f t="shared" si="252"/>
        <v>71.463299723036869</v>
      </c>
      <c r="P223" s="93">
        <f t="shared" si="252"/>
        <v>66.554572741473265</v>
      </c>
      <c r="Q223" s="93">
        <f t="shared" si="252"/>
        <v>44.225378959055696</v>
      </c>
    </row>
    <row r="224" spans="1:17" x14ac:dyDescent="0.35">
      <c r="A224" s="91" t="str">
        <f t="shared" si="246"/>
        <v>given</v>
      </c>
      <c r="B224" s="92" t="s">
        <v>622</v>
      </c>
      <c r="C224" s="93">
        <f t="shared" ref="C224:Q224" si="253">IF(C25&gt;0, 100*(C25+C108/C$203)/C25,"")</f>
        <v>81.024729271830324</v>
      </c>
      <c r="D224" s="93">
        <f t="shared" si="253"/>
        <v>77.917211166432281</v>
      </c>
      <c r="E224" s="93">
        <f t="shared" si="253"/>
        <v>74.375884240994139</v>
      </c>
      <c r="F224" s="93">
        <f t="shared" si="253"/>
        <v>70.698255423100463</v>
      </c>
      <c r="G224" s="94">
        <f t="shared" si="253"/>
        <v>61.288816836431188</v>
      </c>
      <c r="H224" s="95">
        <f t="shared" si="253"/>
        <v>80.007602843980024</v>
      </c>
      <c r="I224" s="93">
        <f t="shared" si="253"/>
        <v>75.836540067347343</v>
      </c>
      <c r="J224" s="93">
        <f t="shared" si="253"/>
        <v>72.743718407902875</v>
      </c>
      <c r="K224" s="93">
        <f t="shared" si="253"/>
        <v>61.104934603112937</v>
      </c>
      <c r="L224" s="94">
        <f t="shared" si="253"/>
        <v>55.631562819309828</v>
      </c>
      <c r="M224" s="93">
        <f t="shared" si="253"/>
        <v>80.990872289004542</v>
      </c>
      <c r="N224" s="93">
        <f t="shared" si="253"/>
        <v>77.768349409653879</v>
      </c>
      <c r="O224" s="93">
        <f t="shared" si="253"/>
        <v>74.634044198254983</v>
      </c>
      <c r="P224" s="93">
        <f t="shared" si="253"/>
        <v>70.270731325754014</v>
      </c>
      <c r="Q224" s="93">
        <f t="shared" si="253"/>
        <v>50.422559074716162</v>
      </c>
    </row>
    <row r="225" spans="1:17" x14ac:dyDescent="0.35">
      <c r="A225" s="91" t="str">
        <f t="shared" si="246"/>
        <v>given</v>
      </c>
      <c r="B225" s="92" t="s">
        <v>623</v>
      </c>
      <c r="C225" s="93">
        <f t="shared" ref="C225:Q225" si="254">IF(C26&gt;0, 100*(C26+C109/C$203)/C26,"")</f>
        <v>81.024729271830324</v>
      </c>
      <c r="D225" s="93">
        <f t="shared" si="254"/>
        <v>77.917211166432295</v>
      </c>
      <c r="E225" s="93">
        <f t="shared" si="254"/>
        <v>74.375884240994154</v>
      </c>
      <c r="F225" s="93">
        <f t="shared" si="254"/>
        <v>70.698255423100477</v>
      </c>
      <c r="G225" s="94">
        <f t="shared" si="254"/>
        <v>61.288816836431195</v>
      </c>
      <c r="H225" s="95">
        <f t="shared" si="254"/>
        <v>80.007602843980024</v>
      </c>
      <c r="I225" s="93">
        <f t="shared" si="254"/>
        <v>75.836540067347329</v>
      </c>
      <c r="J225" s="93">
        <f t="shared" si="254"/>
        <v>72.743718407902875</v>
      </c>
      <c r="K225" s="93">
        <f t="shared" si="254"/>
        <v>61.104934603112945</v>
      </c>
      <c r="L225" s="94">
        <f t="shared" si="254"/>
        <v>55.631562819309828</v>
      </c>
      <c r="M225" s="93">
        <f t="shared" si="254"/>
        <v>80.990872289004528</v>
      </c>
      <c r="N225" s="93">
        <f t="shared" si="254"/>
        <v>77.768349409653879</v>
      </c>
      <c r="O225" s="93">
        <f t="shared" si="254"/>
        <v>74.634044198255012</v>
      </c>
      <c r="P225" s="93">
        <f t="shared" si="254"/>
        <v>70.270731325754014</v>
      </c>
      <c r="Q225" s="93">
        <f t="shared" si="254"/>
        <v>50.422559074716169</v>
      </c>
    </row>
    <row r="226" spans="1:17" x14ac:dyDescent="0.35">
      <c r="A226" s="96" t="str">
        <f t="shared" si="246"/>
        <v>given</v>
      </c>
      <c r="B226" s="97" t="s">
        <v>624</v>
      </c>
      <c r="C226" s="98">
        <f t="shared" ref="C226:Q226" si="255">IF(C27&gt;0, 100*(C27+C110/C$203)/C27,"")</f>
        <v>64.421367384681858</v>
      </c>
      <c r="D226" s="98">
        <f t="shared" si="255"/>
        <v>58.594770937060538</v>
      </c>
      <c r="E226" s="98">
        <f t="shared" si="255"/>
        <v>51.954782951864011</v>
      </c>
      <c r="F226" s="98">
        <f t="shared" si="255"/>
        <v>45.059228918313394</v>
      </c>
      <c r="G226" s="99">
        <f t="shared" si="255"/>
        <v>27.416531568308482</v>
      </c>
      <c r="H226" s="100">
        <f t="shared" si="255"/>
        <v>62.514255332462547</v>
      </c>
      <c r="I226" s="98">
        <f t="shared" si="255"/>
        <v>54.693512626276252</v>
      </c>
      <c r="J226" s="98">
        <f t="shared" si="255"/>
        <v>48.894472014817893</v>
      </c>
      <c r="K226" s="98">
        <f t="shared" si="255"/>
        <v>27.07175238083677</v>
      </c>
      <c r="L226" s="99">
        <f t="shared" si="255"/>
        <v>16.809180286205919</v>
      </c>
      <c r="M226" s="98">
        <f t="shared" si="255"/>
        <v>64.357885541883519</v>
      </c>
      <c r="N226" s="98">
        <f t="shared" si="255"/>
        <v>58.315655143101019</v>
      </c>
      <c r="O226" s="98">
        <f t="shared" si="255"/>
        <v>52.43883287172811</v>
      </c>
      <c r="P226" s="98">
        <f t="shared" si="255"/>
        <v>44.25762123578879</v>
      </c>
      <c r="Q226" s="98">
        <f t="shared" si="255"/>
        <v>7.0422982650928247</v>
      </c>
    </row>
    <row r="227" spans="1:17" x14ac:dyDescent="0.35">
      <c r="A227" s="96" t="str">
        <f t="shared" si="246"/>
        <v>given</v>
      </c>
      <c r="B227" s="97" t="s">
        <v>626</v>
      </c>
      <c r="C227" s="98">
        <f t="shared" ref="C227:Q227" si="256">IF(C28&gt;0, 100*(C28+C111/C$203)/C28,"")</f>
        <v>76.28091158978792</v>
      </c>
      <c r="D227" s="98">
        <f t="shared" si="256"/>
        <v>72.396513958040359</v>
      </c>
      <c r="E227" s="98">
        <f t="shared" si="256"/>
        <v>67.969855301242688</v>
      </c>
      <c r="F227" s="98">
        <f t="shared" si="256"/>
        <v>63.372819278875589</v>
      </c>
      <c r="G227" s="99">
        <f t="shared" si="256"/>
        <v>51.611021045538983</v>
      </c>
      <c r="H227" s="100">
        <f t="shared" si="256"/>
        <v>75.009503554975026</v>
      </c>
      <c r="I227" s="98">
        <f t="shared" si="256"/>
        <v>69.795675084184168</v>
      </c>
      <c r="J227" s="98">
        <f t="shared" si="256"/>
        <v>65.929648009878591</v>
      </c>
      <c r="K227" s="98">
        <f t="shared" si="256"/>
        <v>51.381168253891175</v>
      </c>
      <c r="L227" s="99">
        <f t="shared" si="256"/>
        <v>44.539453524137279</v>
      </c>
      <c r="M227" s="98">
        <f t="shared" si="256"/>
        <v>76.238590361255675</v>
      </c>
      <c r="N227" s="98">
        <f t="shared" si="256"/>
        <v>72.21043676206736</v>
      </c>
      <c r="O227" s="98">
        <f t="shared" si="256"/>
        <v>68.292555247818754</v>
      </c>
      <c r="P227" s="98">
        <f t="shared" si="256"/>
        <v>62.838414157192524</v>
      </c>
      <c r="Q227" s="98">
        <f t="shared" si="256"/>
        <v>38.028198843395216</v>
      </c>
    </row>
    <row r="228" spans="1:17" x14ac:dyDescent="0.35">
      <c r="A228" s="96" t="str">
        <f t="shared" si="246"/>
        <v>given</v>
      </c>
      <c r="B228" s="97" t="s">
        <v>629</v>
      </c>
      <c r="C228" s="98">
        <f t="shared" ref="C228:Q228" si="257">IF(C29&gt;0, 100*(C29+C112/C$203)/C29,"")</f>
        <v>76.280911589787905</v>
      </c>
      <c r="D228" s="98">
        <f t="shared" si="257"/>
        <v>72.396513958040359</v>
      </c>
      <c r="E228" s="98">
        <f t="shared" si="257"/>
        <v>67.969855301242674</v>
      </c>
      <c r="F228" s="98">
        <f t="shared" si="257"/>
        <v>63.372819278875589</v>
      </c>
      <c r="G228" s="99">
        <f t="shared" si="257"/>
        <v>51.611021045538983</v>
      </c>
      <c r="H228" s="100">
        <f t="shared" si="257"/>
        <v>75.009503554975041</v>
      </c>
      <c r="I228" s="98">
        <f t="shared" si="257"/>
        <v>69.795675084184168</v>
      </c>
      <c r="J228" s="98">
        <f t="shared" si="257"/>
        <v>65.929648009878605</v>
      </c>
      <c r="K228" s="98">
        <f t="shared" si="257"/>
        <v>51.381168253891182</v>
      </c>
      <c r="L228" s="99">
        <f t="shared" si="257"/>
        <v>44.539453524137279</v>
      </c>
      <c r="M228" s="98">
        <f t="shared" si="257"/>
        <v>76.238590361255675</v>
      </c>
      <c r="N228" s="98">
        <f t="shared" si="257"/>
        <v>72.210436762067346</v>
      </c>
      <c r="O228" s="98">
        <f t="shared" si="257"/>
        <v>68.292555247818754</v>
      </c>
      <c r="P228" s="98">
        <f t="shared" si="257"/>
        <v>62.838414157192517</v>
      </c>
      <c r="Q228" s="98">
        <f t="shared" si="257"/>
        <v>38.028198843395216</v>
      </c>
    </row>
    <row r="229" spans="1:17" x14ac:dyDescent="0.35">
      <c r="A229" s="101" t="str">
        <f t="shared" si="246"/>
        <v>given</v>
      </c>
      <c r="B229" s="102" t="s">
        <v>633</v>
      </c>
      <c r="C229" s="103">
        <f t="shared" ref="C229:Q229" si="258">IF(C30&gt;0, 100*(C30+C113/C$203)/C30,"")</f>
        <v>81.024729271830324</v>
      </c>
      <c r="D229" s="103">
        <f t="shared" si="258"/>
        <v>77.917211166432295</v>
      </c>
      <c r="E229" s="103">
        <f t="shared" si="258"/>
        <v>74.375884240994154</v>
      </c>
      <c r="F229" s="103">
        <f t="shared" si="258"/>
        <v>70.698255423100477</v>
      </c>
      <c r="G229" s="104">
        <f t="shared" si="258"/>
        <v>61.288816836431188</v>
      </c>
      <c r="H229" s="105">
        <f t="shared" si="258"/>
        <v>80.007602843980024</v>
      </c>
      <c r="I229" s="103">
        <f t="shared" si="258"/>
        <v>75.836540067347329</v>
      </c>
      <c r="J229" s="103">
        <f t="shared" si="258"/>
        <v>72.743718407902875</v>
      </c>
      <c r="K229" s="103">
        <f t="shared" si="258"/>
        <v>61.104934603112945</v>
      </c>
      <c r="L229" s="104">
        <f t="shared" si="258"/>
        <v>55.631562819309821</v>
      </c>
      <c r="M229" s="103">
        <f t="shared" si="258"/>
        <v>80.990872289004542</v>
      </c>
      <c r="N229" s="103">
        <f t="shared" si="258"/>
        <v>77.768349409653879</v>
      </c>
      <c r="O229" s="103">
        <f t="shared" si="258"/>
        <v>74.634044198254998</v>
      </c>
      <c r="P229" s="103">
        <f t="shared" si="258"/>
        <v>70.270731325754014</v>
      </c>
      <c r="Q229" s="103">
        <f t="shared" si="258"/>
        <v>50.422559074716169</v>
      </c>
    </row>
    <row r="230" spans="1:17" x14ac:dyDescent="0.35">
      <c r="A230" s="101" t="str">
        <f t="shared" si="246"/>
        <v>given</v>
      </c>
      <c r="B230" s="102" t="s">
        <v>634</v>
      </c>
      <c r="C230" s="103">
        <f t="shared" ref="C230:Q230" si="259">IF(C31&gt;0, 100*(C31+C114/C$203)/C31,"")</f>
        <v>76.280911589787905</v>
      </c>
      <c r="D230" s="103">
        <f t="shared" si="259"/>
        <v>72.396513958040373</v>
      </c>
      <c r="E230" s="103">
        <f t="shared" si="259"/>
        <v>67.969855301242688</v>
      </c>
      <c r="F230" s="103">
        <f t="shared" si="259"/>
        <v>63.372819278875589</v>
      </c>
      <c r="G230" s="104">
        <f t="shared" si="259"/>
        <v>51.611021045538983</v>
      </c>
      <c r="H230" s="105">
        <f t="shared" si="259"/>
        <v>75.009503554975041</v>
      </c>
      <c r="I230" s="103">
        <f t="shared" si="259"/>
        <v>69.795675084184168</v>
      </c>
      <c r="J230" s="103">
        <f t="shared" si="259"/>
        <v>65.929648009878605</v>
      </c>
      <c r="K230" s="103">
        <f t="shared" si="259"/>
        <v>51.381168253891175</v>
      </c>
      <c r="L230" s="104">
        <f t="shared" si="259"/>
        <v>44.539453524137286</v>
      </c>
      <c r="M230" s="103">
        <f t="shared" si="259"/>
        <v>76.238590361255675</v>
      </c>
      <c r="N230" s="103">
        <f t="shared" si="259"/>
        <v>72.210436762067346</v>
      </c>
      <c r="O230" s="103">
        <f t="shared" si="259"/>
        <v>68.29255524781874</v>
      </c>
      <c r="P230" s="103">
        <f t="shared" si="259"/>
        <v>62.838414157192524</v>
      </c>
      <c r="Q230" s="103">
        <f t="shared" si="259"/>
        <v>38.028198843395202</v>
      </c>
    </row>
    <row r="231" spans="1:17" x14ac:dyDescent="0.35">
      <c r="A231" s="85" t="str">
        <f t="shared" ref="A231:A237" si="260">S116</f>
        <v>residual</v>
      </c>
      <c r="B231" s="39" t="s">
        <v>625</v>
      </c>
      <c r="C231" s="52">
        <f t="shared" ref="C231:Q231" si="261">IF(C32&gt;0, 100*(C32+C116/C$203)/C32,"")</f>
        <v>53.824872119785887</v>
      </c>
      <c r="D231" s="52">
        <f t="shared" si="261"/>
        <v>53.94456780705665</v>
      </c>
      <c r="E231" s="52">
        <f t="shared" si="261"/>
        <v>52.541103403462479</v>
      </c>
      <c r="F231" s="52">
        <f t="shared" si="261"/>
        <v>50.039360222561008</v>
      </c>
      <c r="G231" s="53">
        <f t="shared" si="261"/>
        <v>45.004180530373809</v>
      </c>
      <c r="H231" s="54">
        <f t="shared" si="261"/>
        <v>43.206203214343475</v>
      </c>
      <c r="I231" s="52">
        <f t="shared" si="261"/>
        <v>51.152597335894619</v>
      </c>
      <c r="J231" s="52">
        <f t="shared" si="261"/>
        <v>54.326834206763436</v>
      </c>
      <c r="K231" s="52">
        <f t="shared" si="261"/>
        <v>47.29732622903736</v>
      </c>
      <c r="L231" s="53">
        <f t="shared" si="261"/>
        <v>39.582195024174709</v>
      </c>
      <c r="M231" s="52">
        <f t="shared" si="261"/>
        <v>56.601895248885121</v>
      </c>
      <c r="N231" s="52">
        <f t="shared" si="261"/>
        <v>54.218474673303206</v>
      </c>
      <c r="O231" s="52">
        <f t="shared" si="261"/>
        <v>56.155073693098316</v>
      </c>
      <c r="P231" s="52">
        <f t="shared" si="261"/>
        <v>54.508992096699977</v>
      </c>
      <c r="Q231" s="52">
        <f t="shared" si="261"/>
        <v>34.609154623588928</v>
      </c>
    </row>
    <row r="232" spans="1:17" x14ac:dyDescent="0.35">
      <c r="A232" s="90" t="str">
        <f t="shared" si="260"/>
        <v>residual</v>
      </c>
      <c r="B232" s="49" t="s">
        <v>627</v>
      </c>
      <c r="C232" s="55" t="str">
        <f t="shared" ref="C232:Q232" si="262">IF(C33&gt;0, 100*(C33+C117/C$203)/C33,"")</f>
        <v/>
      </c>
      <c r="D232" s="55" t="str">
        <f t="shared" si="262"/>
        <v/>
      </c>
      <c r="E232" s="55" t="str">
        <f t="shared" si="262"/>
        <v/>
      </c>
      <c r="F232" s="55" t="str">
        <f t="shared" si="262"/>
        <v/>
      </c>
      <c r="G232" s="56" t="str">
        <f t="shared" si="262"/>
        <v/>
      </c>
      <c r="H232" s="57" t="str">
        <f t="shared" si="262"/>
        <v/>
      </c>
      <c r="I232" s="55" t="str">
        <f t="shared" si="262"/>
        <v/>
      </c>
      <c r="J232" s="55" t="str">
        <f t="shared" si="262"/>
        <v/>
      </c>
      <c r="K232" s="55" t="str">
        <f t="shared" si="262"/>
        <v/>
      </c>
      <c r="L232" s="56" t="str">
        <f t="shared" si="262"/>
        <v/>
      </c>
      <c r="M232" s="55" t="str">
        <f t="shared" si="262"/>
        <v/>
      </c>
      <c r="N232" s="55" t="str">
        <f t="shared" si="262"/>
        <v/>
      </c>
      <c r="O232" s="55" t="str">
        <f t="shared" si="262"/>
        <v/>
      </c>
      <c r="P232" s="55" t="str">
        <f t="shared" si="262"/>
        <v/>
      </c>
      <c r="Q232" s="55" t="str">
        <f t="shared" si="262"/>
        <v/>
      </c>
    </row>
    <row r="233" spans="1:17" x14ac:dyDescent="0.35">
      <c r="A233" s="84" t="str">
        <f t="shared" si="260"/>
        <v>residual</v>
      </c>
      <c r="B233" s="40" t="s">
        <v>628</v>
      </c>
      <c r="C233" s="43">
        <f t="shared" ref="C233:Q233" si="263">IF(C34&gt;0, 100*(C34+C118/C$203)/C34,"")</f>
        <v>53.824872119785887</v>
      </c>
      <c r="D233" s="43">
        <f t="shared" si="263"/>
        <v>53.944567807056664</v>
      </c>
      <c r="E233" s="43">
        <f t="shared" si="263"/>
        <v>52.541103403462465</v>
      </c>
      <c r="F233" s="43">
        <f t="shared" si="263"/>
        <v>50.039360222561008</v>
      </c>
      <c r="G233" s="50">
        <f t="shared" si="263"/>
        <v>45.004180530373809</v>
      </c>
      <c r="H233" s="51">
        <f t="shared" si="263"/>
        <v>43.206203214343468</v>
      </c>
      <c r="I233" s="43">
        <f t="shared" si="263"/>
        <v>51.152597335894633</v>
      </c>
      <c r="J233" s="43">
        <f t="shared" si="263"/>
        <v>54.326834206763444</v>
      </c>
      <c r="K233" s="43">
        <f t="shared" si="263"/>
        <v>47.297326229037367</v>
      </c>
      <c r="L233" s="50">
        <f t="shared" si="263"/>
        <v>39.582195024174702</v>
      </c>
      <c r="M233" s="43">
        <f t="shared" si="263"/>
        <v>56.601895248885121</v>
      </c>
      <c r="N233" s="43">
        <f t="shared" si="263"/>
        <v>54.218474673303199</v>
      </c>
      <c r="O233" s="43">
        <f t="shared" si="263"/>
        <v>56.155073693098316</v>
      </c>
      <c r="P233" s="43">
        <f t="shared" si="263"/>
        <v>54.50899209669997</v>
      </c>
      <c r="Q233" s="43">
        <f t="shared" si="263"/>
        <v>34.609154623588921</v>
      </c>
    </row>
    <row r="234" spans="1:17" x14ac:dyDescent="0.35">
      <c r="A234" s="90" t="str">
        <f t="shared" si="260"/>
        <v>residual</v>
      </c>
      <c r="B234" s="49" t="s">
        <v>630</v>
      </c>
      <c r="C234" s="55" t="str">
        <f t="shared" ref="C234:Q234" si="264">IF(C35&gt;0, 100*(C35+C119/C$203)/C35,"")</f>
        <v/>
      </c>
      <c r="D234" s="55" t="str">
        <f t="shared" si="264"/>
        <v/>
      </c>
      <c r="E234" s="55" t="str">
        <f t="shared" si="264"/>
        <v/>
      </c>
      <c r="F234" s="55" t="str">
        <f t="shared" si="264"/>
        <v/>
      </c>
      <c r="G234" s="56" t="str">
        <f t="shared" si="264"/>
        <v/>
      </c>
      <c r="H234" s="57" t="str">
        <f t="shared" si="264"/>
        <v/>
      </c>
      <c r="I234" s="55" t="str">
        <f t="shared" si="264"/>
        <v/>
      </c>
      <c r="J234" s="55" t="str">
        <f t="shared" si="264"/>
        <v/>
      </c>
      <c r="K234" s="55" t="str">
        <f t="shared" si="264"/>
        <v/>
      </c>
      <c r="L234" s="56" t="str">
        <f t="shared" si="264"/>
        <v/>
      </c>
      <c r="M234" s="55" t="str">
        <f t="shared" si="264"/>
        <v/>
      </c>
      <c r="N234" s="55" t="str">
        <f t="shared" si="264"/>
        <v/>
      </c>
      <c r="O234" s="55" t="str">
        <f t="shared" si="264"/>
        <v/>
      </c>
      <c r="P234" s="55" t="str">
        <f t="shared" si="264"/>
        <v/>
      </c>
      <c r="Q234" s="55" t="str">
        <f t="shared" si="264"/>
        <v/>
      </c>
    </row>
    <row r="235" spans="1:17" x14ac:dyDescent="0.35">
      <c r="A235" s="90" t="str">
        <f t="shared" si="260"/>
        <v>residual</v>
      </c>
      <c r="B235" s="49" t="s">
        <v>631</v>
      </c>
      <c r="C235" s="55">
        <f t="shared" ref="C235:Q235" si="265">IF(C36&gt;0, 100*(C36+C120/C$203)/C36,"")</f>
        <v>53.824872119785887</v>
      </c>
      <c r="D235" s="55">
        <f t="shared" si="265"/>
        <v>53.944567807056664</v>
      </c>
      <c r="E235" s="55">
        <f t="shared" si="265"/>
        <v>52.541103403462465</v>
      </c>
      <c r="F235" s="55">
        <f t="shared" si="265"/>
        <v>50.039360222561015</v>
      </c>
      <c r="G235" s="56">
        <f t="shared" si="265"/>
        <v>45.004180530373809</v>
      </c>
      <c r="H235" s="57">
        <f t="shared" si="265"/>
        <v>43.206203214343468</v>
      </c>
      <c r="I235" s="55">
        <f t="shared" si="265"/>
        <v>51.152597335894619</v>
      </c>
      <c r="J235" s="55">
        <f t="shared" si="265"/>
        <v>54.326834206763436</v>
      </c>
      <c r="K235" s="55">
        <f t="shared" si="265"/>
        <v>47.297326229037367</v>
      </c>
      <c r="L235" s="56">
        <f t="shared" si="265"/>
        <v>39.582195024174716</v>
      </c>
      <c r="M235" s="55">
        <f t="shared" si="265"/>
        <v>56.601895248885121</v>
      </c>
      <c r="N235" s="55">
        <f t="shared" si="265"/>
        <v>54.218474673303199</v>
      </c>
      <c r="O235" s="55">
        <f t="shared" si="265"/>
        <v>56.155073693098316</v>
      </c>
      <c r="P235" s="55">
        <f t="shared" si="265"/>
        <v>54.508992096699977</v>
      </c>
      <c r="Q235" s="55">
        <f t="shared" si="265"/>
        <v>34.609154623588921</v>
      </c>
    </row>
    <row r="236" spans="1:17" x14ac:dyDescent="0.35">
      <c r="A236" s="90" t="str">
        <f t="shared" si="260"/>
        <v>residual</v>
      </c>
      <c r="B236" s="49" t="s">
        <v>632</v>
      </c>
      <c r="C236" s="55">
        <f t="shared" ref="C236:Q236" si="266">IF(C37&gt;0, 100*(C37+C121/C$203)/C37,"")</f>
        <v>53.824872119785887</v>
      </c>
      <c r="D236" s="55">
        <f t="shared" si="266"/>
        <v>53.944567807056657</v>
      </c>
      <c r="E236" s="55">
        <f t="shared" si="266"/>
        <v>52.541103403462472</v>
      </c>
      <c r="F236" s="55">
        <f t="shared" si="266"/>
        <v>50.039360222561008</v>
      </c>
      <c r="G236" s="56">
        <f t="shared" si="266"/>
        <v>45.004180530373816</v>
      </c>
      <c r="H236" s="57">
        <f t="shared" si="266"/>
        <v>43.206203214343468</v>
      </c>
      <c r="I236" s="55">
        <f t="shared" si="266"/>
        <v>51.152597335894619</v>
      </c>
      <c r="J236" s="55">
        <f t="shared" si="266"/>
        <v>54.326834206763436</v>
      </c>
      <c r="K236" s="55">
        <f t="shared" si="266"/>
        <v>47.297326229037367</v>
      </c>
      <c r="L236" s="56">
        <f t="shared" si="266"/>
        <v>39.582195024174695</v>
      </c>
      <c r="M236" s="55">
        <f t="shared" si="266"/>
        <v>56.601895248885128</v>
      </c>
      <c r="N236" s="55">
        <f t="shared" si="266"/>
        <v>54.218474673303199</v>
      </c>
      <c r="O236" s="55">
        <f t="shared" si="266"/>
        <v>56.155073693098316</v>
      </c>
      <c r="P236" s="55">
        <f t="shared" si="266"/>
        <v>54.50899209669997</v>
      </c>
      <c r="Q236" s="55">
        <f t="shared" si="266"/>
        <v>34.609154623588935</v>
      </c>
    </row>
    <row r="237" spans="1:17" x14ac:dyDescent="0.35">
      <c r="A237" s="84" t="str">
        <f t="shared" si="260"/>
        <v>residual</v>
      </c>
      <c r="B237" s="40" t="s">
        <v>635</v>
      </c>
      <c r="C237" s="43">
        <f t="shared" ref="C237:Q237" si="267">IF(C38&gt;0, 100*(C38+C122/C$203)/C38,"")</f>
        <v>53.824872119785901</v>
      </c>
      <c r="D237" s="43">
        <f t="shared" si="267"/>
        <v>53.944567807056664</v>
      </c>
      <c r="E237" s="43">
        <f t="shared" si="267"/>
        <v>52.541103403462479</v>
      </c>
      <c r="F237" s="43">
        <f t="shared" si="267"/>
        <v>50.039360222561008</v>
      </c>
      <c r="G237" s="50">
        <f t="shared" si="267"/>
        <v>45.004180530373809</v>
      </c>
      <c r="H237" s="51">
        <f t="shared" si="267"/>
        <v>43.206203214343468</v>
      </c>
      <c r="I237" s="43">
        <f t="shared" si="267"/>
        <v>51.152597335894619</v>
      </c>
      <c r="J237" s="43">
        <f t="shared" si="267"/>
        <v>54.326834206763436</v>
      </c>
      <c r="K237" s="43">
        <f t="shared" si="267"/>
        <v>47.297326229037367</v>
      </c>
      <c r="L237" s="50">
        <f t="shared" si="267"/>
        <v>39.582195024174702</v>
      </c>
      <c r="M237" s="43">
        <f t="shared" si="267"/>
        <v>56.601895248885121</v>
      </c>
      <c r="N237" s="43">
        <f t="shared" si="267"/>
        <v>54.218474673303191</v>
      </c>
      <c r="O237" s="43">
        <f t="shared" si="267"/>
        <v>56.155073693098316</v>
      </c>
      <c r="P237" s="43">
        <f t="shared" si="267"/>
        <v>54.50899209669997</v>
      </c>
      <c r="Q237" s="43">
        <f t="shared" si="267"/>
        <v>34.609154623588921</v>
      </c>
    </row>
    <row r="238" spans="1:17" x14ac:dyDescent="0.35">
      <c r="A238" s="158" t="s">
        <v>608</v>
      </c>
      <c r="B238" s="159"/>
      <c r="C238" s="129">
        <f t="shared" ref="C238:Q238" si="268">IF(C39&gt;0, 100*(C39+C123/C$203)/C39,"")</f>
        <v>81.315486928442468</v>
      </c>
      <c r="D238" s="127">
        <f t="shared" si="268"/>
        <v>78.169257882916412</v>
      </c>
      <c r="E238" s="127">
        <f t="shared" si="268"/>
        <v>73.913641569700232</v>
      </c>
      <c r="F238" s="127">
        <f t="shared" si="268"/>
        <v>69.882271740447294</v>
      </c>
      <c r="G238" s="128">
        <f t="shared" si="268"/>
        <v>55.199494087083309</v>
      </c>
      <c r="H238" s="129">
        <f t="shared" si="268"/>
        <v>80.821515001186825</v>
      </c>
      <c r="I238" s="127">
        <f t="shared" si="268"/>
        <v>75.218868742667567</v>
      </c>
      <c r="J238" s="127">
        <f t="shared" si="268"/>
        <v>71.694891507858202</v>
      </c>
      <c r="K238" s="127">
        <f t="shared" si="268"/>
        <v>57.694137355248202</v>
      </c>
      <c r="L238" s="128">
        <f t="shared" si="268"/>
        <v>47.884923663427301</v>
      </c>
      <c r="M238" s="127">
        <f t="shared" si="268"/>
        <v>81.295195437898599</v>
      </c>
      <c r="N238" s="127">
        <f t="shared" si="268"/>
        <v>77.441862827385194</v>
      </c>
      <c r="O238" s="127">
        <f t="shared" si="268"/>
        <v>73.514763219107223</v>
      </c>
      <c r="P238" s="127">
        <f t="shared" si="268"/>
        <v>67.330780784366183</v>
      </c>
      <c r="Q238" s="128">
        <f t="shared" si="268"/>
        <v>39.399934526585888</v>
      </c>
    </row>
    <row r="239" spans="1:17" s="74" customFormat="1" x14ac:dyDescent="0.35">
      <c r="A239" s="174" t="s">
        <v>638</v>
      </c>
      <c r="B239" s="175"/>
      <c r="C239" s="126">
        <f t="shared" ref="C239:Q239" si="269">IF(C40&gt;0, 100*(C40+C124/C$203)/C40,"")</f>
        <v>66.205408802011277</v>
      </c>
      <c r="D239" s="124">
        <f t="shared" si="269"/>
        <v>63.440357388770352</v>
      </c>
      <c r="E239" s="124">
        <f t="shared" si="269"/>
        <v>61.389014023326887</v>
      </c>
      <c r="F239" s="124">
        <f t="shared" si="269"/>
        <v>56.698640094796254</v>
      </c>
      <c r="G239" s="125">
        <f t="shared" si="269"/>
        <v>48.881648761048154</v>
      </c>
      <c r="H239" s="126">
        <f t="shared" si="269"/>
        <v>67.131021993525863</v>
      </c>
      <c r="I239" s="124">
        <f t="shared" si="269"/>
        <v>59.521967783831919</v>
      </c>
      <c r="J239" s="124">
        <f t="shared" si="269"/>
        <v>59.714038702464066</v>
      </c>
      <c r="K239" s="124">
        <f t="shared" si="269"/>
        <v>48.777335763653497</v>
      </c>
      <c r="L239" s="125">
        <f t="shared" si="269"/>
        <v>42.184622131889313</v>
      </c>
      <c r="M239" s="124">
        <f t="shared" si="269"/>
        <v>67.805439353041052</v>
      </c>
      <c r="N239" s="124">
        <f t="shared" si="269"/>
        <v>65.437707609794529</v>
      </c>
      <c r="O239" s="124">
        <f t="shared" si="269"/>
        <v>63.126423579859285</v>
      </c>
      <c r="P239" s="124">
        <f t="shared" si="269"/>
        <v>59.347056410245784</v>
      </c>
      <c r="Q239" s="125">
        <f t="shared" si="269"/>
        <v>37.33045803749711</v>
      </c>
    </row>
    <row r="240" spans="1:17" s="74" customFormat="1" x14ac:dyDescent="0.35">
      <c r="A240" s="158" t="s">
        <v>672</v>
      </c>
      <c r="B240" s="159"/>
      <c r="C240" s="129">
        <f t="shared" ref="C240:Q240" si="270">IF(C41&gt;0, 100*(C41+C125/C$203)/C41,"")</f>
        <v>80.722445954707965</v>
      </c>
      <c r="D240" s="127">
        <f t="shared" si="270"/>
        <v>77.380036443100565</v>
      </c>
      <c r="E240" s="127">
        <f t="shared" si="270"/>
        <v>72.911928033358279</v>
      </c>
      <c r="F240" s="127">
        <f t="shared" si="270"/>
        <v>68.842061506276508</v>
      </c>
      <c r="G240" s="128">
        <f t="shared" si="270"/>
        <v>55.226178727989449</v>
      </c>
      <c r="H240" s="129">
        <f t="shared" si="270"/>
        <v>80.071504063668201</v>
      </c>
      <c r="I240" s="127">
        <f t="shared" si="270"/>
        <v>74.716119512412774</v>
      </c>
      <c r="J240" s="127">
        <f t="shared" si="270"/>
        <v>70.819328135021962</v>
      </c>
      <c r="K240" s="127">
        <f t="shared" si="270"/>
        <v>57.025484810521789</v>
      </c>
      <c r="L240" s="128">
        <f t="shared" si="270"/>
        <v>48.147817332423202</v>
      </c>
      <c r="M240" s="127">
        <f t="shared" si="270"/>
        <v>80.693064952634074</v>
      </c>
      <c r="N240" s="127">
        <f t="shared" si="270"/>
        <v>76.767658226207601</v>
      </c>
      <c r="O240" s="127">
        <f t="shared" si="270"/>
        <v>72.637762007064339</v>
      </c>
      <c r="P240" s="127">
        <f t="shared" si="270"/>
        <v>66.938617521527476</v>
      </c>
      <c r="Q240" s="128">
        <f t="shared" si="270"/>
        <v>40.998778994283732</v>
      </c>
    </row>
    <row r="241" spans="1:70" s="74" customFormat="1" x14ac:dyDescent="0.35">
      <c r="A241" s="174" t="s">
        <v>673</v>
      </c>
      <c r="B241" s="175"/>
      <c r="C241" s="126">
        <f t="shared" ref="C241:Q241" si="271">IF(C42&gt;0, 100*(C42+C126/C$203)/C42,"")</f>
        <v>53.824872119785887</v>
      </c>
      <c r="D241" s="124">
        <f t="shared" si="271"/>
        <v>53.944567807056671</v>
      </c>
      <c r="E241" s="124">
        <f t="shared" si="271"/>
        <v>52.541103403462472</v>
      </c>
      <c r="F241" s="124">
        <f t="shared" si="271"/>
        <v>50.039360222561008</v>
      </c>
      <c r="G241" s="125">
        <f t="shared" si="271"/>
        <v>45.004180530373802</v>
      </c>
      <c r="H241" s="126">
        <f t="shared" si="271"/>
        <v>43.206203214343468</v>
      </c>
      <c r="I241" s="124">
        <f t="shared" si="271"/>
        <v>51.152597335894626</v>
      </c>
      <c r="J241" s="124">
        <f t="shared" si="271"/>
        <v>54.326834206763436</v>
      </c>
      <c r="K241" s="124">
        <f t="shared" si="271"/>
        <v>47.297326229037367</v>
      </c>
      <c r="L241" s="125">
        <f t="shared" si="271"/>
        <v>39.582195024174702</v>
      </c>
      <c r="M241" s="124">
        <f t="shared" si="271"/>
        <v>56.601895248885114</v>
      </c>
      <c r="N241" s="124">
        <f t="shared" si="271"/>
        <v>54.218474673303206</v>
      </c>
      <c r="O241" s="124">
        <f t="shared" si="271"/>
        <v>56.155073693098331</v>
      </c>
      <c r="P241" s="124">
        <f t="shared" si="271"/>
        <v>54.508992096699977</v>
      </c>
      <c r="Q241" s="125">
        <f t="shared" si="271"/>
        <v>34.609154623588935</v>
      </c>
    </row>
    <row r="242" spans="1:70" x14ac:dyDescent="0.35">
      <c r="A242" s="176" t="s">
        <v>127</v>
      </c>
      <c r="B242" s="177"/>
      <c r="C242" s="123">
        <f t="shared" ref="C242:Q242" si="272">IF(C43&gt;0, 100*(C43+C127/C$203)/C43,"")</f>
        <v>76.28091158978792</v>
      </c>
      <c r="D242" s="121">
        <f t="shared" si="272"/>
        <v>72.396513958040359</v>
      </c>
      <c r="E242" s="121">
        <f t="shared" si="272"/>
        <v>67.969855301242688</v>
      </c>
      <c r="F242" s="121">
        <f t="shared" si="272"/>
        <v>63.372819278875589</v>
      </c>
      <c r="G242" s="122">
        <f t="shared" si="272"/>
        <v>51.611021045538983</v>
      </c>
      <c r="H242" s="123">
        <f t="shared" si="272"/>
        <v>75.009503554975026</v>
      </c>
      <c r="I242" s="121">
        <f t="shared" si="272"/>
        <v>69.795675084184154</v>
      </c>
      <c r="J242" s="121">
        <f t="shared" si="272"/>
        <v>65.929648009878591</v>
      </c>
      <c r="K242" s="121">
        <f t="shared" si="272"/>
        <v>51.381168253891182</v>
      </c>
      <c r="L242" s="122">
        <f t="shared" si="272"/>
        <v>44.539453524137265</v>
      </c>
      <c r="M242" s="121">
        <f t="shared" si="272"/>
        <v>76.23859036125566</v>
      </c>
      <c r="N242" s="121">
        <f t="shared" si="272"/>
        <v>72.210436762067346</v>
      </c>
      <c r="O242" s="121">
        <f t="shared" si="272"/>
        <v>68.29255524781874</v>
      </c>
      <c r="P242" s="121">
        <f t="shared" si="272"/>
        <v>62.838414157192517</v>
      </c>
      <c r="Q242" s="122">
        <f t="shared" si="272"/>
        <v>38.028198843395231</v>
      </c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</row>
  </sheetData>
  <mergeCells count="36">
    <mergeCell ref="A239:B239"/>
    <mergeCell ref="A240:B240"/>
    <mergeCell ref="A241:B241"/>
    <mergeCell ref="A242:B242"/>
    <mergeCell ref="A124:B124"/>
    <mergeCell ref="A125:B125"/>
    <mergeCell ref="A126:B126"/>
    <mergeCell ref="A127:B127"/>
    <mergeCell ref="A238:B238"/>
    <mergeCell ref="A123:B123"/>
    <mergeCell ref="B17:B18"/>
    <mergeCell ref="A17:A18"/>
    <mergeCell ref="R115:S115"/>
    <mergeCell ref="A39:B39"/>
    <mergeCell ref="A40:B40"/>
    <mergeCell ref="A43:B43"/>
    <mergeCell ref="R101:S101"/>
    <mergeCell ref="A41:B41"/>
    <mergeCell ref="A42:B42"/>
    <mergeCell ref="AE17:AI17"/>
    <mergeCell ref="AJ17:AJ18"/>
    <mergeCell ref="C100:G100"/>
    <mergeCell ref="H100:L100"/>
    <mergeCell ref="M100:Q100"/>
    <mergeCell ref="R17:R18"/>
    <mergeCell ref="T100:X100"/>
    <mergeCell ref="Y100:AC100"/>
    <mergeCell ref="AD100:AH100"/>
    <mergeCell ref="U17:Y17"/>
    <mergeCell ref="Z17:AD17"/>
    <mergeCell ref="C216:G216"/>
    <mergeCell ref="H216:L216"/>
    <mergeCell ref="M216:Q216"/>
    <mergeCell ref="C17:G17"/>
    <mergeCell ref="H17:L17"/>
    <mergeCell ref="M17:Q17"/>
  </mergeCells>
  <conditionalFormatting sqref="A49:A95">
    <cfRule type="cellIs" dxfId="19" priority="5" operator="equal">
      <formula>1</formula>
    </cfRule>
  </conditionalFormatting>
  <conditionalFormatting sqref="A184:A185">
    <cfRule type="cellIs" dxfId="18" priority="97" operator="equal">
      <formula>1</formula>
    </cfRule>
  </conditionalFormatting>
  <conditionalFormatting sqref="A195:A196">
    <cfRule type="cellIs" dxfId="17" priority="93" operator="equal">
      <formula>1</formula>
    </cfRule>
  </conditionalFormatting>
  <conditionalFormatting sqref="B81:B83">
    <cfRule type="cellIs" dxfId="16" priority="112" operator="equal">
      <formula>1</formula>
    </cfRule>
  </conditionalFormatting>
  <conditionalFormatting sqref="B206:Q206">
    <cfRule type="cellIs" dxfId="15" priority="10" operator="equal">
      <formula>1</formula>
    </cfRule>
  </conditionalFormatting>
  <conditionalFormatting sqref="B209:Q209">
    <cfRule type="cellIs" dxfId="14" priority="11" operator="equal">
      <formula>1</formula>
    </cfRule>
  </conditionalFormatting>
  <conditionalFormatting sqref="B6:BR6 A16 A17:B17 R17 C18:Q18 B48:R86 T48:AJ93 AL48:BR93 C87:R88 B87:Q93 R87:R94 C94:Q94 AL94:BA94 BC94:BR94 B94:B95 T94:T95 A101:R101 T101:AH101 B131:Q177 S131:AH177 B184:Q184 C185:Q185 A191:Q192 B195:Q195 C196:Q196 A199:Q200 B202:Q202 A217:Q217">
    <cfRule type="cellIs" dxfId="13" priority="146" operator="equal">
      <formula>1</formula>
    </cfRule>
  </conditionalFormatting>
  <conditionalFormatting sqref="C51:R53 C57:R58 C61:R61 C65:R65 C77:R77 C80:R81 C83:R83 C90:R90 C92:R94">
    <cfRule type="cellIs" dxfId="12" priority="105" operator="equal">
      <formula>1</formula>
    </cfRule>
  </conditionalFormatting>
  <conditionalFormatting sqref="C73:R75">
    <cfRule type="cellIs" dxfId="11" priority="4" operator="equal">
      <formula>1</formula>
    </cfRule>
  </conditionalFormatting>
  <conditionalFormatting sqref="T81:T83">
    <cfRule type="cellIs" dxfId="10" priority="102" operator="equal">
      <formula>1</formula>
    </cfRule>
  </conditionalFormatting>
  <conditionalFormatting sqref="T18:AI18">
    <cfRule type="cellIs" dxfId="9" priority="27" operator="equal">
      <formula>1</formula>
    </cfRule>
  </conditionalFormatting>
  <conditionalFormatting sqref="U51:AJ53 U57:AJ58 U61:AJ61 U65:AJ65 U77:AJ77 U80:AJ81 U83:AJ83 U90:AJ90 U92:AJ94">
    <cfRule type="cellIs" dxfId="8" priority="113" operator="equal">
      <formula>1</formula>
    </cfRule>
  </conditionalFormatting>
  <conditionalFormatting sqref="U73:AJ75">
    <cfRule type="cellIs" dxfId="7" priority="3" operator="equal">
      <formula>1</formula>
    </cfRule>
  </conditionalFormatting>
  <conditionalFormatting sqref="AJ17">
    <cfRule type="cellIs" dxfId="6" priority="28" operator="equal">
      <formula>1</formula>
    </cfRule>
  </conditionalFormatting>
  <conditionalFormatting sqref="AL81:AL83">
    <cfRule type="cellIs" dxfId="5" priority="147" operator="equal">
      <formula>1</formula>
    </cfRule>
  </conditionalFormatting>
  <conditionalFormatting sqref="AM51:BA53 AM57:BA58 AM61:BA61 AM65:BA65 AM77:BA77 AM80:BA81 AM83:BA83 AM90:BA90 AM92:BA94">
    <cfRule type="cellIs" dxfId="4" priority="131" operator="equal">
      <formula>1</formula>
    </cfRule>
  </conditionalFormatting>
  <conditionalFormatting sqref="AM73:BA75">
    <cfRule type="cellIs" dxfId="3" priority="2" operator="equal">
      <formula>1</formula>
    </cfRule>
  </conditionalFormatting>
  <conditionalFormatting sqref="BC81:BC83">
    <cfRule type="cellIs" dxfId="2" priority="130" operator="equal">
      <formula>1</formula>
    </cfRule>
  </conditionalFormatting>
  <conditionalFormatting sqref="BD53:BR53 BD57:BR58 BD61:BR61 BD65:BR65 BD77:BR77 BD80:BR81 BD83:BR83 BD90:BR90 BD92:BR94">
    <cfRule type="cellIs" dxfId="1" priority="121" operator="equal">
      <formula>1</formula>
    </cfRule>
  </conditionalFormatting>
  <conditionalFormatting sqref="BD73:BR75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S781"/>
  <sheetViews>
    <sheetView showZeros="0" zoomScale="85" zoomScaleNormal="85" workbookViewId="0">
      <pane ySplit="7" topLeftCell="A8" activePane="bottomLeft" state="frozen"/>
      <selection activeCell="D7" sqref="D7:E19"/>
      <selection pane="bottomLeft" activeCell="V18" sqref="V18"/>
    </sheetView>
  </sheetViews>
  <sheetFormatPr defaultRowHeight="14.5" x14ac:dyDescent="0.35"/>
  <cols>
    <col min="13" max="13" width="28.54296875" customWidth="1"/>
  </cols>
  <sheetData>
    <row r="1" spans="1:19" ht="18.5" x14ac:dyDescent="0.45">
      <c r="A1" s="5" t="s">
        <v>365</v>
      </c>
    </row>
    <row r="2" spans="1:19" x14ac:dyDescent="0.35">
      <c r="A2" s="3" t="s">
        <v>364</v>
      </c>
      <c r="B2" s="4" t="s">
        <v>366</v>
      </c>
    </row>
    <row r="4" spans="1:19" x14ac:dyDescent="0.35">
      <c r="B4" s="19" t="s">
        <v>540</v>
      </c>
      <c r="F4" t="s">
        <v>540</v>
      </c>
    </row>
    <row r="5" spans="1:19" x14ac:dyDescent="0.35">
      <c r="A5" s="1" t="s">
        <v>367</v>
      </c>
      <c r="E5" s="1" t="s">
        <v>372</v>
      </c>
    </row>
    <row r="6" spans="1:19" x14ac:dyDescent="0.35">
      <c r="B6" t="s">
        <v>368</v>
      </c>
      <c r="C6" t="s">
        <v>369</v>
      </c>
      <c r="F6" t="s">
        <v>373</v>
      </c>
      <c r="J6" s="1" t="s">
        <v>432</v>
      </c>
      <c r="M6" s="8" t="s">
        <v>431</v>
      </c>
      <c r="N6" s="9"/>
      <c r="O6" s="9"/>
      <c r="P6" s="9"/>
    </row>
    <row r="7" spans="1:19" x14ac:dyDescent="0.35">
      <c r="B7" t="s">
        <v>370</v>
      </c>
      <c r="C7" t="s">
        <v>371</v>
      </c>
      <c r="F7" t="s">
        <v>374</v>
      </c>
      <c r="G7" t="s">
        <v>375</v>
      </c>
      <c r="K7" t="s">
        <v>433</v>
      </c>
      <c r="M7" s="9"/>
      <c r="N7" s="9" t="s">
        <v>368</v>
      </c>
      <c r="O7" s="9" t="s">
        <v>376</v>
      </c>
      <c r="P7" s="9" t="s">
        <v>377</v>
      </c>
    </row>
    <row r="8" spans="1:19" x14ac:dyDescent="0.35">
      <c r="A8" t="s">
        <v>680</v>
      </c>
      <c r="B8" s="18">
        <f>K8</f>
        <v>1.3</v>
      </c>
      <c r="C8" s="7">
        <f t="shared" ref="C8:C14" si="0">B8</f>
        <v>1.3</v>
      </c>
      <c r="E8" t="s">
        <v>675</v>
      </c>
      <c r="F8" s="68">
        <v>0.5</v>
      </c>
      <c r="G8" s="68">
        <v>0.5</v>
      </c>
      <c r="J8" t="s">
        <v>680</v>
      </c>
      <c r="K8" s="7">
        <f>N10</f>
        <v>1.3</v>
      </c>
      <c r="M8" s="9" t="s">
        <v>378</v>
      </c>
      <c r="N8" s="10">
        <v>5.05</v>
      </c>
      <c r="O8" s="10">
        <v>10.1</v>
      </c>
      <c r="P8" s="10">
        <v>0.24</v>
      </c>
      <c r="R8" s="7">
        <f>P8</f>
        <v>0.24</v>
      </c>
      <c r="S8" s="7">
        <f t="shared" ref="S8:S20" si="1">R8</f>
        <v>0.24</v>
      </c>
    </row>
    <row r="9" spans="1:19" x14ac:dyDescent="0.35">
      <c r="A9" t="s">
        <v>177</v>
      </c>
      <c r="B9" s="18">
        <f>K9</f>
        <v>1.85</v>
      </c>
      <c r="C9" s="7">
        <f t="shared" si="0"/>
        <v>1.85</v>
      </c>
      <c r="E9" t="s">
        <v>138</v>
      </c>
      <c r="F9" s="68">
        <v>0.5</v>
      </c>
      <c r="G9" s="68">
        <v>0.5</v>
      </c>
      <c r="J9" t="s">
        <v>177</v>
      </c>
      <c r="K9" s="7">
        <f>N11</f>
        <v>1.85</v>
      </c>
      <c r="M9" s="9" t="s">
        <v>379</v>
      </c>
      <c r="N9" s="10">
        <v>4.45</v>
      </c>
      <c r="O9" s="10">
        <v>8.9</v>
      </c>
      <c r="P9" s="10">
        <v>0.24</v>
      </c>
      <c r="R9" s="7">
        <f t="shared" ref="R9:R16" si="2">R8</f>
        <v>0.24</v>
      </c>
      <c r="S9" s="7">
        <f t="shared" si="1"/>
        <v>0.24</v>
      </c>
    </row>
    <row r="10" spans="1:19" x14ac:dyDescent="0.35">
      <c r="A10" t="s">
        <v>178</v>
      </c>
      <c r="B10" s="18">
        <f>K10</f>
        <v>2.4500000000000002</v>
      </c>
      <c r="C10" s="7">
        <f t="shared" si="0"/>
        <v>2.4500000000000002</v>
      </c>
      <c r="E10" t="s">
        <v>140</v>
      </c>
      <c r="F10" s="68">
        <v>0.5</v>
      </c>
      <c r="G10" s="68">
        <v>0.5</v>
      </c>
      <c r="J10" t="s">
        <v>178</v>
      </c>
      <c r="K10" s="7">
        <f>N12</f>
        <v>2.4500000000000002</v>
      </c>
      <c r="M10" s="9" t="s">
        <v>380</v>
      </c>
      <c r="N10" s="10">
        <v>1.3</v>
      </c>
      <c r="O10" s="10">
        <v>2.6</v>
      </c>
      <c r="P10" s="10">
        <v>0.24</v>
      </c>
      <c r="R10" s="7">
        <f t="shared" si="2"/>
        <v>0.24</v>
      </c>
      <c r="S10" s="7">
        <f t="shared" si="1"/>
        <v>0.24</v>
      </c>
    </row>
    <row r="11" spans="1:19" x14ac:dyDescent="0.35">
      <c r="A11" t="s">
        <v>179</v>
      </c>
      <c r="B11" s="18">
        <f t="shared" ref="B11:B14" si="3">K11</f>
        <v>1.85</v>
      </c>
      <c r="C11" s="7">
        <f t="shared" si="0"/>
        <v>1.85</v>
      </c>
      <c r="E11" t="s">
        <v>142</v>
      </c>
      <c r="F11" s="68">
        <v>0.5</v>
      </c>
      <c r="G11" s="68">
        <v>0.5</v>
      </c>
      <c r="J11" t="s">
        <v>179</v>
      </c>
      <c r="K11" s="7">
        <f>N11</f>
        <v>1.85</v>
      </c>
      <c r="M11" s="9" t="s">
        <v>381</v>
      </c>
      <c r="N11" s="10">
        <v>1.85</v>
      </c>
      <c r="O11" s="10">
        <v>3.7</v>
      </c>
      <c r="P11" s="10">
        <v>0.24</v>
      </c>
      <c r="R11" s="7">
        <f t="shared" si="2"/>
        <v>0.24</v>
      </c>
      <c r="S11" s="7">
        <f t="shared" si="1"/>
        <v>0.24</v>
      </c>
    </row>
    <row r="12" spans="1:19" x14ac:dyDescent="0.35">
      <c r="A12" t="s">
        <v>180</v>
      </c>
      <c r="B12" s="18">
        <f t="shared" si="3"/>
        <v>1.85</v>
      </c>
      <c r="C12" s="7">
        <f t="shared" si="0"/>
        <v>1.85</v>
      </c>
      <c r="E12" t="s">
        <v>143</v>
      </c>
      <c r="F12" s="68">
        <v>0.5</v>
      </c>
      <c r="G12" s="68">
        <v>0.5</v>
      </c>
      <c r="J12" t="s">
        <v>180</v>
      </c>
      <c r="K12" s="7">
        <f>N11</f>
        <v>1.85</v>
      </c>
      <c r="M12" s="9" t="s">
        <v>382</v>
      </c>
      <c r="N12" s="10">
        <v>2.4500000000000002</v>
      </c>
      <c r="O12" s="10">
        <v>4.9000000000000004</v>
      </c>
      <c r="P12" s="10">
        <v>0.24</v>
      </c>
      <c r="R12" s="7">
        <f t="shared" si="2"/>
        <v>0.24</v>
      </c>
      <c r="S12" s="7">
        <f t="shared" si="1"/>
        <v>0.24</v>
      </c>
    </row>
    <row r="13" spans="1:19" x14ac:dyDescent="0.35">
      <c r="A13" t="s">
        <v>181</v>
      </c>
      <c r="B13" s="18">
        <f t="shared" si="3"/>
        <v>1.85</v>
      </c>
      <c r="C13" s="7">
        <f t="shared" si="0"/>
        <v>1.85</v>
      </c>
      <c r="E13" t="s">
        <v>147</v>
      </c>
      <c r="F13" s="68">
        <v>0.5</v>
      </c>
      <c r="G13" s="68">
        <v>0.5</v>
      </c>
      <c r="J13" t="s">
        <v>181</v>
      </c>
      <c r="K13" s="7">
        <f>N11</f>
        <v>1.85</v>
      </c>
      <c r="M13" s="9" t="s">
        <v>383</v>
      </c>
      <c r="N13" s="10">
        <v>2.7</v>
      </c>
      <c r="O13" s="10">
        <v>5.4</v>
      </c>
      <c r="P13" s="10">
        <v>0.24</v>
      </c>
      <c r="R13" s="7">
        <f t="shared" si="2"/>
        <v>0.24</v>
      </c>
      <c r="S13" s="7">
        <f t="shared" si="1"/>
        <v>0.24</v>
      </c>
    </row>
    <row r="14" spans="1:19" x14ac:dyDescent="0.35">
      <c r="A14" s="32" t="s">
        <v>727</v>
      </c>
      <c r="B14" s="18">
        <f t="shared" si="3"/>
        <v>3.25</v>
      </c>
      <c r="C14" s="7">
        <f t="shared" si="0"/>
        <v>3.25</v>
      </c>
      <c r="E14" s="32" t="s">
        <v>726</v>
      </c>
      <c r="F14" s="68">
        <v>0.5</v>
      </c>
      <c r="G14" s="68">
        <v>0.5</v>
      </c>
      <c r="J14" s="32" t="s">
        <v>727</v>
      </c>
      <c r="K14" s="7">
        <f>N15</f>
        <v>3.25</v>
      </c>
      <c r="M14" s="9" t="s">
        <v>384</v>
      </c>
      <c r="N14" s="10">
        <v>2.5</v>
      </c>
      <c r="O14" s="10">
        <v>5</v>
      </c>
      <c r="P14" s="10">
        <v>0.24</v>
      </c>
      <c r="R14" s="7">
        <f t="shared" si="2"/>
        <v>0.24</v>
      </c>
      <c r="S14" s="7">
        <f t="shared" si="1"/>
        <v>0.24</v>
      </c>
    </row>
    <row r="15" spans="1:19" x14ac:dyDescent="0.35">
      <c r="A15" t="s">
        <v>182</v>
      </c>
      <c r="B15" s="18">
        <f t="shared" ref="B15:B29" si="4">K15</f>
        <v>3.25</v>
      </c>
      <c r="C15" s="7">
        <f t="shared" ref="C15:C29" si="5">B15</f>
        <v>3.25</v>
      </c>
      <c r="E15" t="s">
        <v>148</v>
      </c>
      <c r="F15" s="68">
        <v>0.5</v>
      </c>
      <c r="G15" s="68">
        <v>0.5</v>
      </c>
      <c r="J15" t="s">
        <v>182</v>
      </c>
      <c r="K15" s="7">
        <f>N15</f>
        <v>3.25</v>
      </c>
      <c r="M15" s="9" t="s">
        <v>385</v>
      </c>
      <c r="N15" s="10">
        <v>3.25</v>
      </c>
      <c r="O15" s="10">
        <v>6.5</v>
      </c>
      <c r="P15" s="10">
        <v>0.24</v>
      </c>
      <c r="R15" s="7">
        <f t="shared" si="2"/>
        <v>0.24</v>
      </c>
      <c r="S15" s="7">
        <f t="shared" si="1"/>
        <v>0.24</v>
      </c>
    </row>
    <row r="16" spans="1:19" x14ac:dyDescent="0.35">
      <c r="A16" t="s">
        <v>681</v>
      </c>
      <c r="B16" s="18">
        <f t="shared" si="4"/>
        <v>2</v>
      </c>
      <c r="C16" s="7">
        <f t="shared" si="5"/>
        <v>2</v>
      </c>
      <c r="E16" t="s">
        <v>676</v>
      </c>
      <c r="F16" s="68">
        <v>0.5</v>
      </c>
      <c r="G16" s="68">
        <v>0.5</v>
      </c>
      <c r="J16" t="s">
        <v>681</v>
      </c>
      <c r="K16" s="7">
        <f>N16</f>
        <v>2</v>
      </c>
      <c r="M16" s="9" t="s">
        <v>386</v>
      </c>
      <c r="N16" s="10">
        <v>2</v>
      </c>
      <c r="O16" s="10">
        <v>4</v>
      </c>
      <c r="P16" s="10">
        <v>0.24</v>
      </c>
      <c r="R16" s="7">
        <f t="shared" si="2"/>
        <v>0.24</v>
      </c>
      <c r="S16" s="7">
        <f t="shared" si="1"/>
        <v>0.24</v>
      </c>
    </row>
    <row r="17" spans="1:19" x14ac:dyDescent="0.35">
      <c r="A17" t="s">
        <v>289</v>
      </c>
      <c r="B17" s="18">
        <f t="shared" si="4"/>
        <v>3.65</v>
      </c>
      <c r="C17" s="7">
        <f t="shared" si="5"/>
        <v>3.65</v>
      </c>
      <c r="E17" t="s">
        <v>281</v>
      </c>
      <c r="F17" s="68">
        <v>0.5</v>
      </c>
      <c r="G17" s="68">
        <v>0.5</v>
      </c>
      <c r="J17" t="s">
        <v>289</v>
      </c>
      <c r="K17" s="7">
        <f>N18</f>
        <v>3.65</v>
      </c>
      <c r="M17" s="9" t="s">
        <v>387</v>
      </c>
      <c r="N17" s="10">
        <v>1.3</v>
      </c>
      <c r="O17" s="10">
        <v>2.6</v>
      </c>
      <c r="P17" s="10">
        <v>0.24</v>
      </c>
      <c r="R17" s="7">
        <f>P20</f>
        <v>0.2</v>
      </c>
      <c r="S17" s="7">
        <f t="shared" si="1"/>
        <v>0.2</v>
      </c>
    </row>
    <row r="18" spans="1:19" x14ac:dyDescent="0.35">
      <c r="A18" t="s">
        <v>183</v>
      </c>
      <c r="B18" s="18">
        <f t="shared" si="4"/>
        <v>2.5</v>
      </c>
      <c r="C18" s="7">
        <f t="shared" si="5"/>
        <v>2.5</v>
      </c>
      <c r="E18" t="s">
        <v>151</v>
      </c>
      <c r="F18" s="68">
        <v>0.5</v>
      </c>
      <c r="G18" s="68">
        <v>0.5</v>
      </c>
      <c r="J18" t="s">
        <v>183</v>
      </c>
      <c r="K18" s="7">
        <f>N20</f>
        <v>2.5</v>
      </c>
      <c r="M18" s="9" t="s">
        <v>388</v>
      </c>
      <c r="N18" s="10">
        <v>3.65</v>
      </c>
      <c r="O18" s="10">
        <v>7.3</v>
      </c>
      <c r="P18" s="10">
        <v>0.24</v>
      </c>
      <c r="R18" s="28">
        <f>P21</f>
        <v>0.2</v>
      </c>
      <c r="S18" s="28">
        <f t="shared" si="1"/>
        <v>0.2</v>
      </c>
    </row>
    <row r="19" spans="1:19" x14ac:dyDescent="0.35">
      <c r="A19" s="26" t="s">
        <v>184</v>
      </c>
      <c r="B19" s="45">
        <f t="shared" si="4"/>
        <v>1.25</v>
      </c>
      <c r="C19" s="28">
        <f t="shared" si="5"/>
        <v>1.25</v>
      </c>
      <c r="E19" s="26" t="s">
        <v>152</v>
      </c>
      <c r="F19" s="68">
        <v>0.5</v>
      </c>
      <c r="G19" s="68">
        <v>0.5</v>
      </c>
      <c r="J19" t="s">
        <v>184</v>
      </c>
      <c r="K19" s="7">
        <f>N21</f>
        <v>1.25</v>
      </c>
      <c r="M19" s="9" t="s">
        <v>389</v>
      </c>
      <c r="N19" s="10">
        <v>6.45</v>
      </c>
      <c r="O19" s="10">
        <v>12.9</v>
      </c>
      <c r="P19" s="10">
        <v>0.24</v>
      </c>
      <c r="R19" s="7">
        <f>P23</f>
        <v>0.2</v>
      </c>
      <c r="S19" s="7">
        <f t="shared" si="1"/>
        <v>0.2</v>
      </c>
    </row>
    <row r="20" spans="1:19" x14ac:dyDescent="0.35">
      <c r="A20" t="s">
        <v>682</v>
      </c>
      <c r="B20" s="18">
        <f t="shared" si="4"/>
        <v>5.2</v>
      </c>
      <c r="C20" s="7">
        <f t="shared" si="5"/>
        <v>5.2</v>
      </c>
      <c r="E20" t="s">
        <v>716</v>
      </c>
      <c r="F20" s="68">
        <v>0.5</v>
      </c>
      <c r="G20" s="68">
        <v>0.5</v>
      </c>
      <c r="J20" t="s">
        <v>682</v>
      </c>
      <c r="K20" s="7">
        <f>N23</f>
        <v>5.2</v>
      </c>
      <c r="M20" s="9" t="s">
        <v>3</v>
      </c>
      <c r="N20" s="10">
        <v>2.5</v>
      </c>
      <c r="O20" s="10">
        <v>5</v>
      </c>
      <c r="P20" s="10">
        <v>0.2</v>
      </c>
      <c r="R20" s="28">
        <f>R19</f>
        <v>0.2</v>
      </c>
      <c r="S20" s="28">
        <f t="shared" si="1"/>
        <v>0.2</v>
      </c>
    </row>
    <row r="21" spans="1:19" x14ac:dyDescent="0.35">
      <c r="A21" t="s">
        <v>683</v>
      </c>
      <c r="B21" s="18">
        <f t="shared" si="4"/>
        <v>0.9</v>
      </c>
      <c r="C21" s="7">
        <f t="shared" si="5"/>
        <v>0.9</v>
      </c>
      <c r="E21" s="26" t="s">
        <v>677</v>
      </c>
      <c r="F21" s="68">
        <v>0.5</v>
      </c>
      <c r="G21" s="68">
        <v>0.5</v>
      </c>
      <c r="J21" t="s">
        <v>683</v>
      </c>
      <c r="K21" s="7">
        <f>N25</f>
        <v>0.9</v>
      </c>
      <c r="M21" s="9" t="s">
        <v>12</v>
      </c>
      <c r="N21" s="10">
        <v>1.25</v>
      </c>
      <c r="O21" s="10">
        <v>2.5</v>
      </c>
      <c r="P21" s="10">
        <v>0.2</v>
      </c>
    </row>
    <row r="22" spans="1:19" x14ac:dyDescent="0.35">
      <c r="A22" t="s">
        <v>186</v>
      </c>
      <c r="B22" s="18">
        <f t="shared" si="4"/>
        <v>2.6</v>
      </c>
      <c r="C22" s="7">
        <f t="shared" si="5"/>
        <v>2.6</v>
      </c>
      <c r="E22" t="s">
        <v>154</v>
      </c>
      <c r="F22" s="7">
        <f>P26</f>
        <v>1.1200000000000001</v>
      </c>
      <c r="G22" s="7">
        <f t="shared" ref="G22:G53" si="6">F22</f>
        <v>1.1200000000000001</v>
      </c>
      <c r="J22" t="s">
        <v>186</v>
      </c>
      <c r="K22" s="7">
        <f>N30</f>
        <v>2.6</v>
      </c>
      <c r="M22" s="9" t="s">
        <v>390</v>
      </c>
      <c r="N22" s="10">
        <v>3.05</v>
      </c>
      <c r="O22" s="10">
        <v>6.1</v>
      </c>
      <c r="P22" s="10">
        <v>0.2</v>
      </c>
    </row>
    <row r="23" spans="1:19" x14ac:dyDescent="0.35">
      <c r="A23" t="s">
        <v>293</v>
      </c>
      <c r="B23" s="18">
        <f t="shared" si="4"/>
        <v>3.3</v>
      </c>
      <c r="C23" s="7">
        <f t="shared" si="5"/>
        <v>3.3</v>
      </c>
      <c r="E23" t="s">
        <v>287</v>
      </c>
      <c r="F23" s="7">
        <f>F22</f>
        <v>1.1200000000000001</v>
      </c>
      <c r="G23" s="7">
        <f t="shared" si="6"/>
        <v>1.1200000000000001</v>
      </c>
      <c r="J23" t="s">
        <v>293</v>
      </c>
      <c r="K23" s="7">
        <f>N28</f>
        <v>3.3</v>
      </c>
      <c r="M23" s="9" t="s">
        <v>391</v>
      </c>
      <c r="N23" s="10">
        <v>5.2</v>
      </c>
      <c r="O23" s="10">
        <v>10.4</v>
      </c>
      <c r="P23" s="10">
        <v>0.2</v>
      </c>
    </row>
    <row r="24" spans="1:19" x14ac:dyDescent="0.35">
      <c r="A24" t="s">
        <v>292</v>
      </c>
      <c r="B24" s="18">
        <f t="shared" si="4"/>
        <v>3.65</v>
      </c>
      <c r="C24" s="7">
        <f t="shared" si="5"/>
        <v>3.65</v>
      </c>
      <c r="E24" t="s">
        <v>286</v>
      </c>
      <c r="F24" s="7">
        <f t="shared" ref="F24:F29" si="7">F23</f>
        <v>1.1200000000000001</v>
      </c>
      <c r="G24" s="7">
        <f t="shared" si="6"/>
        <v>1.1200000000000001</v>
      </c>
      <c r="J24" t="s">
        <v>292</v>
      </c>
      <c r="K24" s="7">
        <f>N29</f>
        <v>3.65</v>
      </c>
      <c r="M24" s="9" t="s">
        <v>392</v>
      </c>
      <c r="N24" s="10">
        <v>17.2</v>
      </c>
      <c r="O24" s="10">
        <v>34.4</v>
      </c>
      <c r="P24" s="10">
        <v>0.2</v>
      </c>
    </row>
    <row r="25" spans="1:19" x14ac:dyDescent="0.35">
      <c r="A25" t="s">
        <v>185</v>
      </c>
      <c r="B25" s="18">
        <f t="shared" si="4"/>
        <v>3.85</v>
      </c>
      <c r="C25" s="7">
        <f t="shared" si="5"/>
        <v>3.85</v>
      </c>
      <c r="E25" t="s">
        <v>153</v>
      </c>
      <c r="F25" s="7">
        <f t="shared" si="7"/>
        <v>1.1200000000000001</v>
      </c>
      <c r="G25" s="7">
        <f t="shared" si="6"/>
        <v>1.1200000000000001</v>
      </c>
      <c r="J25" t="s">
        <v>185</v>
      </c>
      <c r="K25" s="7">
        <f>N26</f>
        <v>3.85</v>
      </c>
      <c r="M25" s="9" t="s">
        <v>393</v>
      </c>
      <c r="N25" s="10">
        <v>0.9</v>
      </c>
      <c r="O25" s="10">
        <v>1.8</v>
      </c>
      <c r="P25" s="10">
        <v>0.2</v>
      </c>
    </row>
    <row r="26" spans="1:19" x14ac:dyDescent="0.35">
      <c r="A26" t="s">
        <v>290</v>
      </c>
      <c r="B26" s="18">
        <f t="shared" si="4"/>
        <v>4.4000000000000004</v>
      </c>
      <c r="C26" s="7">
        <f t="shared" si="5"/>
        <v>4.4000000000000004</v>
      </c>
      <c r="E26" t="s">
        <v>284</v>
      </c>
      <c r="F26" s="7">
        <f t="shared" si="7"/>
        <v>1.1200000000000001</v>
      </c>
      <c r="G26" s="7">
        <f t="shared" si="6"/>
        <v>1.1200000000000001</v>
      </c>
      <c r="J26" t="s">
        <v>290</v>
      </c>
      <c r="K26" s="7">
        <f>N27</f>
        <v>4.4000000000000004</v>
      </c>
      <c r="M26" s="9" t="s">
        <v>394</v>
      </c>
      <c r="N26" s="10">
        <v>3.85</v>
      </c>
      <c r="O26" s="10">
        <v>7.7</v>
      </c>
      <c r="P26" s="10">
        <v>1.1200000000000001</v>
      </c>
    </row>
    <row r="27" spans="1:19" x14ac:dyDescent="0.35">
      <c r="A27" t="s">
        <v>291</v>
      </c>
      <c r="B27" s="18">
        <f t="shared" si="4"/>
        <v>3.3</v>
      </c>
      <c r="C27" s="7">
        <f t="shared" si="5"/>
        <v>3.3</v>
      </c>
      <c r="E27" t="s">
        <v>285</v>
      </c>
      <c r="F27" s="7">
        <f t="shared" si="7"/>
        <v>1.1200000000000001</v>
      </c>
      <c r="G27" s="7">
        <f t="shared" si="6"/>
        <v>1.1200000000000001</v>
      </c>
      <c r="J27" t="s">
        <v>291</v>
      </c>
      <c r="K27" s="7">
        <f>N28</f>
        <v>3.3</v>
      </c>
      <c r="M27" s="9" t="s">
        <v>395</v>
      </c>
      <c r="N27" s="10">
        <v>4.4000000000000004</v>
      </c>
      <c r="O27" s="10">
        <v>8.8000000000000007</v>
      </c>
      <c r="P27" s="10">
        <v>1.1200000000000001</v>
      </c>
    </row>
    <row r="28" spans="1:19" x14ac:dyDescent="0.35">
      <c r="A28" t="s">
        <v>684</v>
      </c>
      <c r="B28" s="18">
        <f t="shared" si="4"/>
        <v>2</v>
      </c>
      <c r="C28" s="7">
        <f t="shared" si="5"/>
        <v>2</v>
      </c>
      <c r="E28" t="s">
        <v>678</v>
      </c>
      <c r="F28" s="7">
        <f t="shared" si="7"/>
        <v>1.1200000000000001</v>
      </c>
      <c r="G28" s="7">
        <f t="shared" si="6"/>
        <v>1.1200000000000001</v>
      </c>
      <c r="J28" t="s">
        <v>684</v>
      </c>
      <c r="K28" s="7">
        <f>N32</f>
        <v>2</v>
      </c>
      <c r="M28" s="9" t="s">
        <v>396</v>
      </c>
      <c r="N28" s="10">
        <v>3.3</v>
      </c>
      <c r="O28" s="10">
        <v>6.6</v>
      </c>
      <c r="P28" s="10">
        <v>1.1200000000000001</v>
      </c>
    </row>
    <row r="29" spans="1:19" x14ac:dyDescent="0.35">
      <c r="A29" s="26" t="s">
        <v>685</v>
      </c>
      <c r="B29" s="45">
        <f t="shared" si="4"/>
        <v>3.75</v>
      </c>
      <c r="C29" s="28">
        <f t="shared" si="5"/>
        <v>3.75</v>
      </c>
      <c r="E29" s="26" t="s">
        <v>679</v>
      </c>
      <c r="F29" s="28">
        <f t="shared" si="7"/>
        <v>1.1200000000000001</v>
      </c>
      <c r="G29" s="28">
        <f t="shared" si="6"/>
        <v>1.1200000000000001</v>
      </c>
      <c r="J29" t="s">
        <v>685</v>
      </c>
      <c r="K29" s="7">
        <f>N34</f>
        <v>3.75</v>
      </c>
      <c r="M29" s="9" t="s">
        <v>397</v>
      </c>
      <c r="N29" s="10">
        <v>3.65</v>
      </c>
      <c r="O29" s="10">
        <v>7.3</v>
      </c>
      <c r="P29" s="10">
        <v>1.1200000000000001</v>
      </c>
    </row>
    <row r="30" spans="1:19" x14ac:dyDescent="0.35">
      <c r="A30" s="147" t="s">
        <v>187</v>
      </c>
      <c r="B30" s="148">
        <v>0.5</v>
      </c>
      <c r="C30" s="148">
        <f t="shared" ref="C30:C38" si="8">K30</f>
        <v>3.75</v>
      </c>
      <c r="E30" t="s">
        <v>155</v>
      </c>
      <c r="F30" s="7">
        <f>P34</f>
        <v>1.26</v>
      </c>
      <c r="G30" s="7">
        <f t="shared" si="6"/>
        <v>1.26</v>
      </c>
      <c r="J30" t="s">
        <v>187</v>
      </c>
      <c r="K30" s="7">
        <f>N34</f>
        <v>3.75</v>
      </c>
      <c r="M30" s="9" t="s">
        <v>398</v>
      </c>
      <c r="N30" s="10">
        <v>2.6</v>
      </c>
      <c r="O30" s="10">
        <v>5.2</v>
      </c>
      <c r="P30" s="10">
        <v>1.1200000000000001</v>
      </c>
    </row>
    <row r="31" spans="1:19" x14ac:dyDescent="0.35">
      <c r="A31" s="147" t="s">
        <v>188</v>
      </c>
      <c r="B31" s="148">
        <v>0.5</v>
      </c>
      <c r="C31" s="148">
        <f t="shared" si="8"/>
        <v>3.4</v>
      </c>
      <c r="E31" t="s">
        <v>156</v>
      </c>
      <c r="F31" s="7">
        <f>P37</f>
        <v>1.26</v>
      </c>
      <c r="G31" s="7">
        <f t="shared" si="6"/>
        <v>1.26</v>
      </c>
      <c r="J31" t="s">
        <v>188</v>
      </c>
      <c r="K31" s="7">
        <f>N37</f>
        <v>3.4</v>
      </c>
      <c r="M31" s="9" t="s">
        <v>399</v>
      </c>
      <c r="N31" s="10">
        <v>2.7</v>
      </c>
      <c r="O31" s="10">
        <v>5.4</v>
      </c>
      <c r="P31" s="10">
        <v>1.1200000000000001</v>
      </c>
    </row>
    <row r="32" spans="1:19" x14ac:dyDescent="0.35">
      <c r="A32" s="147" t="s">
        <v>189</v>
      </c>
      <c r="B32" s="148">
        <v>0.5</v>
      </c>
      <c r="C32" s="148">
        <f t="shared" si="8"/>
        <v>2.1</v>
      </c>
      <c r="E32" t="s">
        <v>288</v>
      </c>
      <c r="F32" s="7">
        <f>P39</f>
        <v>1.26</v>
      </c>
      <c r="G32" s="7">
        <f t="shared" si="6"/>
        <v>1.26</v>
      </c>
      <c r="J32" t="s">
        <v>189</v>
      </c>
      <c r="K32" s="7">
        <f>N39</f>
        <v>2.1</v>
      </c>
      <c r="M32" s="9" t="s">
        <v>400</v>
      </c>
      <c r="N32" s="10">
        <v>2</v>
      </c>
      <c r="O32" s="10">
        <v>4</v>
      </c>
      <c r="P32" s="10">
        <v>1.1200000000000001</v>
      </c>
    </row>
    <row r="33" spans="1:16" x14ac:dyDescent="0.35">
      <c r="A33" s="147" t="s">
        <v>190</v>
      </c>
      <c r="B33" s="148">
        <v>0.5</v>
      </c>
      <c r="C33" s="148">
        <f t="shared" si="8"/>
        <v>3.3</v>
      </c>
      <c r="E33" t="s">
        <v>157</v>
      </c>
      <c r="F33" s="7">
        <f>P40</f>
        <v>1.26</v>
      </c>
      <c r="G33" s="7">
        <f t="shared" si="6"/>
        <v>1.26</v>
      </c>
      <c r="J33" t="s">
        <v>190</v>
      </c>
      <c r="K33" s="7">
        <f>N40</f>
        <v>3.3</v>
      </c>
      <c r="M33" s="9" t="s">
        <v>401</v>
      </c>
      <c r="N33" s="10">
        <v>1.1499999999999999</v>
      </c>
      <c r="O33" s="10">
        <v>2.2999999999999998</v>
      </c>
      <c r="P33" s="10">
        <v>1.1200000000000001</v>
      </c>
    </row>
    <row r="34" spans="1:16" x14ac:dyDescent="0.35">
      <c r="A34" s="147" t="s">
        <v>191</v>
      </c>
      <c r="B34" s="148">
        <v>0.5</v>
      </c>
      <c r="C34" s="148">
        <f t="shared" si="8"/>
        <v>3.3</v>
      </c>
      <c r="E34" t="s">
        <v>158</v>
      </c>
      <c r="F34" s="7">
        <f>F33</f>
        <v>1.26</v>
      </c>
      <c r="G34" s="7">
        <f t="shared" si="6"/>
        <v>1.26</v>
      </c>
      <c r="J34" t="s">
        <v>191</v>
      </c>
      <c r="K34" s="7">
        <f>N40</f>
        <v>3.3</v>
      </c>
      <c r="M34" s="9" t="s">
        <v>4</v>
      </c>
      <c r="N34" s="10">
        <v>3.75</v>
      </c>
      <c r="O34" s="10">
        <v>7.5</v>
      </c>
      <c r="P34" s="10">
        <v>1.26</v>
      </c>
    </row>
    <row r="35" spans="1:16" x14ac:dyDescent="0.35">
      <c r="A35" s="147" t="s">
        <v>192</v>
      </c>
      <c r="B35" s="148">
        <v>0.5</v>
      </c>
      <c r="C35" s="148">
        <f t="shared" si="8"/>
        <v>2.9</v>
      </c>
      <c r="E35" t="s">
        <v>159</v>
      </c>
      <c r="F35" s="7">
        <f t="shared" ref="F35:F40" si="9">F34</f>
        <v>1.26</v>
      </c>
      <c r="G35" s="7">
        <f t="shared" si="6"/>
        <v>1.26</v>
      </c>
      <c r="J35" t="s">
        <v>192</v>
      </c>
      <c r="K35" s="7">
        <f>N41</f>
        <v>2.9</v>
      </c>
      <c r="M35" s="9" t="s">
        <v>402</v>
      </c>
      <c r="N35" s="10">
        <v>3.7</v>
      </c>
      <c r="O35" s="10">
        <v>7.4</v>
      </c>
      <c r="P35" s="10">
        <v>1.26</v>
      </c>
    </row>
    <row r="36" spans="1:16" x14ac:dyDescent="0.35">
      <c r="A36" s="147" t="s">
        <v>193</v>
      </c>
      <c r="B36" s="148">
        <v>0.5</v>
      </c>
      <c r="C36" s="148">
        <f t="shared" si="8"/>
        <v>2.95</v>
      </c>
      <c r="E36" t="s">
        <v>160</v>
      </c>
      <c r="F36" s="7">
        <f t="shared" si="9"/>
        <v>1.26</v>
      </c>
      <c r="G36" s="7">
        <f t="shared" si="6"/>
        <v>1.26</v>
      </c>
      <c r="J36" t="s">
        <v>193</v>
      </c>
      <c r="K36" s="7">
        <f>N42</f>
        <v>2.95</v>
      </c>
      <c r="M36" s="9" t="s">
        <v>403</v>
      </c>
      <c r="N36" s="10">
        <v>4.05</v>
      </c>
      <c r="O36" s="10">
        <v>8.1</v>
      </c>
      <c r="P36" s="10">
        <v>1.26</v>
      </c>
    </row>
    <row r="37" spans="1:16" x14ac:dyDescent="0.35">
      <c r="A37" s="147" t="s">
        <v>194</v>
      </c>
      <c r="B37" s="148">
        <v>0.5</v>
      </c>
      <c r="C37" s="148">
        <f t="shared" si="8"/>
        <v>4.4000000000000004</v>
      </c>
      <c r="E37" t="s">
        <v>161</v>
      </c>
      <c r="F37" s="7">
        <f t="shared" si="9"/>
        <v>1.26</v>
      </c>
      <c r="G37" s="7">
        <f t="shared" si="6"/>
        <v>1.26</v>
      </c>
      <c r="J37" t="s">
        <v>194</v>
      </c>
      <c r="K37" s="7">
        <f>N47</f>
        <v>4.4000000000000004</v>
      </c>
      <c r="M37" s="9" t="s">
        <v>404</v>
      </c>
      <c r="N37" s="10">
        <v>3.4</v>
      </c>
      <c r="O37" s="10">
        <v>6.8</v>
      </c>
      <c r="P37" s="10">
        <v>1.26</v>
      </c>
    </row>
    <row r="38" spans="1:16" x14ac:dyDescent="0.35">
      <c r="A38" s="147" t="s">
        <v>195</v>
      </c>
      <c r="B38" s="148">
        <v>0.5</v>
      </c>
      <c r="C38" s="148">
        <f t="shared" si="8"/>
        <v>3.75</v>
      </c>
      <c r="E38" s="26" t="s">
        <v>162</v>
      </c>
      <c r="F38" s="28">
        <f t="shared" si="9"/>
        <v>1.26</v>
      </c>
      <c r="G38" s="28">
        <f t="shared" si="6"/>
        <v>1.26</v>
      </c>
      <c r="J38" t="s">
        <v>195</v>
      </c>
      <c r="K38" s="7">
        <f>N49</f>
        <v>3.75</v>
      </c>
      <c r="M38" s="9" t="s">
        <v>405</v>
      </c>
      <c r="N38" s="10">
        <v>2.95</v>
      </c>
      <c r="O38" s="10">
        <v>5.9</v>
      </c>
      <c r="P38" s="10">
        <v>1.26</v>
      </c>
    </row>
    <row r="39" spans="1:16" x14ac:dyDescent="0.35">
      <c r="A39" t="s">
        <v>196</v>
      </c>
      <c r="B39" s="18">
        <f t="shared" ref="B39:B53" si="10">K39</f>
        <v>2.8</v>
      </c>
      <c r="C39" s="7">
        <f t="shared" ref="C39:C53" si="11">B39</f>
        <v>2.8</v>
      </c>
      <c r="E39" t="s">
        <v>163</v>
      </c>
      <c r="F39" s="7">
        <f>F38</f>
        <v>1.26</v>
      </c>
      <c r="G39" s="7">
        <f t="shared" si="6"/>
        <v>1.26</v>
      </c>
      <c r="J39" t="s">
        <v>196</v>
      </c>
      <c r="K39" s="7">
        <f>N50</f>
        <v>2.8</v>
      </c>
      <c r="M39" s="9" t="s">
        <v>406</v>
      </c>
      <c r="N39" s="10">
        <v>2.1</v>
      </c>
      <c r="O39" s="10">
        <v>4.2</v>
      </c>
      <c r="P39" s="10">
        <v>1.26</v>
      </c>
    </row>
    <row r="40" spans="1:16" x14ac:dyDescent="0.35">
      <c r="A40" s="26" t="s">
        <v>197</v>
      </c>
      <c r="B40" s="45">
        <f t="shared" si="10"/>
        <v>2.8</v>
      </c>
      <c r="C40" s="28">
        <f t="shared" si="11"/>
        <v>2.8</v>
      </c>
      <c r="E40" t="s">
        <v>164</v>
      </c>
      <c r="F40" s="7">
        <f t="shared" si="9"/>
        <v>1.26</v>
      </c>
      <c r="G40" s="7">
        <f t="shared" si="6"/>
        <v>1.26</v>
      </c>
      <c r="J40" t="s">
        <v>197</v>
      </c>
      <c r="K40" s="7">
        <f>N52</f>
        <v>2.8</v>
      </c>
      <c r="M40" s="9" t="s">
        <v>407</v>
      </c>
      <c r="N40" s="10">
        <v>3.3</v>
      </c>
      <c r="O40" s="10">
        <v>6.6</v>
      </c>
      <c r="P40" s="10">
        <v>1.26</v>
      </c>
    </row>
    <row r="41" spans="1:16" x14ac:dyDescent="0.35">
      <c r="A41" s="68" t="s">
        <v>198</v>
      </c>
      <c r="B41" s="149">
        <f t="shared" si="10"/>
        <v>0.5</v>
      </c>
      <c r="C41" s="150">
        <f t="shared" si="11"/>
        <v>0.5</v>
      </c>
      <c r="E41" s="26" t="s">
        <v>165</v>
      </c>
      <c r="F41" s="28">
        <f>P54</f>
        <v>1.68</v>
      </c>
      <c r="G41" s="28">
        <f t="shared" si="6"/>
        <v>1.68</v>
      </c>
      <c r="J41" t="s">
        <v>198</v>
      </c>
      <c r="K41" s="7">
        <v>0.5</v>
      </c>
      <c r="M41" s="9" t="s">
        <v>408</v>
      </c>
      <c r="N41" s="10">
        <v>2.9</v>
      </c>
      <c r="O41" s="10">
        <v>5.8</v>
      </c>
      <c r="P41" s="10">
        <v>1.26</v>
      </c>
    </row>
    <row r="42" spans="1:16" x14ac:dyDescent="0.35">
      <c r="A42" s="68" t="s">
        <v>199</v>
      </c>
      <c r="B42" s="149">
        <f t="shared" si="10"/>
        <v>0.5</v>
      </c>
      <c r="C42" s="150">
        <f t="shared" si="11"/>
        <v>0.5</v>
      </c>
      <c r="E42" t="s">
        <v>166</v>
      </c>
      <c r="F42" s="7">
        <f>F41</f>
        <v>1.68</v>
      </c>
      <c r="G42" s="7">
        <f t="shared" si="6"/>
        <v>1.68</v>
      </c>
      <c r="J42" t="s">
        <v>199</v>
      </c>
      <c r="K42" s="7">
        <v>0.5</v>
      </c>
      <c r="M42" s="9" t="s">
        <v>409</v>
      </c>
      <c r="N42" s="10">
        <v>2.95</v>
      </c>
      <c r="O42" s="10">
        <v>5.9</v>
      </c>
      <c r="P42" s="10">
        <v>1.26</v>
      </c>
    </row>
    <row r="43" spans="1:16" x14ac:dyDescent="0.35">
      <c r="A43" s="68" t="s">
        <v>200</v>
      </c>
      <c r="B43" s="149">
        <f t="shared" si="10"/>
        <v>0.5</v>
      </c>
      <c r="C43" s="150">
        <f t="shared" si="11"/>
        <v>0.5</v>
      </c>
      <c r="E43" t="s">
        <v>167</v>
      </c>
      <c r="F43" s="7">
        <f>F42</f>
        <v>1.68</v>
      </c>
      <c r="G43" s="7">
        <f t="shared" si="6"/>
        <v>1.68</v>
      </c>
      <c r="J43" t="s">
        <v>200</v>
      </c>
      <c r="K43" s="7">
        <v>0.5</v>
      </c>
      <c r="M43" s="9" t="s">
        <v>410</v>
      </c>
      <c r="N43" s="10">
        <v>4.2</v>
      </c>
      <c r="O43" s="10">
        <v>8.4</v>
      </c>
      <c r="P43" s="10">
        <v>1.26</v>
      </c>
    </row>
    <row r="44" spans="1:16" x14ac:dyDescent="0.35">
      <c r="A44" s="68" t="s">
        <v>201</v>
      </c>
      <c r="B44" s="149">
        <f t="shared" si="10"/>
        <v>0.5</v>
      </c>
      <c r="C44" s="150">
        <f t="shared" si="11"/>
        <v>0.5</v>
      </c>
      <c r="E44" t="s">
        <v>168</v>
      </c>
      <c r="F44" s="7">
        <f>P62</f>
        <v>1.26</v>
      </c>
      <c r="G44" s="7">
        <f t="shared" si="6"/>
        <v>1.26</v>
      </c>
      <c r="J44" t="s">
        <v>201</v>
      </c>
      <c r="K44" s="7">
        <v>0.5</v>
      </c>
      <c r="M44" s="9" t="s">
        <v>411</v>
      </c>
      <c r="N44" s="10">
        <v>3.75</v>
      </c>
      <c r="O44" s="10">
        <v>7.5</v>
      </c>
      <c r="P44" s="10">
        <v>1.26</v>
      </c>
    </row>
    <row r="45" spans="1:16" x14ac:dyDescent="0.35">
      <c r="A45" s="68" t="s">
        <v>549</v>
      </c>
      <c r="B45" s="149">
        <f t="shared" si="10"/>
        <v>0.5</v>
      </c>
      <c r="C45" s="150">
        <f t="shared" si="11"/>
        <v>0.5</v>
      </c>
      <c r="E45" t="s">
        <v>548</v>
      </c>
      <c r="F45" s="7">
        <f>F44</f>
        <v>1.26</v>
      </c>
      <c r="G45" s="7">
        <f t="shared" si="6"/>
        <v>1.26</v>
      </c>
      <c r="J45" t="s">
        <v>549</v>
      </c>
      <c r="K45" s="7">
        <v>0.5</v>
      </c>
      <c r="M45" s="9" t="s">
        <v>412</v>
      </c>
      <c r="N45" s="10">
        <v>2.8</v>
      </c>
      <c r="O45" s="10">
        <v>5.6</v>
      </c>
      <c r="P45" s="10">
        <v>1.26</v>
      </c>
    </row>
    <row r="46" spans="1:16" x14ac:dyDescent="0.35">
      <c r="A46" s="68" t="s">
        <v>202</v>
      </c>
      <c r="B46" s="149">
        <f t="shared" si="10"/>
        <v>0.5</v>
      </c>
      <c r="C46" s="150">
        <f t="shared" si="11"/>
        <v>0.5</v>
      </c>
      <c r="E46" t="s">
        <v>169</v>
      </c>
      <c r="F46" s="7">
        <f t="shared" ref="F46:F53" si="12">F45</f>
        <v>1.26</v>
      </c>
      <c r="G46" s="7">
        <f t="shared" si="6"/>
        <v>1.26</v>
      </c>
      <c r="J46" t="s">
        <v>202</v>
      </c>
      <c r="K46" s="7">
        <v>0.5</v>
      </c>
      <c r="M46" s="9" t="s">
        <v>413</v>
      </c>
      <c r="N46" s="10">
        <v>4.3</v>
      </c>
      <c r="O46" s="10">
        <v>8.6</v>
      </c>
      <c r="P46" s="10">
        <v>1.26</v>
      </c>
    </row>
    <row r="47" spans="1:16" x14ac:dyDescent="0.35">
      <c r="A47" s="68" t="s">
        <v>203</v>
      </c>
      <c r="B47" s="149">
        <f t="shared" si="10"/>
        <v>0.5</v>
      </c>
      <c r="C47" s="150">
        <f t="shared" si="11"/>
        <v>0.5</v>
      </c>
      <c r="E47" t="s">
        <v>170</v>
      </c>
      <c r="F47" s="7">
        <f t="shared" si="12"/>
        <v>1.26</v>
      </c>
      <c r="G47" s="7">
        <f t="shared" si="6"/>
        <v>1.26</v>
      </c>
      <c r="J47" t="s">
        <v>203</v>
      </c>
      <c r="K47" s="7">
        <v>0.5</v>
      </c>
      <c r="M47" s="9" t="s">
        <v>414</v>
      </c>
      <c r="N47" s="10">
        <v>4.4000000000000004</v>
      </c>
      <c r="O47" s="10">
        <v>8.8000000000000007</v>
      </c>
      <c r="P47" s="10">
        <v>1.26</v>
      </c>
    </row>
    <row r="48" spans="1:16" x14ac:dyDescent="0.35">
      <c r="A48" s="68" t="s">
        <v>204</v>
      </c>
      <c r="B48" s="149">
        <f t="shared" si="10"/>
        <v>0.5</v>
      </c>
      <c r="C48" s="150">
        <f t="shared" si="11"/>
        <v>0.5</v>
      </c>
      <c r="E48" t="s">
        <v>171</v>
      </c>
      <c r="F48" s="7">
        <f t="shared" si="12"/>
        <v>1.26</v>
      </c>
      <c r="G48" s="7">
        <f t="shared" si="6"/>
        <v>1.26</v>
      </c>
      <c r="J48" t="s">
        <v>204</v>
      </c>
      <c r="K48" s="7">
        <v>0.5</v>
      </c>
      <c r="M48" s="9" t="s">
        <v>415</v>
      </c>
      <c r="N48" s="10">
        <v>4.05</v>
      </c>
      <c r="O48" s="10">
        <v>8.1</v>
      </c>
      <c r="P48" s="10">
        <v>1.26</v>
      </c>
    </row>
    <row r="49" spans="1:16" x14ac:dyDescent="0.35">
      <c r="A49" s="68" t="s">
        <v>205</v>
      </c>
      <c r="B49" s="149">
        <f t="shared" si="10"/>
        <v>0.5</v>
      </c>
      <c r="C49" s="150">
        <f t="shared" si="11"/>
        <v>0.5</v>
      </c>
      <c r="E49" t="s">
        <v>172</v>
      </c>
      <c r="F49" s="7">
        <f t="shared" si="12"/>
        <v>1.26</v>
      </c>
      <c r="G49" s="7">
        <f t="shared" si="6"/>
        <v>1.26</v>
      </c>
      <c r="J49" t="s">
        <v>205</v>
      </c>
      <c r="K49" s="7">
        <v>0.5</v>
      </c>
      <c r="M49" s="9" t="s">
        <v>416</v>
      </c>
      <c r="N49" s="10">
        <v>3.75</v>
      </c>
      <c r="O49" s="10">
        <v>7.5</v>
      </c>
      <c r="P49" s="10">
        <v>1.26</v>
      </c>
    </row>
    <row r="50" spans="1:16" x14ac:dyDescent="0.35">
      <c r="A50" s="68" t="s">
        <v>206</v>
      </c>
      <c r="B50" s="149">
        <f t="shared" si="10"/>
        <v>0.5</v>
      </c>
      <c r="C50" s="150">
        <f t="shared" si="11"/>
        <v>0.5</v>
      </c>
      <c r="E50" t="s">
        <v>173</v>
      </c>
      <c r="F50" s="7">
        <f t="shared" si="12"/>
        <v>1.26</v>
      </c>
      <c r="G50" s="7">
        <f t="shared" si="6"/>
        <v>1.26</v>
      </c>
      <c r="J50" t="s">
        <v>206</v>
      </c>
      <c r="K50" s="7">
        <v>0.5</v>
      </c>
      <c r="M50" s="9" t="s">
        <v>417</v>
      </c>
      <c r="N50" s="10">
        <v>2.8</v>
      </c>
      <c r="O50" s="10">
        <v>5.6</v>
      </c>
      <c r="P50" s="10">
        <v>1.26</v>
      </c>
    </row>
    <row r="51" spans="1:16" x14ac:dyDescent="0.35">
      <c r="A51" s="68" t="s">
        <v>207</v>
      </c>
      <c r="B51" s="149">
        <f t="shared" si="10"/>
        <v>0.5</v>
      </c>
      <c r="C51" s="150">
        <f t="shared" si="11"/>
        <v>0.5</v>
      </c>
      <c r="E51" t="s">
        <v>174</v>
      </c>
      <c r="F51" s="7">
        <f t="shared" si="12"/>
        <v>1.26</v>
      </c>
      <c r="G51" s="7">
        <f t="shared" si="6"/>
        <v>1.26</v>
      </c>
      <c r="J51" t="s">
        <v>207</v>
      </c>
      <c r="K51" s="7">
        <v>0.5</v>
      </c>
      <c r="M51" s="9" t="s">
        <v>418</v>
      </c>
      <c r="N51" s="10">
        <v>2.8</v>
      </c>
      <c r="O51" s="10">
        <v>5.6</v>
      </c>
      <c r="P51" s="10">
        <v>1.26</v>
      </c>
    </row>
    <row r="52" spans="1:16" x14ac:dyDescent="0.35">
      <c r="A52" s="68" t="s">
        <v>208</v>
      </c>
      <c r="B52" s="149">
        <f t="shared" si="10"/>
        <v>0.5</v>
      </c>
      <c r="C52" s="150">
        <f t="shared" si="11"/>
        <v>0.5</v>
      </c>
      <c r="E52" t="s">
        <v>175</v>
      </c>
      <c r="F52" s="7">
        <f t="shared" si="12"/>
        <v>1.26</v>
      </c>
      <c r="G52" s="7">
        <f t="shared" si="6"/>
        <v>1.26</v>
      </c>
      <c r="J52" t="s">
        <v>208</v>
      </c>
      <c r="K52" s="7">
        <v>0.5</v>
      </c>
      <c r="M52" s="9" t="s">
        <v>419</v>
      </c>
      <c r="N52" s="10">
        <v>2.8</v>
      </c>
      <c r="O52" s="10">
        <v>5.6</v>
      </c>
      <c r="P52" s="10">
        <v>1.26</v>
      </c>
    </row>
    <row r="53" spans="1:16" x14ac:dyDescent="0.35">
      <c r="A53" s="68" t="s">
        <v>209</v>
      </c>
      <c r="B53" s="149">
        <f t="shared" si="10"/>
        <v>0.5</v>
      </c>
      <c r="C53" s="150">
        <f t="shared" si="11"/>
        <v>0.5</v>
      </c>
      <c r="E53" t="s">
        <v>176</v>
      </c>
      <c r="F53" s="7">
        <f t="shared" si="12"/>
        <v>1.26</v>
      </c>
      <c r="G53" s="7">
        <f t="shared" si="6"/>
        <v>1.26</v>
      </c>
      <c r="J53" t="s">
        <v>209</v>
      </c>
      <c r="K53" s="7">
        <v>0.5</v>
      </c>
      <c r="M53" s="9" t="s">
        <v>6</v>
      </c>
      <c r="N53" s="10">
        <v>1.9</v>
      </c>
      <c r="O53" s="10">
        <v>3.8</v>
      </c>
      <c r="P53" s="10">
        <v>1.68</v>
      </c>
    </row>
    <row r="54" spans="1:16" x14ac:dyDescent="0.35">
      <c r="M54" s="9" t="s">
        <v>420</v>
      </c>
      <c r="N54" s="10">
        <v>1.9</v>
      </c>
      <c r="O54" s="10">
        <v>3.8</v>
      </c>
      <c r="P54" s="10">
        <v>1.68</v>
      </c>
    </row>
    <row r="55" spans="1:16" x14ac:dyDescent="0.35">
      <c r="M55" s="9" t="s">
        <v>421</v>
      </c>
      <c r="N55" s="10">
        <v>1.9</v>
      </c>
      <c r="O55" s="10">
        <v>3.8</v>
      </c>
      <c r="P55" s="10">
        <v>1.68</v>
      </c>
    </row>
    <row r="56" spans="1:16" x14ac:dyDescent="0.35">
      <c r="M56" s="9" t="s">
        <v>422</v>
      </c>
      <c r="N56" s="10">
        <v>1.9</v>
      </c>
      <c r="O56" s="10">
        <v>3.8</v>
      </c>
      <c r="P56" s="10">
        <v>1.68</v>
      </c>
    </row>
    <row r="57" spans="1:16" x14ac:dyDescent="0.35">
      <c r="M57" s="9" t="s">
        <v>423</v>
      </c>
      <c r="N57" s="10">
        <v>1.9</v>
      </c>
      <c r="O57" s="10">
        <v>3.8</v>
      </c>
      <c r="P57" s="10">
        <v>1.68</v>
      </c>
    </row>
    <row r="58" spans="1:16" x14ac:dyDescent="0.35">
      <c r="M58" s="9" t="s">
        <v>424</v>
      </c>
      <c r="N58" s="10">
        <v>1.9</v>
      </c>
      <c r="O58" s="10">
        <v>3.8</v>
      </c>
      <c r="P58" s="10">
        <v>1.26</v>
      </c>
    </row>
    <row r="59" spans="1:16" x14ac:dyDescent="0.35">
      <c r="M59" s="9" t="s">
        <v>425</v>
      </c>
      <c r="N59" s="10">
        <v>1.9</v>
      </c>
      <c r="O59" s="10">
        <v>3.8</v>
      </c>
      <c r="P59" s="10">
        <v>1.26</v>
      </c>
    </row>
    <row r="60" spans="1:16" x14ac:dyDescent="0.35">
      <c r="M60" s="9" t="s">
        <v>426</v>
      </c>
      <c r="N60" s="10">
        <v>1.9</v>
      </c>
      <c r="O60" s="10">
        <v>3.8</v>
      </c>
      <c r="P60" s="10">
        <v>1.26</v>
      </c>
    </row>
    <row r="61" spans="1:16" x14ac:dyDescent="0.35">
      <c r="M61" s="9" t="s">
        <v>427</v>
      </c>
      <c r="N61" s="10">
        <v>1.9</v>
      </c>
      <c r="O61" s="10">
        <v>3.8</v>
      </c>
      <c r="P61" s="10">
        <v>1.26</v>
      </c>
    </row>
    <row r="62" spans="1:16" x14ac:dyDescent="0.35">
      <c r="M62" s="9" t="s">
        <v>428</v>
      </c>
      <c r="N62" s="10">
        <v>1.9</v>
      </c>
      <c r="O62" s="10">
        <v>3.8</v>
      </c>
      <c r="P62" s="10">
        <v>1.26</v>
      </c>
    </row>
    <row r="63" spans="1:16" x14ac:dyDescent="0.35">
      <c r="M63" s="9" t="s">
        <v>429</v>
      </c>
      <c r="N63" s="10">
        <v>1.9</v>
      </c>
      <c r="O63" s="10">
        <v>3.8</v>
      </c>
      <c r="P63" s="10">
        <v>1.26</v>
      </c>
    </row>
    <row r="64" spans="1:16" x14ac:dyDescent="0.35">
      <c r="M64" s="9" t="s">
        <v>430</v>
      </c>
      <c r="N64" s="10">
        <v>1.9</v>
      </c>
      <c r="O64" s="10">
        <v>3.8</v>
      </c>
      <c r="P64" s="10">
        <v>1.26</v>
      </c>
    </row>
    <row r="98" spans="6:7" x14ac:dyDescent="0.35">
      <c r="F98" s="7"/>
      <c r="G98" s="7"/>
    </row>
    <row r="99" spans="6:7" x14ac:dyDescent="0.35">
      <c r="F99" s="7"/>
      <c r="G99" s="7"/>
    </row>
    <row r="100" spans="6:7" x14ac:dyDescent="0.35">
      <c r="F100" s="7"/>
      <c r="G100" s="7"/>
    </row>
    <row r="101" spans="6:7" x14ac:dyDescent="0.35">
      <c r="F101" s="7"/>
      <c r="G101" s="7"/>
    </row>
    <row r="102" spans="6:7" x14ac:dyDescent="0.35">
      <c r="F102" s="7"/>
      <c r="G102" s="7"/>
    </row>
    <row r="103" spans="6:7" x14ac:dyDescent="0.35">
      <c r="F103" s="7"/>
      <c r="G103" s="7"/>
    </row>
    <row r="104" spans="6:7" x14ac:dyDescent="0.35">
      <c r="F104" s="7"/>
      <c r="G104" s="7"/>
    </row>
    <row r="105" spans="6:7" x14ac:dyDescent="0.35">
      <c r="F105" s="7"/>
      <c r="G105" s="7"/>
    </row>
    <row r="106" spans="6:7" x14ac:dyDescent="0.35">
      <c r="F106" s="7"/>
      <c r="G106" s="7"/>
    </row>
    <row r="107" spans="6:7" x14ac:dyDescent="0.35">
      <c r="F107" s="7"/>
      <c r="G107" s="7"/>
    </row>
    <row r="108" spans="6:7" x14ac:dyDescent="0.35">
      <c r="F108" s="7"/>
      <c r="G108" s="7"/>
    </row>
    <row r="109" spans="6:7" x14ac:dyDescent="0.35">
      <c r="F109" s="7"/>
      <c r="G109" s="7"/>
    </row>
    <row r="110" spans="6:7" x14ac:dyDescent="0.35">
      <c r="F110" s="7"/>
      <c r="G110" s="7"/>
    </row>
    <row r="111" spans="6:7" x14ac:dyDescent="0.35">
      <c r="F111" s="7"/>
      <c r="G111" s="7"/>
    </row>
    <row r="112" spans="6:7" x14ac:dyDescent="0.35">
      <c r="F112" s="7"/>
      <c r="G112" s="7"/>
    </row>
    <row r="113" spans="6:7" x14ac:dyDescent="0.35">
      <c r="F113" s="7"/>
      <c r="G113" s="7"/>
    </row>
    <row r="114" spans="6:7" x14ac:dyDescent="0.35">
      <c r="F114" s="7"/>
      <c r="G114" s="7"/>
    </row>
    <row r="115" spans="6:7" x14ac:dyDescent="0.35">
      <c r="F115" s="7"/>
      <c r="G115" s="7"/>
    </row>
    <row r="116" spans="6:7" x14ac:dyDescent="0.35">
      <c r="F116" s="7"/>
      <c r="G116" s="7"/>
    </row>
    <row r="117" spans="6:7" x14ac:dyDescent="0.35">
      <c r="F117" s="7"/>
      <c r="G117" s="7"/>
    </row>
    <row r="118" spans="6:7" x14ac:dyDescent="0.35">
      <c r="F118" s="7"/>
      <c r="G118" s="7"/>
    </row>
    <row r="119" spans="6:7" x14ac:dyDescent="0.35">
      <c r="F119" s="7"/>
      <c r="G119" s="7"/>
    </row>
    <row r="120" spans="6:7" x14ac:dyDescent="0.35">
      <c r="F120" s="7"/>
      <c r="G120" s="7"/>
    </row>
    <row r="121" spans="6:7" x14ac:dyDescent="0.35">
      <c r="F121" s="7"/>
      <c r="G121" s="7"/>
    </row>
    <row r="122" spans="6:7" x14ac:dyDescent="0.35">
      <c r="F122" s="7"/>
      <c r="G122" s="7"/>
    </row>
    <row r="123" spans="6:7" x14ac:dyDescent="0.35">
      <c r="F123" s="7"/>
      <c r="G123" s="7"/>
    </row>
    <row r="124" spans="6:7" x14ac:dyDescent="0.35">
      <c r="F124" s="7"/>
      <c r="G124" s="7"/>
    </row>
    <row r="125" spans="6:7" x14ac:dyDescent="0.35">
      <c r="F125" s="7"/>
      <c r="G125" s="7"/>
    </row>
    <row r="126" spans="6:7" x14ac:dyDescent="0.35">
      <c r="F126" s="7"/>
      <c r="G126" s="7"/>
    </row>
    <row r="127" spans="6:7" x14ac:dyDescent="0.35">
      <c r="F127" s="7"/>
      <c r="G127" s="7"/>
    </row>
    <row r="128" spans="6:7" x14ac:dyDescent="0.35">
      <c r="F128" s="7"/>
      <c r="G128" s="7"/>
    </row>
    <row r="129" spans="6:7" x14ac:dyDescent="0.35">
      <c r="F129" s="7"/>
      <c r="G129" s="7"/>
    </row>
    <row r="130" spans="6:7" x14ac:dyDescent="0.35">
      <c r="F130" s="7"/>
      <c r="G130" s="7"/>
    </row>
    <row r="131" spans="6:7" x14ac:dyDescent="0.35">
      <c r="F131" s="7"/>
      <c r="G131" s="7"/>
    </row>
    <row r="132" spans="6:7" x14ac:dyDescent="0.35">
      <c r="F132" s="7"/>
      <c r="G132" s="7"/>
    </row>
    <row r="133" spans="6:7" x14ac:dyDescent="0.35">
      <c r="F133" s="7"/>
      <c r="G133" s="7"/>
    </row>
    <row r="134" spans="6:7" x14ac:dyDescent="0.35">
      <c r="F134" s="7"/>
      <c r="G134" s="7"/>
    </row>
    <row r="135" spans="6:7" x14ac:dyDescent="0.35">
      <c r="F135" s="7"/>
      <c r="G135" s="7"/>
    </row>
    <row r="136" spans="6:7" x14ac:dyDescent="0.35">
      <c r="F136" s="7"/>
      <c r="G136" s="7"/>
    </row>
    <row r="137" spans="6:7" x14ac:dyDescent="0.35">
      <c r="F137" s="7"/>
      <c r="G137" s="7"/>
    </row>
    <row r="138" spans="6:7" x14ac:dyDescent="0.35">
      <c r="F138" s="7"/>
      <c r="G138" s="7"/>
    </row>
    <row r="139" spans="6:7" x14ac:dyDescent="0.35">
      <c r="F139" s="7"/>
      <c r="G139" s="7"/>
    </row>
    <row r="140" spans="6:7" x14ac:dyDescent="0.35">
      <c r="F140" s="7"/>
      <c r="G140" s="7"/>
    </row>
    <row r="141" spans="6:7" x14ac:dyDescent="0.35">
      <c r="F141" s="7"/>
      <c r="G141" s="7"/>
    </row>
    <row r="142" spans="6:7" x14ac:dyDescent="0.35">
      <c r="F142" s="7"/>
      <c r="G142" s="7"/>
    </row>
    <row r="143" spans="6:7" x14ac:dyDescent="0.35">
      <c r="F143" s="7"/>
      <c r="G143" s="7"/>
    </row>
    <row r="144" spans="6:7" x14ac:dyDescent="0.35">
      <c r="F144" s="7"/>
      <c r="G144" s="7"/>
    </row>
    <row r="145" spans="6:7" x14ac:dyDescent="0.35">
      <c r="F145" s="7"/>
      <c r="G145" s="7"/>
    </row>
    <row r="146" spans="6:7" x14ac:dyDescent="0.35">
      <c r="F146" s="7"/>
      <c r="G146" s="7"/>
    </row>
    <row r="147" spans="6:7" x14ac:dyDescent="0.35">
      <c r="F147" s="7"/>
      <c r="G147" s="7"/>
    </row>
    <row r="148" spans="6:7" x14ac:dyDescent="0.35">
      <c r="F148" s="7"/>
      <c r="G148" s="7"/>
    </row>
    <row r="149" spans="6:7" x14ac:dyDescent="0.35">
      <c r="F149" s="7"/>
      <c r="G149" s="7"/>
    </row>
    <row r="150" spans="6:7" x14ac:dyDescent="0.35">
      <c r="F150" s="7"/>
      <c r="G150" s="7"/>
    </row>
    <row r="151" spans="6:7" x14ac:dyDescent="0.35">
      <c r="F151" s="7"/>
      <c r="G151" s="7"/>
    </row>
    <row r="152" spans="6:7" x14ac:dyDescent="0.35">
      <c r="F152" s="7"/>
      <c r="G152" s="7"/>
    </row>
    <row r="153" spans="6:7" x14ac:dyDescent="0.35">
      <c r="F153" s="7"/>
      <c r="G153" s="7"/>
    </row>
    <row r="154" spans="6:7" x14ac:dyDescent="0.35">
      <c r="F154" s="7"/>
      <c r="G154" s="7"/>
    </row>
    <row r="155" spans="6:7" x14ac:dyDescent="0.35">
      <c r="F155" s="7"/>
      <c r="G155" s="7"/>
    </row>
    <row r="156" spans="6:7" x14ac:dyDescent="0.35">
      <c r="F156" s="7"/>
      <c r="G156" s="7"/>
    </row>
    <row r="157" spans="6:7" x14ac:dyDescent="0.35">
      <c r="F157" s="7"/>
      <c r="G157" s="7"/>
    </row>
    <row r="158" spans="6:7" x14ac:dyDescent="0.35">
      <c r="F158" s="7"/>
      <c r="G158" s="7"/>
    </row>
    <row r="159" spans="6:7" x14ac:dyDescent="0.35">
      <c r="F159" s="7"/>
      <c r="G159" s="7"/>
    </row>
    <row r="160" spans="6:7" x14ac:dyDescent="0.35">
      <c r="F160" s="7"/>
      <c r="G160" s="7"/>
    </row>
    <row r="161" spans="6:7" x14ac:dyDescent="0.35">
      <c r="F161" s="7"/>
      <c r="G161" s="7"/>
    </row>
    <row r="162" spans="6:7" x14ac:dyDescent="0.35">
      <c r="F162" s="7"/>
      <c r="G162" s="7"/>
    </row>
    <row r="163" spans="6:7" x14ac:dyDescent="0.35">
      <c r="F163" s="7"/>
      <c r="G163" s="7"/>
    </row>
    <row r="164" spans="6:7" x14ac:dyDescent="0.35">
      <c r="F164" s="7"/>
      <c r="G164" s="7"/>
    </row>
    <row r="165" spans="6:7" x14ac:dyDescent="0.35">
      <c r="F165" s="7"/>
      <c r="G165" s="7"/>
    </row>
    <row r="166" spans="6:7" x14ac:dyDescent="0.35">
      <c r="F166" s="7"/>
      <c r="G166" s="7"/>
    </row>
    <row r="167" spans="6:7" x14ac:dyDescent="0.35">
      <c r="F167" s="7"/>
      <c r="G167" s="7"/>
    </row>
    <row r="168" spans="6:7" x14ac:dyDescent="0.35">
      <c r="F168" s="7"/>
      <c r="G168" s="7"/>
    </row>
    <row r="169" spans="6:7" x14ac:dyDescent="0.35">
      <c r="F169" s="7"/>
      <c r="G169" s="7"/>
    </row>
    <row r="170" spans="6:7" x14ac:dyDescent="0.35">
      <c r="F170" s="7"/>
      <c r="G170" s="7"/>
    </row>
    <row r="171" spans="6:7" x14ac:dyDescent="0.35">
      <c r="F171" s="7"/>
      <c r="G171" s="7"/>
    </row>
    <row r="172" spans="6:7" x14ac:dyDescent="0.35">
      <c r="F172" s="7"/>
      <c r="G172" s="7"/>
    </row>
    <row r="173" spans="6:7" x14ac:dyDescent="0.35">
      <c r="F173" s="7"/>
      <c r="G173" s="7"/>
    </row>
    <row r="174" spans="6:7" x14ac:dyDescent="0.35">
      <c r="F174" s="7"/>
      <c r="G174" s="7"/>
    </row>
    <row r="175" spans="6:7" x14ac:dyDescent="0.35">
      <c r="F175" s="7"/>
      <c r="G175" s="7"/>
    </row>
    <row r="176" spans="6:7" x14ac:dyDescent="0.35">
      <c r="F176" s="7"/>
      <c r="G176" s="7"/>
    </row>
    <row r="177" spans="6:7" x14ac:dyDescent="0.35">
      <c r="F177" s="7"/>
      <c r="G177" s="7"/>
    </row>
    <row r="178" spans="6:7" x14ac:dyDescent="0.35">
      <c r="F178" s="7"/>
      <c r="G178" s="7"/>
    </row>
    <row r="179" spans="6:7" x14ac:dyDescent="0.35">
      <c r="F179" s="7"/>
      <c r="G179" s="7"/>
    </row>
    <row r="180" spans="6:7" x14ac:dyDescent="0.35">
      <c r="F180" s="7"/>
      <c r="G180" s="7"/>
    </row>
    <row r="181" spans="6:7" x14ac:dyDescent="0.35">
      <c r="F181" s="7"/>
      <c r="G181" s="7"/>
    </row>
    <row r="182" spans="6:7" x14ac:dyDescent="0.35">
      <c r="F182" s="7"/>
      <c r="G182" s="7"/>
    </row>
    <row r="183" spans="6:7" x14ac:dyDescent="0.35">
      <c r="F183" s="7"/>
      <c r="G183" s="7"/>
    </row>
    <row r="184" spans="6:7" x14ac:dyDescent="0.35">
      <c r="F184" s="7"/>
      <c r="G184" s="7"/>
    </row>
    <row r="185" spans="6:7" x14ac:dyDescent="0.35">
      <c r="F185" s="7"/>
      <c r="G185" s="7"/>
    </row>
    <row r="186" spans="6:7" x14ac:dyDescent="0.35">
      <c r="F186" s="7"/>
      <c r="G186" s="7"/>
    </row>
    <row r="187" spans="6:7" x14ac:dyDescent="0.35">
      <c r="F187" s="7"/>
      <c r="G187" s="7"/>
    </row>
    <row r="188" spans="6:7" x14ac:dyDescent="0.35">
      <c r="F188" s="7"/>
      <c r="G188" s="7"/>
    </row>
    <row r="189" spans="6:7" x14ac:dyDescent="0.35">
      <c r="F189" s="7"/>
      <c r="G189" s="7"/>
    </row>
    <row r="190" spans="6:7" x14ac:dyDescent="0.35">
      <c r="F190" s="7"/>
      <c r="G190" s="7"/>
    </row>
    <row r="191" spans="6:7" x14ac:dyDescent="0.35">
      <c r="F191" s="7"/>
      <c r="G191" s="7"/>
    </row>
    <row r="192" spans="6:7" x14ac:dyDescent="0.35">
      <c r="F192" s="7"/>
      <c r="G192" s="7"/>
    </row>
    <row r="193" spans="6:7" x14ac:dyDescent="0.35">
      <c r="F193" s="7"/>
      <c r="G193" s="7"/>
    </row>
    <row r="194" spans="6:7" x14ac:dyDescent="0.35">
      <c r="F194" s="7"/>
      <c r="G194" s="7"/>
    </row>
    <row r="195" spans="6:7" x14ac:dyDescent="0.35">
      <c r="F195" s="7"/>
      <c r="G195" s="7"/>
    </row>
    <row r="196" spans="6:7" x14ac:dyDescent="0.35">
      <c r="F196" s="7"/>
      <c r="G196" s="7"/>
    </row>
    <row r="197" spans="6:7" x14ac:dyDescent="0.35">
      <c r="F197" s="7"/>
      <c r="G197" s="7"/>
    </row>
    <row r="198" spans="6:7" x14ac:dyDescent="0.35">
      <c r="F198" s="7"/>
      <c r="G198" s="7"/>
    </row>
    <row r="199" spans="6:7" x14ac:dyDescent="0.35">
      <c r="F199" s="7"/>
      <c r="G199" s="7"/>
    </row>
    <row r="200" spans="6:7" x14ac:dyDescent="0.35">
      <c r="F200" s="7"/>
      <c r="G200" s="7"/>
    </row>
    <row r="201" spans="6:7" x14ac:dyDescent="0.35">
      <c r="F201" s="7"/>
      <c r="G201" s="7"/>
    </row>
    <row r="202" spans="6:7" x14ac:dyDescent="0.35">
      <c r="F202" s="7"/>
      <c r="G202" s="7"/>
    </row>
    <row r="203" spans="6:7" x14ac:dyDescent="0.35">
      <c r="F203" s="7"/>
      <c r="G203" s="7"/>
    </row>
    <row r="204" spans="6:7" x14ac:dyDescent="0.35">
      <c r="F204" s="7"/>
      <c r="G204" s="7"/>
    </row>
    <row r="205" spans="6:7" x14ac:dyDescent="0.35">
      <c r="F205" s="7"/>
      <c r="G205" s="7"/>
    </row>
    <row r="206" spans="6:7" x14ac:dyDescent="0.35">
      <c r="F206" s="7"/>
      <c r="G206" s="7"/>
    </row>
    <row r="207" spans="6:7" x14ac:dyDescent="0.35">
      <c r="F207" s="7"/>
      <c r="G207" s="7"/>
    </row>
    <row r="208" spans="6:7" x14ac:dyDescent="0.35">
      <c r="F208" s="7"/>
      <c r="G208" s="7"/>
    </row>
    <row r="209" spans="6:7" x14ac:dyDescent="0.35">
      <c r="F209" s="7"/>
      <c r="G209" s="7"/>
    </row>
    <row r="210" spans="6:7" x14ac:dyDescent="0.35">
      <c r="F210" s="7"/>
      <c r="G210" s="7"/>
    </row>
    <row r="211" spans="6:7" x14ac:dyDescent="0.35">
      <c r="F211" s="7"/>
      <c r="G211" s="7"/>
    </row>
    <row r="212" spans="6:7" x14ac:dyDescent="0.35">
      <c r="F212" s="7"/>
      <c r="G212" s="7"/>
    </row>
    <row r="213" spans="6:7" x14ac:dyDescent="0.35">
      <c r="F213" s="7"/>
      <c r="G213" s="7"/>
    </row>
    <row r="214" spans="6:7" x14ac:dyDescent="0.35">
      <c r="F214" s="7"/>
      <c r="G214" s="7"/>
    </row>
    <row r="215" spans="6:7" x14ac:dyDescent="0.35">
      <c r="F215" s="7"/>
      <c r="G215" s="7"/>
    </row>
    <row r="216" spans="6:7" x14ac:dyDescent="0.35">
      <c r="F216" s="7"/>
      <c r="G216" s="7"/>
    </row>
    <row r="217" spans="6:7" x14ac:dyDescent="0.35">
      <c r="F217" s="7"/>
      <c r="G217" s="7"/>
    </row>
    <row r="218" spans="6:7" x14ac:dyDescent="0.35">
      <c r="F218" s="7"/>
      <c r="G218" s="7"/>
    </row>
    <row r="219" spans="6:7" x14ac:dyDescent="0.35">
      <c r="F219" s="7"/>
      <c r="G219" s="7"/>
    </row>
    <row r="220" spans="6:7" x14ac:dyDescent="0.35">
      <c r="F220" s="7"/>
      <c r="G220" s="7"/>
    </row>
    <row r="221" spans="6:7" x14ac:dyDescent="0.35">
      <c r="F221" s="7"/>
      <c r="G221" s="7"/>
    </row>
    <row r="222" spans="6:7" x14ac:dyDescent="0.35">
      <c r="F222" s="7"/>
      <c r="G222" s="7"/>
    </row>
    <row r="223" spans="6:7" x14ac:dyDescent="0.35">
      <c r="F223" s="7"/>
      <c r="G223" s="7"/>
    </row>
    <row r="224" spans="6:7" x14ac:dyDescent="0.35">
      <c r="F224" s="7"/>
      <c r="G224" s="7"/>
    </row>
    <row r="225" spans="6:7" x14ac:dyDescent="0.35">
      <c r="F225" s="7"/>
      <c r="G225" s="7"/>
    </row>
    <row r="226" spans="6:7" x14ac:dyDescent="0.35">
      <c r="F226" s="7"/>
      <c r="G226" s="7"/>
    </row>
    <row r="227" spans="6:7" x14ac:dyDescent="0.35">
      <c r="F227" s="7"/>
      <c r="G227" s="7"/>
    </row>
    <row r="228" spans="6:7" x14ac:dyDescent="0.35">
      <c r="F228" s="7"/>
      <c r="G228" s="7"/>
    </row>
    <row r="229" spans="6:7" x14ac:dyDescent="0.35">
      <c r="F229" s="7"/>
      <c r="G229" s="7"/>
    </row>
    <row r="230" spans="6:7" x14ac:dyDescent="0.35">
      <c r="F230" s="7"/>
      <c r="G230" s="7"/>
    </row>
    <row r="231" spans="6:7" x14ac:dyDescent="0.35">
      <c r="F231" s="7"/>
      <c r="G231" s="7"/>
    </row>
    <row r="232" spans="6:7" x14ac:dyDescent="0.35">
      <c r="F232" s="7"/>
      <c r="G232" s="7"/>
    </row>
    <row r="233" spans="6:7" x14ac:dyDescent="0.35">
      <c r="F233" s="7"/>
      <c r="G233" s="7"/>
    </row>
    <row r="234" spans="6:7" x14ac:dyDescent="0.35">
      <c r="F234" s="7"/>
      <c r="G234" s="7"/>
    </row>
    <row r="235" spans="6:7" x14ac:dyDescent="0.35">
      <c r="F235" s="7"/>
      <c r="G235" s="7"/>
    </row>
    <row r="236" spans="6:7" x14ac:dyDescent="0.35">
      <c r="F236" s="7"/>
      <c r="G236" s="7"/>
    </row>
    <row r="237" spans="6:7" x14ac:dyDescent="0.35">
      <c r="F237" s="7"/>
      <c r="G237" s="7"/>
    </row>
    <row r="238" spans="6:7" x14ac:dyDescent="0.35">
      <c r="F238" s="7"/>
      <c r="G238" s="7"/>
    </row>
    <row r="239" spans="6:7" x14ac:dyDescent="0.35">
      <c r="F239" s="7"/>
      <c r="G239" s="7"/>
    </row>
    <row r="240" spans="6:7" x14ac:dyDescent="0.35">
      <c r="F240" s="7"/>
      <c r="G240" s="7"/>
    </row>
    <row r="241" spans="6:7" x14ac:dyDescent="0.35">
      <c r="F241" s="7"/>
      <c r="G241" s="7"/>
    </row>
    <row r="242" spans="6:7" x14ac:dyDescent="0.35">
      <c r="F242" s="7"/>
      <c r="G242" s="7"/>
    </row>
    <row r="243" spans="6:7" x14ac:dyDescent="0.35">
      <c r="F243" s="7"/>
      <c r="G243" s="7"/>
    </row>
    <row r="244" spans="6:7" x14ac:dyDescent="0.35">
      <c r="F244" s="7"/>
      <c r="G244" s="7"/>
    </row>
    <row r="245" spans="6:7" x14ac:dyDescent="0.35">
      <c r="F245" s="7"/>
      <c r="G245" s="7"/>
    </row>
    <row r="246" spans="6:7" x14ac:dyDescent="0.35">
      <c r="F246" s="7"/>
      <c r="G246" s="7"/>
    </row>
    <row r="247" spans="6:7" x14ac:dyDescent="0.35">
      <c r="F247" s="7"/>
      <c r="G247" s="7"/>
    </row>
    <row r="248" spans="6:7" x14ac:dyDescent="0.35">
      <c r="F248" s="7"/>
      <c r="G248" s="7"/>
    </row>
    <row r="249" spans="6:7" x14ac:dyDescent="0.35">
      <c r="F249" s="7"/>
      <c r="G249" s="7"/>
    </row>
    <row r="250" spans="6:7" x14ac:dyDescent="0.35">
      <c r="F250" s="7"/>
      <c r="G250" s="7"/>
    </row>
    <row r="251" spans="6:7" x14ac:dyDescent="0.35">
      <c r="F251" s="7"/>
      <c r="G251" s="7"/>
    </row>
    <row r="252" spans="6:7" x14ac:dyDescent="0.35">
      <c r="F252" s="7"/>
      <c r="G252" s="7"/>
    </row>
    <row r="253" spans="6:7" x14ac:dyDescent="0.35">
      <c r="F253" s="7"/>
      <c r="G253" s="7"/>
    </row>
    <row r="254" spans="6:7" x14ac:dyDescent="0.35">
      <c r="F254" s="7"/>
      <c r="G254" s="7"/>
    </row>
    <row r="255" spans="6:7" x14ac:dyDescent="0.35">
      <c r="F255" s="7"/>
      <c r="G255" s="7"/>
    </row>
    <row r="256" spans="6:7" x14ac:dyDescent="0.35">
      <c r="F256" s="7"/>
      <c r="G256" s="7"/>
    </row>
    <row r="257" spans="6:7" x14ac:dyDescent="0.35">
      <c r="F257" s="7"/>
      <c r="G257" s="7"/>
    </row>
    <row r="258" spans="6:7" x14ac:dyDescent="0.35">
      <c r="F258" s="7"/>
      <c r="G258" s="7"/>
    </row>
    <row r="259" spans="6:7" x14ac:dyDescent="0.35">
      <c r="F259" s="7"/>
      <c r="G259" s="7"/>
    </row>
    <row r="260" spans="6:7" x14ac:dyDescent="0.35">
      <c r="F260" s="7"/>
      <c r="G260" s="7"/>
    </row>
    <row r="261" spans="6:7" x14ac:dyDescent="0.35">
      <c r="F261" s="7"/>
      <c r="G261" s="7"/>
    </row>
    <row r="262" spans="6:7" x14ac:dyDescent="0.35">
      <c r="F262" s="7"/>
      <c r="G262" s="7"/>
    </row>
    <row r="263" spans="6:7" x14ac:dyDescent="0.35">
      <c r="F263" s="7"/>
      <c r="G263" s="7"/>
    </row>
    <row r="264" spans="6:7" x14ac:dyDescent="0.35">
      <c r="F264" s="7"/>
      <c r="G264" s="7"/>
    </row>
    <row r="265" spans="6:7" x14ac:dyDescent="0.35">
      <c r="F265" s="7"/>
      <c r="G265" s="7"/>
    </row>
    <row r="266" spans="6:7" x14ac:dyDescent="0.35">
      <c r="F266" s="7"/>
      <c r="G266" s="7"/>
    </row>
    <row r="267" spans="6:7" x14ac:dyDescent="0.35">
      <c r="F267" s="7"/>
      <c r="G267" s="7"/>
    </row>
    <row r="268" spans="6:7" x14ac:dyDescent="0.35">
      <c r="F268" s="7"/>
      <c r="G268" s="7"/>
    </row>
    <row r="269" spans="6:7" x14ac:dyDescent="0.35">
      <c r="F269" s="7"/>
      <c r="G269" s="7"/>
    </row>
    <row r="270" spans="6:7" x14ac:dyDescent="0.35">
      <c r="F270" s="7"/>
      <c r="G270" s="7"/>
    </row>
    <row r="271" spans="6:7" x14ac:dyDescent="0.35">
      <c r="F271" s="7"/>
      <c r="G271" s="7"/>
    </row>
    <row r="272" spans="6:7" x14ac:dyDescent="0.35">
      <c r="F272" s="7"/>
      <c r="G272" s="7"/>
    </row>
    <row r="273" spans="6:7" x14ac:dyDescent="0.35">
      <c r="F273" s="7"/>
      <c r="G273" s="7"/>
    </row>
    <row r="274" spans="6:7" x14ac:dyDescent="0.35">
      <c r="F274" s="7"/>
      <c r="G274" s="7"/>
    </row>
    <row r="275" spans="6:7" x14ac:dyDescent="0.35">
      <c r="F275" s="7"/>
      <c r="G275" s="7"/>
    </row>
    <row r="276" spans="6:7" x14ac:dyDescent="0.35">
      <c r="F276" s="7"/>
      <c r="G276" s="7"/>
    </row>
    <row r="277" spans="6:7" x14ac:dyDescent="0.35">
      <c r="F277" s="7"/>
      <c r="G277" s="7"/>
    </row>
    <row r="278" spans="6:7" x14ac:dyDescent="0.35">
      <c r="F278" s="7"/>
      <c r="G278" s="7"/>
    </row>
    <row r="279" spans="6:7" x14ac:dyDescent="0.35">
      <c r="F279" s="7"/>
      <c r="G279" s="7"/>
    </row>
    <row r="280" spans="6:7" x14ac:dyDescent="0.35">
      <c r="F280" s="7"/>
      <c r="G280" s="7"/>
    </row>
    <row r="281" spans="6:7" x14ac:dyDescent="0.35">
      <c r="F281" s="7"/>
      <c r="G281" s="7"/>
    </row>
    <row r="282" spans="6:7" x14ac:dyDescent="0.35">
      <c r="F282" s="7"/>
      <c r="G282" s="7"/>
    </row>
    <row r="283" spans="6:7" x14ac:dyDescent="0.35">
      <c r="F283" s="7"/>
      <c r="G283" s="7"/>
    </row>
    <row r="284" spans="6:7" x14ac:dyDescent="0.35">
      <c r="F284" s="7"/>
      <c r="G284" s="7"/>
    </row>
    <row r="285" spans="6:7" x14ac:dyDescent="0.35">
      <c r="F285" s="7"/>
      <c r="G285" s="7"/>
    </row>
    <row r="286" spans="6:7" x14ac:dyDescent="0.35">
      <c r="F286" s="7"/>
      <c r="G286" s="7"/>
    </row>
    <row r="287" spans="6:7" x14ac:dyDescent="0.35">
      <c r="F287" s="7"/>
      <c r="G287" s="7"/>
    </row>
    <row r="288" spans="6:7" x14ac:dyDescent="0.35">
      <c r="F288" s="7"/>
      <c r="G288" s="7"/>
    </row>
    <row r="289" spans="6:7" x14ac:dyDescent="0.35">
      <c r="F289" s="7"/>
      <c r="G289" s="7"/>
    </row>
    <row r="290" spans="6:7" x14ac:dyDescent="0.35">
      <c r="F290" s="7"/>
      <c r="G290" s="7"/>
    </row>
    <row r="291" spans="6:7" x14ac:dyDescent="0.35">
      <c r="F291" s="7"/>
      <c r="G291" s="7"/>
    </row>
    <row r="292" spans="6:7" x14ac:dyDescent="0.35">
      <c r="F292" s="7"/>
      <c r="G292" s="7"/>
    </row>
    <row r="293" spans="6:7" x14ac:dyDescent="0.35">
      <c r="F293" s="7"/>
      <c r="G293" s="7"/>
    </row>
    <row r="294" spans="6:7" x14ac:dyDescent="0.35">
      <c r="F294" s="7"/>
      <c r="G294" s="7"/>
    </row>
    <row r="295" spans="6:7" x14ac:dyDescent="0.35">
      <c r="F295" s="7"/>
      <c r="G295" s="7"/>
    </row>
    <row r="296" spans="6:7" x14ac:dyDescent="0.35">
      <c r="F296" s="7"/>
      <c r="G296" s="7"/>
    </row>
    <row r="297" spans="6:7" x14ac:dyDescent="0.35">
      <c r="F297" s="7"/>
      <c r="G297" s="7"/>
    </row>
    <row r="298" spans="6:7" x14ac:dyDescent="0.35">
      <c r="F298" s="7"/>
      <c r="G298" s="7"/>
    </row>
    <row r="299" spans="6:7" x14ac:dyDescent="0.35">
      <c r="F299" s="7"/>
      <c r="G299" s="7"/>
    </row>
    <row r="300" spans="6:7" x14ac:dyDescent="0.35">
      <c r="F300" s="7"/>
      <c r="G300" s="7"/>
    </row>
    <row r="301" spans="6:7" x14ac:dyDescent="0.35">
      <c r="F301" s="7"/>
      <c r="G301" s="7"/>
    </row>
    <row r="302" spans="6:7" x14ac:dyDescent="0.35">
      <c r="F302" s="7"/>
      <c r="G302" s="7"/>
    </row>
    <row r="303" spans="6:7" x14ac:dyDescent="0.35">
      <c r="F303" s="7"/>
      <c r="G303" s="7"/>
    </row>
    <row r="304" spans="6:7" x14ac:dyDescent="0.35">
      <c r="F304" s="7"/>
      <c r="G304" s="7"/>
    </row>
    <row r="305" spans="6:7" x14ac:dyDescent="0.35">
      <c r="F305" s="7"/>
      <c r="G305" s="7"/>
    </row>
    <row r="306" spans="6:7" x14ac:dyDescent="0.35">
      <c r="F306" s="7"/>
      <c r="G306" s="7"/>
    </row>
    <row r="307" spans="6:7" x14ac:dyDescent="0.35">
      <c r="F307" s="7"/>
      <c r="G307" s="7"/>
    </row>
    <row r="308" spans="6:7" x14ac:dyDescent="0.35">
      <c r="F308" s="7"/>
      <c r="G308" s="7"/>
    </row>
    <row r="309" spans="6:7" x14ac:dyDescent="0.35">
      <c r="F309" s="7"/>
      <c r="G309" s="7"/>
    </row>
    <row r="310" spans="6:7" x14ac:dyDescent="0.35">
      <c r="F310" s="7"/>
      <c r="G310" s="7"/>
    </row>
    <row r="311" spans="6:7" x14ac:dyDescent="0.35">
      <c r="F311" s="7"/>
      <c r="G311" s="7"/>
    </row>
    <row r="312" spans="6:7" x14ac:dyDescent="0.35">
      <c r="F312" s="7"/>
      <c r="G312" s="7"/>
    </row>
    <row r="313" spans="6:7" x14ac:dyDescent="0.35">
      <c r="F313" s="7"/>
      <c r="G313" s="7"/>
    </row>
    <row r="314" spans="6:7" x14ac:dyDescent="0.35">
      <c r="F314" s="7"/>
      <c r="G314" s="7"/>
    </row>
    <row r="315" spans="6:7" x14ac:dyDescent="0.35">
      <c r="F315" s="7"/>
      <c r="G315" s="7"/>
    </row>
    <row r="316" spans="6:7" x14ac:dyDescent="0.35">
      <c r="F316" s="7"/>
      <c r="G316" s="7"/>
    </row>
    <row r="317" spans="6:7" x14ac:dyDescent="0.35">
      <c r="F317" s="7"/>
      <c r="G317" s="7"/>
    </row>
    <row r="318" spans="6:7" x14ac:dyDescent="0.35">
      <c r="F318" s="7"/>
      <c r="G318" s="7"/>
    </row>
    <row r="319" spans="6:7" x14ac:dyDescent="0.35">
      <c r="F319" s="7"/>
      <c r="G319" s="7"/>
    </row>
    <row r="320" spans="6:7" x14ac:dyDescent="0.35">
      <c r="F320" s="7"/>
      <c r="G320" s="7"/>
    </row>
    <row r="321" spans="6:7" x14ac:dyDescent="0.35">
      <c r="F321" s="7"/>
      <c r="G321" s="7"/>
    </row>
    <row r="322" spans="6:7" x14ac:dyDescent="0.35">
      <c r="F322" s="7"/>
      <c r="G322" s="7"/>
    </row>
    <row r="323" spans="6:7" x14ac:dyDescent="0.35">
      <c r="F323" s="7"/>
      <c r="G323" s="7"/>
    </row>
    <row r="324" spans="6:7" x14ac:dyDescent="0.35">
      <c r="F324" s="7"/>
      <c r="G324" s="7"/>
    </row>
    <row r="325" spans="6:7" x14ac:dyDescent="0.35">
      <c r="F325" s="7"/>
      <c r="G325" s="7"/>
    </row>
    <row r="326" spans="6:7" x14ac:dyDescent="0.35">
      <c r="F326" s="7"/>
      <c r="G326" s="7"/>
    </row>
    <row r="327" spans="6:7" x14ac:dyDescent="0.35">
      <c r="F327" s="7"/>
      <c r="G327" s="7"/>
    </row>
    <row r="328" spans="6:7" x14ac:dyDescent="0.35">
      <c r="F328" s="7"/>
      <c r="G328" s="7"/>
    </row>
    <row r="329" spans="6:7" x14ac:dyDescent="0.35">
      <c r="F329" s="7"/>
      <c r="G329" s="7"/>
    </row>
    <row r="330" spans="6:7" x14ac:dyDescent="0.35">
      <c r="F330" s="7"/>
      <c r="G330" s="7"/>
    </row>
    <row r="331" spans="6:7" x14ac:dyDescent="0.35">
      <c r="F331" s="7"/>
      <c r="G331" s="7"/>
    </row>
    <row r="332" spans="6:7" x14ac:dyDescent="0.35">
      <c r="F332" s="7"/>
      <c r="G332" s="7"/>
    </row>
    <row r="333" spans="6:7" x14ac:dyDescent="0.35">
      <c r="F333" s="7"/>
      <c r="G333" s="7"/>
    </row>
    <row r="334" spans="6:7" x14ac:dyDescent="0.35">
      <c r="F334" s="7"/>
      <c r="G334" s="7"/>
    </row>
    <row r="335" spans="6:7" x14ac:dyDescent="0.35">
      <c r="F335" s="7"/>
      <c r="G335" s="7"/>
    </row>
    <row r="336" spans="6:7" x14ac:dyDescent="0.35">
      <c r="F336" s="7"/>
      <c r="G336" s="7"/>
    </row>
    <row r="337" spans="6:7" x14ac:dyDescent="0.35">
      <c r="F337" s="7"/>
      <c r="G337" s="7"/>
    </row>
    <row r="338" spans="6:7" x14ac:dyDescent="0.35">
      <c r="F338" s="7"/>
      <c r="G338" s="7"/>
    </row>
    <row r="339" spans="6:7" x14ac:dyDescent="0.35">
      <c r="F339" s="7"/>
      <c r="G339" s="7"/>
    </row>
    <row r="340" spans="6:7" x14ac:dyDescent="0.35">
      <c r="F340" s="7"/>
      <c r="G340" s="7"/>
    </row>
    <row r="341" spans="6:7" x14ac:dyDescent="0.35">
      <c r="F341" s="7"/>
      <c r="G341" s="7"/>
    </row>
    <row r="342" spans="6:7" x14ac:dyDescent="0.35">
      <c r="F342" s="7"/>
      <c r="G342" s="7"/>
    </row>
    <row r="343" spans="6:7" x14ac:dyDescent="0.35">
      <c r="F343" s="7"/>
      <c r="G343" s="7"/>
    </row>
    <row r="344" spans="6:7" x14ac:dyDescent="0.35">
      <c r="F344" s="7"/>
      <c r="G344" s="7"/>
    </row>
    <row r="345" spans="6:7" x14ac:dyDescent="0.35">
      <c r="F345" s="7"/>
      <c r="G345" s="7"/>
    </row>
    <row r="346" spans="6:7" x14ac:dyDescent="0.35">
      <c r="F346" s="7"/>
      <c r="G346" s="7"/>
    </row>
    <row r="347" spans="6:7" x14ac:dyDescent="0.35">
      <c r="F347" s="7"/>
      <c r="G347" s="7"/>
    </row>
    <row r="348" spans="6:7" x14ac:dyDescent="0.35">
      <c r="F348" s="7"/>
      <c r="G348" s="7"/>
    </row>
    <row r="349" spans="6:7" x14ac:dyDescent="0.35">
      <c r="F349" s="7"/>
      <c r="G349" s="7"/>
    </row>
    <row r="350" spans="6:7" x14ac:dyDescent="0.35">
      <c r="F350" s="7"/>
      <c r="G350" s="7"/>
    </row>
    <row r="351" spans="6:7" x14ac:dyDescent="0.35">
      <c r="F351" s="7"/>
      <c r="G351" s="7"/>
    </row>
    <row r="352" spans="6:7" x14ac:dyDescent="0.35">
      <c r="F352" s="7"/>
      <c r="G352" s="7"/>
    </row>
    <row r="353" spans="6:7" x14ac:dyDescent="0.35">
      <c r="F353" s="7"/>
      <c r="G353" s="7"/>
    </row>
    <row r="354" spans="6:7" x14ac:dyDescent="0.35">
      <c r="F354" s="7"/>
      <c r="G354" s="7"/>
    </row>
    <row r="355" spans="6:7" x14ac:dyDescent="0.35">
      <c r="F355" s="7"/>
      <c r="G355" s="7"/>
    </row>
    <row r="356" spans="6:7" x14ac:dyDescent="0.35">
      <c r="F356" s="7"/>
      <c r="G356" s="7"/>
    </row>
    <row r="357" spans="6:7" x14ac:dyDescent="0.35">
      <c r="F357" s="7"/>
      <c r="G357" s="7"/>
    </row>
    <row r="358" spans="6:7" x14ac:dyDescent="0.35">
      <c r="F358" s="7"/>
      <c r="G358" s="7"/>
    </row>
    <row r="359" spans="6:7" x14ac:dyDescent="0.35">
      <c r="F359" s="7"/>
      <c r="G359" s="7"/>
    </row>
    <row r="360" spans="6:7" x14ac:dyDescent="0.35">
      <c r="F360" s="7"/>
      <c r="G360" s="7"/>
    </row>
    <row r="361" spans="6:7" x14ac:dyDescent="0.35">
      <c r="F361" s="7"/>
      <c r="G361" s="7"/>
    </row>
    <row r="362" spans="6:7" x14ac:dyDescent="0.35">
      <c r="F362" s="7"/>
      <c r="G362" s="7"/>
    </row>
    <row r="363" spans="6:7" x14ac:dyDescent="0.35">
      <c r="F363" s="7"/>
      <c r="G363" s="7"/>
    </row>
    <row r="364" spans="6:7" x14ac:dyDescent="0.35">
      <c r="F364" s="7"/>
      <c r="G364" s="7"/>
    </row>
    <row r="365" spans="6:7" x14ac:dyDescent="0.35">
      <c r="F365" s="7"/>
      <c r="G365" s="7"/>
    </row>
    <row r="366" spans="6:7" x14ac:dyDescent="0.35">
      <c r="F366" s="7"/>
      <c r="G366" s="7"/>
    </row>
    <row r="367" spans="6:7" x14ac:dyDescent="0.35">
      <c r="F367" s="7"/>
      <c r="G367" s="7"/>
    </row>
    <row r="368" spans="6:7" x14ac:dyDescent="0.35">
      <c r="F368" s="7"/>
      <c r="G368" s="7"/>
    </row>
    <row r="369" spans="6:7" x14ac:dyDescent="0.35">
      <c r="F369" s="7"/>
      <c r="G369" s="7"/>
    </row>
    <row r="370" spans="6:7" x14ac:dyDescent="0.35">
      <c r="F370" s="7"/>
      <c r="G370" s="7"/>
    </row>
    <row r="371" spans="6:7" x14ac:dyDescent="0.35">
      <c r="F371" s="7"/>
      <c r="G371" s="7"/>
    </row>
    <row r="372" spans="6:7" x14ac:dyDescent="0.35">
      <c r="F372" s="7"/>
      <c r="G372" s="7"/>
    </row>
    <row r="373" spans="6:7" x14ac:dyDescent="0.35">
      <c r="F373" s="7"/>
      <c r="G373" s="7"/>
    </row>
    <row r="374" spans="6:7" x14ac:dyDescent="0.35">
      <c r="F374" s="7"/>
      <c r="G374" s="7"/>
    </row>
    <row r="375" spans="6:7" x14ac:dyDescent="0.35">
      <c r="F375" s="7"/>
      <c r="G375" s="7"/>
    </row>
    <row r="376" spans="6:7" x14ac:dyDescent="0.35">
      <c r="F376" s="7"/>
      <c r="G376" s="7"/>
    </row>
    <row r="377" spans="6:7" x14ac:dyDescent="0.35">
      <c r="F377" s="7"/>
      <c r="G377" s="7"/>
    </row>
    <row r="378" spans="6:7" x14ac:dyDescent="0.35">
      <c r="F378" s="7"/>
      <c r="G378" s="7"/>
    </row>
    <row r="379" spans="6:7" x14ac:dyDescent="0.35">
      <c r="F379" s="7"/>
      <c r="G379" s="7"/>
    </row>
    <row r="380" spans="6:7" x14ac:dyDescent="0.35">
      <c r="F380" s="7"/>
      <c r="G380" s="7"/>
    </row>
    <row r="381" spans="6:7" x14ac:dyDescent="0.35">
      <c r="F381" s="7"/>
      <c r="G381" s="7"/>
    </row>
    <row r="382" spans="6:7" x14ac:dyDescent="0.35">
      <c r="F382" s="7"/>
      <c r="G382" s="7"/>
    </row>
    <row r="383" spans="6:7" x14ac:dyDescent="0.35">
      <c r="F383" s="7"/>
      <c r="G383" s="7"/>
    </row>
    <row r="384" spans="6:7" x14ac:dyDescent="0.35">
      <c r="F384" s="7"/>
      <c r="G384" s="7"/>
    </row>
    <row r="385" spans="6:7" x14ac:dyDescent="0.35">
      <c r="F385" s="7"/>
      <c r="G385" s="7"/>
    </row>
    <row r="386" spans="6:7" x14ac:dyDescent="0.35">
      <c r="F386" s="7"/>
      <c r="G386" s="7"/>
    </row>
    <row r="387" spans="6:7" x14ac:dyDescent="0.35">
      <c r="F387" s="7"/>
      <c r="G387" s="7"/>
    </row>
    <row r="388" spans="6:7" x14ac:dyDescent="0.35">
      <c r="F388" s="7"/>
      <c r="G388" s="7"/>
    </row>
    <row r="389" spans="6:7" x14ac:dyDescent="0.35">
      <c r="F389" s="7"/>
      <c r="G389" s="7"/>
    </row>
    <row r="390" spans="6:7" x14ac:dyDescent="0.35">
      <c r="F390" s="7"/>
      <c r="G390" s="7"/>
    </row>
    <row r="391" spans="6:7" x14ac:dyDescent="0.35">
      <c r="F391" s="7"/>
      <c r="G391" s="7"/>
    </row>
    <row r="392" spans="6:7" x14ac:dyDescent="0.35">
      <c r="F392" s="7"/>
      <c r="G392" s="7"/>
    </row>
    <row r="393" spans="6:7" x14ac:dyDescent="0.35">
      <c r="F393" s="7"/>
      <c r="G393" s="7"/>
    </row>
    <row r="394" spans="6:7" x14ac:dyDescent="0.35">
      <c r="F394" s="7"/>
      <c r="G394" s="7"/>
    </row>
    <row r="395" spans="6:7" x14ac:dyDescent="0.35">
      <c r="F395" s="7"/>
      <c r="G395" s="7"/>
    </row>
    <row r="396" spans="6:7" x14ac:dyDescent="0.35">
      <c r="F396" s="7"/>
      <c r="G396" s="7"/>
    </row>
    <row r="397" spans="6:7" x14ac:dyDescent="0.35">
      <c r="F397" s="7"/>
      <c r="G397" s="7"/>
    </row>
    <row r="398" spans="6:7" x14ac:dyDescent="0.35">
      <c r="F398" s="7"/>
      <c r="G398" s="7"/>
    </row>
    <row r="399" spans="6:7" x14ac:dyDescent="0.35">
      <c r="F399" s="7"/>
      <c r="G399" s="7"/>
    </row>
    <row r="400" spans="6:7" x14ac:dyDescent="0.35">
      <c r="F400" s="7"/>
      <c r="G400" s="7"/>
    </row>
    <row r="401" spans="6:7" x14ac:dyDescent="0.35">
      <c r="F401" s="7"/>
      <c r="G401" s="7"/>
    </row>
    <row r="402" spans="6:7" x14ac:dyDescent="0.35">
      <c r="F402" s="7"/>
      <c r="G402" s="7"/>
    </row>
    <row r="403" spans="6:7" x14ac:dyDescent="0.35">
      <c r="F403" s="7"/>
      <c r="G403" s="7"/>
    </row>
    <row r="404" spans="6:7" x14ac:dyDescent="0.35">
      <c r="F404" s="7"/>
      <c r="G404" s="7"/>
    </row>
    <row r="405" spans="6:7" x14ac:dyDescent="0.35">
      <c r="F405" s="7"/>
      <c r="G405" s="7"/>
    </row>
    <row r="406" spans="6:7" x14ac:dyDescent="0.35">
      <c r="F406" s="7"/>
      <c r="G406" s="7"/>
    </row>
    <row r="407" spans="6:7" x14ac:dyDescent="0.35">
      <c r="F407" s="7"/>
      <c r="G407" s="7"/>
    </row>
    <row r="408" spans="6:7" x14ac:dyDescent="0.35">
      <c r="F408" s="7"/>
      <c r="G408" s="7"/>
    </row>
    <row r="409" spans="6:7" x14ac:dyDescent="0.35">
      <c r="F409" s="7"/>
      <c r="G409" s="7"/>
    </row>
    <row r="410" spans="6:7" x14ac:dyDescent="0.35">
      <c r="F410" s="7"/>
      <c r="G410" s="7"/>
    </row>
    <row r="411" spans="6:7" x14ac:dyDescent="0.35">
      <c r="F411" s="7"/>
      <c r="G411" s="7"/>
    </row>
    <row r="412" spans="6:7" x14ac:dyDescent="0.35">
      <c r="F412" s="7"/>
      <c r="G412" s="7"/>
    </row>
    <row r="413" spans="6:7" x14ac:dyDescent="0.35">
      <c r="F413" s="7"/>
      <c r="G413" s="7"/>
    </row>
    <row r="414" spans="6:7" x14ac:dyDescent="0.35">
      <c r="F414" s="7"/>
      <c r="G414" s="7"/>
    </row>
    <row r="415" spans="6:7" x14ac:dyDescent="0.35">
      <c r="F415" s="7"/>
      <c r="G415" s="7"/>
    </row>
    <row r="416" spans="6:7" x14ac:dyDescent="0.35">
      <c r="F416" s="7"/>
      <c r="G416" s="7"/>
    </row>
    <row r="417" spans="6:7" x14ac:dyDescent="0.35">
      <c r="F417" s="7"/>
      <c r="G417" s="7"/>
    </row>
    <row r="418" spans="6:7" x14ac:dyDescent="0.35">
      <c r="F418" s="7"/>
      <c r="G418" s="7"/>
    </row>
    <row r="419" spans="6:7" x14ac:dyDescent="0.35">
      <c r="F419" s="7"/>
      <c r="G419" s="7"/>
    </row>
    <row r="420" spans="6:7" x14ac:dyDescent="0.35">
      <c r="F420" s="7"/>
      <c r="G420" s="7"/>
    </row>
    <row r="421" spans="6:7" x14ac:dyDescent="0.35">
      <c r="F421" s="7"/>
      <c r="G421" s="7"/>
    </row>
    <row r="422" spans="6:7" x14ac:dyDescent="0.35">
      <c r="F422" s="7"/>
      <c r="G422" s="7"/>
    </row>
    <row r="423" spans="6:7" x14ac:dyDescent="0.35">
      <c r="F423" s="7"/>
      <c r="G423" s="7"/>
    </row>
    <row r="424" spans="6:7" x14ac:dyDescent="0.35">
      <c r="F424" s="7"/>
      <c r="G424" s="7"/>
    </row>
    <row r="425" spans="6:7" x14ac:dyDescent="0.35">
      <c r="F425" s="7"/>
      <c r="G425" s="7"/>
    </row>
    <row r="426" spans="6:7" x14ac:dyDescent="0.35">
      <c r="F426" s="7"/>
      <c r="G426" s="7"/>
    </row>
    <row r="427" spans="6:7" x14ac:dyDescent="0.35">
      <c r="F427" s="7"/>
      <c r="G427" s="7"/>
    </row>
    <row r="428" spans="6:7" x14ac:dyDescent="0.35">
      <c r="F428" s="7"/>
      <c r="G428" s="7"/>
    </row>
    <row r="429" spans="6:7" x14ac:dyDescent="0.35">
      <c r="F429" s="7"/>
      <c r="G429" s="7"/>
    </row>
    <row r="430" spans="6:7" x14ac:dyDescent="0.35">
      <c r="F430" s="7"/>
      <c r="G430" s="7"/>
    </row>
    <row r="431" spans="6:7" x14ac:dyDescent="0.35">
      <c r="F431" s="7"/>
      <c r="G431" s="7"/>
    </row>
    <row r="432" spans="6:7" x14ac:dyDescent="0.35">
      <c r="F432" s="7"/>
      <c r="G432" s="7"/>
    </row>
    <row r="433" spans="6:7" x14ac:dyDescent="0.35">
      <c r="F433" s="7"/>
      <c r="G433" s="7"/>
    </row>
    <row r="434" spans="6:7" x14ac:dyDescent="0.35">
      <c r="F434" s="7"/>
      <c r="G434" s="7"/>
    </row>
    <row r="435" spans="6:7" x14ac:dyDescent="0.35">
      <c r="F435" s="7"/>
      <c r="G435" s="7"/>
    </row>
    <row r="436" spans="6:7" x14ac:dyDescent="0.35">
      <c r="F436" s="7"/>
      <c r="G436" s="7"/>
    </row>
    <row r="437" spans="6:7" x14ac:dyDescent="0.35">
      <c r="F437" s="7"/>
      <c r="G437" s="7"/>
    </row>
    <row r="438" spans="6:7" x14ac:dyDescent="0.35">
      <c r="F438" s="7"/>
      <c r="G438" s="7"/>
    </row>
    <row r="439" spans="6:7" x14ac:dyDescent="0.35">
      <c r="F439" s="7"/>
      <c r="G439" s="7"/>
    </row>
    <row r="440" spans="6:7" x14ac:dyDescent="0.35">
      <c r="F440" s="7"/>
      <c r="G440" s="7"/>
    </row>
    <row r="441" spans="6:7" x14ac:dyDescent="0.35">
      <c r="F441" s="7"/>
      <c r="G441" s="7"/>
    </row>
    <row r="442" spans="6:7" x14ac:dyDescent="0.35">
      <c r="F442" s="7"/>
      <c r="G442" s="7"/>
    </row>
    <row r="443" spans="6:7" x14ac:dyDescent="0.35">
      <c r="F443" s="7"/>
      <c r="G443" s="7"/>
    </row>
    <row r="444" spans="6:7" x14ac:dyDescent="0.35">
      <c r="F444" s="7"/>
      <c r="G444" s="7"/>
    </row>
    <row r="445" spans="6:7" x14ac:dyDescent="0.35">
      <c r="F445" s="7"/>
      <c r="G445" s="7"/>
    </row>
    <row r="446" spans="6:7" x14ac:dyDescent="0.35">
      <c r="F446" s="7"/>
      <c r="G446" s="7"/>
    </row>
    <row r="447" spans="6:7" x14ac:dyDescent="0.35">
      <c r="F447" s="7"/>
      <c r="G447" s="7"/>
    </row>
    <row r="448" spans="6:7" x14ac:dyDescent="0.35">
      <c r="F448" s="7"/>
      <c r="G448" s="7"/>
    </row>
    <row r="449" spans="6:7" x14ac:dyDescent="0.35">
      <c r="F449" s="7"/>
      <c r="G449" s="7"/>
    </row>
    <row r="450" spans="6:7" x14ac:dyDescent="0.35">
      <c r="F450" s="7"/>
      <c r="G450" s="7"/>
    </row>
    <row r="451" spans="6:7" x14ac:dyDescent="0.35">
      <c r="F451" s="7"/>
      <c r="G451" s="7"/>
    </row>
    <row r="452" spans="6:7" x14ac:dyDescent="0.35">
      <c r="F452" s="7"/>
      <c r="G452" s="7"/>
    </row>
    <row r="453" spans="6:7" x14ac:dyDescent="0.35">
      <c r="F453" s="7"/>
      <c r="G453" s="7"/>
    </row>
    <row r="454" spans="6:7" x14ac:dyDescent="0.35">
      <c r="F454" s="7"/>
      <c r="G454" s="7"/>
    </row>
    <row r="455" spans="6:7" x14ac:dyDescent="0.35">
      <c r="F455" s="7"/>
      <c r="G455" s="7"/>
    </row>
    <row r="456" spans="6:7" x14ac:dyDescent="0.35">
      <c r="F456" s="7"/>
      <c r="G456" s="7"/>
    </row>
    <row r="457" spans="6:7" x14ac:dyDescent="0.35">
      <c r="F457" s="7"/>
      <c r="G457" s="7"/>
    </row>
    <row r="458" spans="6:7" x14ac:dyDescent="0.35">
      <c r="F458" s="7"/>
      <c r="G458" s="7"/>
    </row>
    <row r="459" spans="6:7" x14ac:dyDescent="0.35">
      <c r="F459" s="7"/>
      <c r="G459" s="7"/>
    </row>
    <row r="460" spans="6:7" x14ac:dyDescent="0.35">
      <c r="F460" s="7"/>
      <c r="G460" s="7"/>
    </row>
    <row r="461" spans="6:7" x14ac:dyDescent="0.35">
      <c r="F461" s="7"/>
      <c r="G461" s="7"/>
    </row>
    <row r="462" spans="6:7" x14ac:dyDescent="0.35">
      <c r="F462" s="7"/>
      <c r="G462" s="7"/>
    </row>
    <row r="463" spans="6:7" x14ac:dyDescent="0.35">
      <c r="F463" s="7"/>
      <c r="G463" s="7"/>
    </row>
    <row r="464" spans="6:7" x14ac:dyDescent="0.35">
      <c r="F464" s="7"/>
      <c r="G464" s="7"/>
    </row>
    <row r="465" spans="6:7" x14ac:dyDescent="0.35">
      <c r="F465" s="7"/>
      <c r="G465" s="7"/>
    </row>
    <row r="466" spans="6:7" x14ac:dyDescent="0.35">
      <c r="F466" s="7"/>
      <c r="G466" s="7"/>
    </row>
    <row r="467" spans="6:7" x14ac:dyDescent="0.35">
      <c r="F467" s="7"/>
      <c r="G467" s="7"/>
    </row>
    <row r="468" spans="6:7" x14ac:dyDescent="0.35">
      <c r="F468" s="7"/>
      <c r="G468" s="7"/>
    </row>
    <row r="469" spans="6:7" x14ac:dyDescent="0.35">
      <c r="F469" s="7"/>
      <c r="G469" s="7"/>
    </row>
    <row r="470" spans="6:7" x14ac:dyDescent="0.35">
      <c r="F470" s="7"/>
      <c r="G470" s="7"/>
    </row>
    <row r="471" spans="6:7" x14ac:dyDescent="0.35">
      <c r="F471" s="7"/>
      <c r="G471" s="7"/>
    </row>
    <row r="472" spans="6:7" x14ac:dyDescent="0.35">
      <c r="F472" s="7"/>
      <c r="G472" s="7"/>
    </row>
    <row r="473" spans="6:7" x14ac:dyDescent="0.35">
      <c r="F473" s="7"/>
      <c r="G473" s="7"/>
    </row>
    <row r="474" spans="6:7" x14ac:dyDescent="0.35">
      <c r="F474" s="7"/>
      <c r="G474" s="7"/>
    </row>
    <row r="475" spans="6:7" x14ac:dyDescent="0.35">
      <c r="F475" s="7"/>
      <c r="G475" s="7"/>
    </row>
    <row r="476" spans="6:7" x14ac:dyDescent="0.35">
      <c r="F476" s="7"/>
      <c r="G476" s="7"/>
    </row>
    <row r="477" spans="6:7" x14ac:dyDescent="0.35">
      <c r="F477" s="7"/>
      <c r="G477" s="7"/>
    </row>
    <row r="478" spans="6:7" x14ac:dyDescent="0.35">
      <c r="F478" s="7"/>
      <c r="G478" s="7"/>
    </row>
    <row r="479" spans="6:7" x14ac:dyDescent="0.35">
      <c r="F479" s="7"/>
      <c r="G479" s="7"/>
    </row>
    <row r="480" spans="6:7" x14ac:dyDescent="0.35">
      <c r="F480" s="7"/>
      <c r="G480" s="7"/>
    </row>
    <row r="481" spans="6:7" x14ac:dyDescent="0.35">
      <c r="F481" s="7"/>
      <c r="G481" s="7"/>
    </row>
    <row r="482" spans="6:7" x14ac:dyDescent="0.35">
      <c r="F482" s="7"/>
      <c r="G482" s="7"/>
    </row>
    <row r="483" spans="6:7" x14ac:dyDescent="0.35">
      <c r="F483" s="7"/>
      <c r="G483" s="7"/>
    </row>
    <row r="484" spans="6:7" x14ac:dyDescent="0.35">
      <c r="F484" s="7"/>
      <c r="G484" s="7"/>
    </row>
    <row r="485" spans="6:7" x14ac:dyDescent="0.35">
      <c r="F485" s="7"/>
      <c r="G485" s="7"/>
    </row>
    <row r="486" spans="6:7" x14ac:dyDescent="0.35">
      <c r="F486" s="7"/>
      <c r="G486" s="7"/>
    </row>
    <row r="487" spans="6:7" x14ac:dyDescent="0.35">
      <c r="F487" s="7"/>
      <c r="G487" s="7"/>
    </row>
    <row r="488" spans="6:7" x14ac:dyDescent="0.35">
      <c r="F488" s="7"/>
      <c r="G488" s="7"/>
    </row>
    <row r="489" spans="6:7" x14ac:dyDescent="0.35">
      <c r="F489" s="7"/>
      <c r="G489" s="7"/>
    </row>
    <row r="490" spans="6:7" x14ac:dyDescent="0.35">
      <c r="F490" s="7"/>
      <c r="G490" s="7"/>
    </row>
    <row r="491" spans="6:7" x14ac:dyDescent="0.35">
      <c r="F491" s="7"/>
      <c r="G491" s="7"/>
    </row>
    <row r="492" spans="6:7" x14ac:dyDescent="0.35">
      <c r="F492" s="7"/>
      <c r="G492" s="7"/>
    </row>
    <row r="493" spans="6:7" x14ac:dyDescent="0.35">
      <c r="F493" s="7"/>
      <c r="G493" s="7"/>
    </row>
    <row r="494" spans="6:7" x14ac:dyDescent="0.35">
      <c r="F494" s="7"/>
      <c r="G494" s="7"/>
    </row>
    <row r="495" spans="6:7" x14ac:dyDescent="0.35">
      <c r="F495" s="7"/>
      <c r="G495" s="7"/>
    </row>
    <row r="496" spans="6:7" x14ac:dyDescent="0.35">
      <c r="F496" s="7"/>
      <c r="G496" s="7"/>
    </row>
    <row r="497" spans="6:7" x14ac:dyDescent="0.35">
      <c r="F497" s="7"/>
      <c r="G497" s="7"/>
    </row>
    <row r="498" spans="6:7" x14ac:dyDescent="0.35">
      <c r="F498" s="7"/>
      <c r="G498" s="7"/>
    </row>
    <row r="499" spans="6:7" x14ac:dyDescent="0.35">
      <c r="F499" s="7"/>
      <c r="G499" s="7"/>
    </row>
    <row r="500" spans="6:7" x14ac:dyDescent="0.35">
      <c r="F500" s="7"/>
      <c r="G500" s="7"/>
    </row>
    <row r="501" spans="6:7" x14ac:dyDescent="0.35">
      <c r="F501" s="7"/>
      <c r="G501" s="7"/>
    </row>
    <row r="502" spans="6:7" x14ac:dyDescent="0.35">
      <c r="F502" s="7"/>
      <c r="G502" s="7"/>
    </row>
    <row r="503" spans="6:7" x14ac:dyDescent="0.35">
      <c r="F503" s="7"/>
      <c r="G503" s="7"/>
    </row>
    <row r="504" spans="6:7" x14ac:dyDescent="0.35">
      <c r="F504" s="7"/>
      <c r="G504" s="7"/>
    </row>
    <row r="505" spans="6:7" x14ac:dyDescent="0.35">
      <c r="F505" s="7"/>
      <c r="G505" s="7"/>
    </row>
    <row r="506" spans="6:7" x14ac:dyDescent="0.35">
      <c r="F506" s="7"/>
      <c r="G506" s="7"/>
    </row>
    <row r="507" spans="6:7" x14ac:dyDescent="0.35">
      <c r="F507" s="7"/>
      <c r="G507" s="7"/>
    </row>
    <row r="508" spans="6:7" x14ac:dyDescent="0.35">
      <c r="F508" s="7"/>
      <c r="G508" s="7"/>
    </row>
    <row r="509" spans="6:7" x14ac:dyDescent="0.35">
      <c r="F509" s="7"/>
      <c r="G509" s="7"/>
    </row>
    <row r="510" spans="6:7" x14ac:dyDescent="0.35">
      <c r="F510" s="7"/>
      <c r="G510" s="7"/>
    </row>
    <row r="511" spans="6:7" x14ac:dyDescent="0.35">
      <c r="F511" s="7"/>
      <c r="G511" s="7"/>
    </row>
    <row r="512" spans="6:7" x14ac:dyDescent="0.35">
      <c r="F512" s="7"/>
      <c r="G512" s="7"/>
    </row>
    <row r="513" spans="6:7" x14ac:dyDescent="0.35">
      <c r="F513" s="7"/>
      <c r="G513" s="7"/>
    </row>
    <row r="514" spans="6:7" x14ac:dyDescent="0.35">
      <c r="F514" s="7"/>
      <c r="G514" s="7"/>
    </row>
    <row r="515" spans="6:7" x14ac:dyDescent="0.35">
      <c r="F515" s="7"/>
      <c r="G515" s="7"/>
    </row>
    <row r="516" spans="6:7" x14ac:dyDescent="0.35">
      <c r="F516" s="7"/>
      <c r="G516" s="7"/>
    </row>
    <row r="517" spans="6:7" x14ac:dyDescent="0.35">
      <c r="F517" s="7"/>
      <c r="G517" s="7"/>
    </row>
    <row r="518" spans="6:7" x14ac:dyDescent="0.35">
      <c r="F518" s="7"/>
      <c r="G518" s="7"/>
    </row>
    <row r="519" spans="6:7" x14ac:dyDescent="0.35">
      <c r="F519" s="7"/>
      <c r="G519" s="7"/>
    </row>
    <row r="520" spans="6:7" x14ac:dyDescent="0.35">
      <c r="F520" s="7"/>
      <c r="G520" s="7"/>
    </row>
    <row r="521" spans="6:7" x14ac:dyDescent="0.35">
      <c r="F521" s="7"/>
      <c r="G521" s="7"/>
    </row>
    <row r="522" spans="6:7" x14ac:dyDescent="0.35">
      <c r="F522" s="7"/>
      <c r="G522" s="7"/>
    </row>
    <row r="523" spans="6:7" x14ac:dyDescent="0.35">
      <c r="F523" s="7"/>
      <c r="G523" s="7"/>
    </row>
    <row r="524" spans="6:7" x14ac:dyDescent="0.35">
      <c r="F524" s="7"/>
      <c r="G524" s="7"/>
    </row>
    <row r="525" spans="6:7" x14ac:dyDescent="0.35">
      <c r="F525" s="7"/>
      <c r="G525" s="7"/>
    </row>
    <row r="526" spans="6:7" x14ac:dyDescent="0.35">
      <c r="F526" s="7"/>
      <c r="G526" s="7"/>
    </row>
    <row r="527" spans="6:7" x14ac:dyDescent="0.35">
      <c r="F527" s="7"/>
      <c r="G527" s="7"/>
    </row>
    <row r="528" spans="6:7" x14ac:dyDescent="0.35">
      <c r="F528" s="7"/>
      <c r="G528" s="7"/>
    </row>
    <row r="529" spans="6:7" x14ac:dyDescent="0.35">
      <c r="F529" s="7"/>
      <c r="G529" s="7"/>
    </row>
    <row r="530" spans="6:7" x14ac:dyDescent="0.35">
      <c r="F530" s="7"/>
      <c r="G530" s="7"/>
    </row>
    <row r="531" spans="6:7" x14ac:dyDescent="0.35">
      <c r="F531" s="7"/>
      <c r="G531" s="7"/>
    </row>
    <row r="532" spans="6:7" x14ac:dyDescent="0.35">
      <c r="F532" s="7"/>
      <c r="G532" s="7"/>
    </row>
    <row r="533" spans="6:7" x14ac:dyDescent="0.35">
      <c r="F533" s="7"/>
      <c r="G533" s="7"/>
    </row>
    <row r="534" spans="6:7" x14ac:dyDescent="0.35">
      <c r="F534" s="7"/>
      <c r="G534" s="7"/>
    </row>
    <row r="535" spans="6:7" x14ac:dyDescent="0.35">
      <c r="F535" s="7"/>
      <c r="G535" s="7"/>
    </row>
    <row r="536" spans="6:7" x14ac:dyDescent="0.35">
      <c r="F536" s="7"/>
      <c r="G536" s="7"/>
    </row>
    <row r="537" spans="6:7" x14ac:dyDescent="0.35">
      <c r="F537" s="7"/>
      <c r="G537" s="7"/>
    </row>
    <row r="538" spans="6:7" x14ac:dyDescent="0.35">
      <c r="F538" s="7"/>
      <c r="G538" s="7"/>
    </row>
    <row r="539" spans="6:7" x14ac:dyDescent="0.35">
      <c r="F539" s="7"/>
      <c r="G539" s="7"/>
    </row>
    <row r="540" spans="6:7" x14ac:dyDescent="0.35">
      <c r="F540" s="7"/>
      <c r="G540" s="7"/>
    </row>
    <row r="541" spans="6:7" x14ac:dyDescent="0.35">
      <c r="F541" s="7"/>
      <c r="G541" s="7"/>
    </row>
    <row r="542" spans="6:7" x14ac:dyDescent="0.35">
      <c r="F542" s="7"/>
      <c r="G542" s="7"/>
    </row>
    <row r="543" spans="6:7" x14ac:dyDescent="0.35">
      <c r="F543" s="7"/>
      <c r="G543" s="7"/>
    </row>
    <row r="544" spans="6:7" x14ac:dyDescent="0.35">
      <c r="F544" s="7"/>
      <c r="G544" s="7"/>
    </row>
    <row r="545" spans="6:7" x14ac:dyDescent="0.35">
      <c r="F545" s="7"/>
      <c r="G545" s="7"/>
    </row>
    <row r="546" spans="6:7" x14ac:dyDescent="0.35">
      <c r="F546" s="7"/>
      <c r="G546" s="7"/>
    </row>
    <row r="547" spans="6:7" x14ac:dyDescent="0.35">
      <c r="F547" s="7"/>
      <c r="G547" s="7"/>
    </row>
    <row r="548" spans="6:7" x14ac:dyDescent="0.35">
      <c r="F548" s="7"/>
      <c r="G548" s="7"/>
    </row>
    <row r="549" spans="6:7" x14ac:dyDescent="0.35">
      <c r="F549" s="7"/>
      <c r="G549" s="7"/>
    </row>
    <row r="550" spans="6:7" x14ac:dyDescent="0.35">
      <c r="F550" s="7"/>
      <c r="G550" s="7"/>
    </row>
    <row r="551" spans="6:7" x14ac:dyDescent="0.35">
      <c r="F551" s="7"/>
      <c r="G551" s="7"/>
    </row>
    <row r="552" spans="6:7" x14ac:dyDescent="0.35">
      <c r="F552" s="7"/>
      <c r="G552" s="7"/>
    </row>
    <row r="553" spans="6:7" x14ac:dyDescent="0.35">
      <c r="F553" s="7"/>
      <c r="G553" s="7"/>
    </row>
    <row r="554" spans="6:7" x14ac:dyDescent="0.35">
      <c r="F554" s="7"/>
      <c r="G554" s="7"/>
    </row>
    <row r="555" spans="6:7" x14ac:dyDescent="0.35">
      <c r="F555" s="7"/>
      <c r="G555" s="7"/>
    </row>
    <row r="556" spans="6:7" x14ac:dyDescent="0.35">
      <c r="F556" s="7"/>
      <c r="G556" s="7"/>
    </row>
    <row r="557" spans="6:7" x14ac:dyDescent="0.35">
      <c r="F557" s="7"/>
      <c r="G557" s="7"/>
    </row>
    <row r="558" spans="6:7" x14ac:dyDescent="0.35">
      <c r="F558" s="7"/>
      <c r="G558" s="7"/>
    </row>
    <row r="559" spans="6:7" x14ac:dyDescent="0.35">
      <c r="F559" s="7"/>
      <c r="G559" s="7"/>
    </row>
    <row r="560" spans="6:7" x14ac:dyDescent="0.35">
      <c r="F560" s="7"/>
      <c r="G560" s="7"/>
    </row>
    <row r="561" spans="6:7" x14ac:dyDescent="0.35">
      <c r="F561" s="7"/>
      <c r="G561" s="7"/>
    </row>
    <row r="562" spans="6:7" x14ac:dyDescent="0.35">
      <c r="F562" s="7"/>
      <c r="G562" s="7"/>
    </row>
    <row r="563" spans="6:7" x14ac:dyDescent="0.35">
      <c r="F563" s="7"/>
      <c r="G563" s="7"/>
    </row>
    <row r="564" spans="6:7" x14ac:dyDescent="0.35">
      <c r="F564" s="7"/>
      <c r="G564" s="7"/>
    </row>
    <row r="565" spans="6:7" x14ac:dyDescent="0.35">
      <c r="F565" s="7"/>
      <c r="G565" s="7"/>
    </row>
    <row r="566" spans="6:7" x14ac:dyDescent="0.35">
      <c r="F566" s="7"/>
      <c r="G566" s="7"/>
    </row>
    <row r="567" spans="6:7" x14ac:dyDescent="0.35">
      <c r="F567" s="7"/>
      <c r="G567" s="7"/>
    </row>
    <row r="568" spans="6:7" x14ac:dyDescent="0.35">
      <c r="F568" s="7"/>
      <c r="G568" s="7"/>
    </row>
    <row r="569" spans="6:7" x14ac:dyDescent="0.35">
      <c r="F569" s="7"/>
      <c r="G569" s="7"/>
    </row>
    <row r="570" spans="6:7" x14ac:dyDescent="0.35">
      <c r="F570" s="7"/>
      <c r="G570" s="7"/>
    </row>
    <row r="571" spans="6:7" x14ac:dyDescent="0.35">
      <c r="F571" s="7"/>
      <c r="G571" s="7"/>
    </row>
    <row r="572" spans="6:7" x14ac:dyDescent="0.35">
      <c r="F572" s="7"/>
      <c r="G572" s="7"/>
    </row>
    <row r="573" spans="6:7" x14ac:dyDescent="0.35">
      <c r="F573" s="7"/>
      <c r="G573" s="7"/>
    </row>
    <row r="574" spans="6:7" x14ac:dyDescent="0.35">
      <c r="F574" s="7"/>
      <c r="G574" s="7"/>
    </row>
    <row r="575" spans="6:7" x14ac:dyDescent="0.35">
      <c r="F575" s="7"/>
      <c r="G575" s="7"/>
    </row>
    <row r="576" spans="6:7" x14ac:dyDescent="0.35">
      <c r="F576" s="7"/>
      <c r="G576" s="7"/>
    </row>
    <row r="577" spans="6:7" x14ac:dyDescent="0.35">
      <c r="F577" s="7"/>
      <c r="G577" s="7"/>
    </row>
    <row r="578" spans="6:7" x14ac:dyDescent="0.35">
      <c r="F578" s="7"/>
      <c r="G578" s="7"/>
    </row>
    <row r="579" spans="6:7" x14ac:dyDescent="0.35">
      <c r="F579" s="7"/>
      <c r="G579" s="7"/>
    </row>
    <row r="580" spans="6:7" x14ac:dyDescent="0.35">
      <c r="F580" s="7"/>
      <c r="G580" s="7"/>
    </row>
    <row r="581" spans="6:7" x14ac:dyDescent="0.35">
      <c r="F581" s="7"/>
      <c r="G581" s="7"/>
    </row>
    <row r="582" spans="6:7" x14ac:dyDescent="0.35">
      <c r="F582" s="7"/>
      <c r="G582" s="7"/>
    </row>
    <row r="583" spans="6:7" x14ac:dyDescent="0.35">
      <c r="F583" s="7"/>
      <c r="G583" s="7"/>
    </row>
    <row r="584" spans="6:7" x14ac:dyDescent="0.35">
      <c r="F584" s="7"/>
      <c r="G584" s="7"/>
    </row>
    <row r="585" spans="6:7" x14ac:dyDescent="0.35">
      <c r="F585" s="7"/>
      <c r="G585" s="7"/>
    </row>
    <row r="586" spans="6:7" x14ac:dyDescent="0.35">
      <c r="F586" s="7"/>
      <c r="G586" s="7"/>
    </row>
    <row r="587" spans="6:7" x14ac:dyDescent="0.35">
      <c r="F587" s="7"/>
      <c r="G587" s="7"/>
    </row>
    <row r="588" spans="6:7" x14ac:dyDescent="0.35">
      <c r="F588" s="7"/>
      <c r="G588" s="7"/>
    </row>
    <row r="589" spans="6:7" x14ac:dyDescent="0.35">
      <c r="F589" s="7"/>
      <c r="G589" s="7"/>
    </row>
    <row r="590" spans="6:7" x14ac:dyDescent="0.35">
      <c r="F590" s="7"/>
      <c r="G590" s="7"/>
    </row>
    <row r="591" spans="6:7" x14ac:dyDescent="0.35">
      <c r="F591" s="7"/>
      <c r="G591" s="7"/>
    </row>
    <row r="592" spans="6:7" x14ac:dyDescent="0.35">
      <c r="F592" s="7"/>
      <c r="G592" s="7"/>
    </row>
    <row r="593" spans="6:7" x14ac:dyDescent="0.35">
      <c r="F593" s="7"/>
      <c r="G593" s="7"/>
    </row>
    <row r="594" spans="6:7" x14ac:dyDescent="0.35">
      <c r="F594" s="7"/>
      <c r="G594" s="7"/>
    </row>
    <row r="595" spans="6:7" x14ac:dyDescent="0.35">
      <c r="F595" s="7"/>
      <c r="G595" s="7"/>
    </row>
    <row r="596" spans="6:7" x14ac:dyDescent="0.35">
      <c r="F596" s="7"/>
      <c r="G596" s="7"/>
    </row>
    <row r="597" spans="6:7" x14ac:dyDescent="0.35">
      <c r="F597" s="7"/>
      <c r="G597" s="7"/>
    </row>
    <row r="598" spans="6:7" x14ac:dyDescent="0.35">
      <c r="F598" s="7"/>
      <c r="G598" s="7"/>
    </row>
    <row r="599" spans="6:7" x14ac:dyDescent="0.35">
      <c r="F599" s="7"/>
      <c r="G599" s="7"/>
    </row>
    <row r="600" spans="6:7" x14ac:dyDescent="0.35">
      <c r="F600" s="7"/>
      <c r="G600" s="7"/>
    </row>
    <row r="601" spans="6:7" x14ac:dyDescent="0.35">
      <c r="F601" s="7"/>
      <c r="G601" s="7"/>
    </row>
    <row r="602" spans="6:7" x14ac:dyDescent="0.35">
      <c r="F602" s="7"/>
      <c r="G602" s="7"/>
    </row>
    <row r="603" spans="6:7" x14ac:dyDescent="0.35">
      <c r="F603" s="7"/>
      <c r="G603" s="7"/>
    </row>
    <row r="604" spans="6:7" x14ac:dyDescent="0.35">
      <c r="F604" s="7"/>
      <c r="G604" s="7"/>
    </row>
    <row r="605" spans="6:7" x14ac:dyDescent="0.35">
      <c r="F605" s="7"/>
      <c r="G605" s="7"/>
    </row>
    <row r="606" spans="6:7" x14ac:dyDescent="0.35">
      <c r="F606" s="7"/>
      <c r="G606" s="7"/>
    </row>
    <row r="607" spans="6:7" x14ac:dyDescent="0.35">
      <c r="F607" s="7"/>
      <c r="G607" s="7"/>
    </row>
    <row r="608" spans="6:7" x14ac:dyDescent="0.35">
      <c r="F608" s="7"/>
      <c r="G608" s="7"/>
    </row>
    <row r="609" spans="6:7" x14ac:dyDescent="0.35">
      <c r="F609" s="7"/>
      <c r="G609" s="7"/>
    </row>
    <row r="610" spans="6:7" x14ac:dyDescent="0.35">
      <c r="F610" s="7"/>
      <c r="G610" s="7"/>
    </row>
    <row r="611" spans="6:7" x14ac:dyDescent="0.35">
      <c r="F611" s="7"/>
      <c r="G611" s="7"/>
    </row>
    <row r="612" spans="6:7" x14ac:dyDescent="0.35">
      <c r="F612" s="7"/>
      <c r="G612" s="7"/>
    </row>
    <row r="613" spans="6:7" x14ac:dyDescent="0.35">
      <c r="F613" s="7"/>
      <c r="G613" s="7"/>
    </row>
    <row r="614" spans="6:7" x14ac:dyDescent="0.35">
      <c r="F614" s="7"/>
      <c r="G614" s="7"/>
    </row>
    <row r="615" spans="6:7" x14ac:dyDescent="0.35">
      <c r="F615" s="7"/>
      <c r="G615" s="7"/>
    </row>
    <row r="616" spans="6:7" x14ac:dyDescent="0.35">
      <c r="F616" s="7"/>
      <c r="G616" s="7"/>
    </row>
    <row r="617" spans="6:7" x14ac:dyDescent="0.35">
      <c r="F617" s="7"/>
      <c r="G617" s="7"/>
    </row>
    <row r="618" spans="6:7" x14ac:dyDescent="0.35">
      <c r="F618" s="7"/>
      <c r="G618" s="7"/>
    </row>
    <row r="619" spans="6:7" x14ac:dyDescent="0.35">
      <c r="F619" s="7"/>
      <c r="G619" s="7"/>
    </row>
    <row r="620" spans="6:7" x14ac:dyDescent="0.35">
      <c r="F620" s="7"/>
      <c r="G620" s="7"/>
    </row>
    <row r="621" spans="6:7" x14ac:dyDescent="0.35">
      <c r="F621" s="7"/>
      <c r="G621" s="7"/>
    </row>
    <row r="622" spans="6:7" x14ac:dyDescent="0.35">
      <c r="F622" s="7"/>
      <c r="G622" s="7"/>
    </row>
    <row r="623" spans="6:7" x14ac:dyDescent="0.35">
      <c r="F623" s="7"/>
      <c r="G623" s="7"/>
    </row>
    <row r="624" spans="6:7" x14ac:dyDescent="0.35">
      <c r="F624" s="7"/>
      <c r="G624" s="7"/>
    </row>
    <row r="625" spans="6:7" x14ac:dyDescent="0.35">
      <c r="F625" s="7"/>
      <c r="G625" s="7"/>
    </row>
    <row r="626" spans="6:7" x14ac:dyDescent="0.35">
      <c r="F626" s="7"/>
      <c r="G626" s="7"/>
    </row>
    <row r="627" spans="6:7" x14ac:dyDescent="0.35">
      <c r="F627" s="7"/>
      <c r="G627" s="7"/>
    </row>
    <row r="628" spans="6:7" x14ac:dyDescent="0.35">
      <c r="F628" s="7"/>
      <c r="G628" s="7"/>
    </row>
    <row r="629" spans="6:7" x14ac:dyDescent="0.35">
      <c r="F629" s="7"/>
      <c r="G629" s="7"/>
    </row>
    <row r="630" spans="6:7" x14ac:dyDescent="0.35">
      <c r="F630" s="7"/>
      <c r="G630" s="7"/>
    </row>
    <row r="631" spans="6:7" x14ac:dyDescent="0.35">
      <c r="F631" s="7"/>
      <c r="G631" s="7"/>
    </row>
    <row r="632" spans="6:7" x14ac:dyDescent="0.35">
      <c r="F632" s="7"/>
      <c r="G632" s="7"/>
    </row>
    <row r="633" spans="6:7" x14ac:dyDescent="0.35">
      <c r="F633" s="7"/>
      <c r="G633" s="7"/>
    </row>
    <row r="634" spans="6:7" x14ac:dyDescent="0.35">
      <c r="F634" s="7"/>
      <c r="G634" s="7"/>
    </row>
    <row r="635" spans="6:7" x14ac:dyDescent="0.35">
      <c r="F635" s="7"/>
      <c r="G635" s="7"/>
    </row>
    <row r="636" spans="6:7" x14ac:dyDescent="0.35">
      <c r="F636" s="7"/>
      <c r="G636" s="7"/>
    </row>
    <row r="637" spans="6:7" x14ac:dyDescent="0.35">
      <c r="F637" s="7"/>
      <c r="G637" s="7"/>
    </row>
    <row r="638" spans="6:7" x14ac:dyDescent="0.35">
      <c r="F638" s="7"/>
      <c r="G638" s="7"/>
    </row>
    <row r="639" spans="6:7" x14ac:dyDescent="0.35">
      <c r="F639" s="7"/>
      <c r="G639" s="7"/>
    </row>
    <row r="640" spans="6:7" x14ac:dyDescent="0.35">
      <c r="F640" s="7"/>
      <c r="G640" s="7"/>
    </row>
    <row r="641" spans="6:7" x14ac:dyDescent="0.35">
      <c r="F641" s="7"/>
      <c r="G641" s="7"/>
    </row>
    <row r="642" spans="6:7" x14ac:dyDescent="0.35">
      <c r="F642" s="7"/>
      <c r="G642" s="7"/>
    </row>
    <row r="643" spans="6:7" x14ac:dyDescent="0.35">
      <c r="F643" s="7"/>
      <c r="G643" s="7"/>
    </row>
    <row r="644" spans="6:7" x14ac:dyDescent="0.35">
      <c r="F644" s="7"/>
      <c r="G644" s="7"/>
    </row>
    <row r="645" spans="6:7" x14ac:dyDescent="0.35">
      <c r="F645" s="7"/>
      <c r="G645" s="7"/>
    </row>
    <row r="646" spans="6:7" x14ac:dyDescent="0.35">
      <c r="F646" s="7"/>
      <c r="G646" s="7"/>
    </row>
    <row r="647" spans="6:7" x14ac:dyDescent="0.35">
      <c r="F647" s="7"/>
      <c r="G647" s="7"/>
    </row>
    <row r="648" spans="6:7" x14ac:dyDescent="0.35">
      <c r="F648" s="7"/>
      <c r="G648" s="7"/>
    </row>
    <row r="649" spans="6:7" x14ac:dyDescent="0.35">
      <c r="F649" s="7"/>
      <c r="G649" s="7"/>
    </row>
    <row r="650" spans="6:7" x14ac:dyDescent="0.35">
      <c r="F650" s="7"/>
      <c r="G650" s="7"/>
    </row>
    <row r="651" spans="6:7" x14ac:dyDescent="0.35">
      <c r="F651" s="7"/>
      <c r="G651" s="7"/>
    </row>
    <row r="652" spans="6:7" x14ac:dyDescent="0.35">
      <c r="F652" s="7"/>
      <c r="G652" s="7"/>
    </row>
    <row r="653" spans="6:7" x14ac:dyDescent="0.35">
      <c r="F653" s="7"/>
      <c r="G653" s="7"/>
    </row>
    <row r="654" spans="6:7" x14ac:dyDescent="0.35">
      <c r="F654" s="7"/>
      <c r="G654" s="7"/>
    </row>
    <row r="655" spans="6:7" x14ac:dyDescent="0.35">
      <c r="F655" s="7"/>
      <c r="G655" s="7"/>
    </row>
    <row r="656" spans="6:7" x14ac:dyDescent="0.35">
      <c r="F656" s="7"/>
      <c r="G656" s="7"/>
    </row>
    <row r="657" spans="6:7" x14ac:dyDescent="0.35">
      <c r="F657" s="7"/>
      <c r="G657" s="7"/>
    </row>
    <row r="658" spans="6:7" x14ac:dyDescent="0.35">
      <c r="F658" s="7"/>
      <c r="G658" s="7"/>
    </row>
    <row r="659" spans="6:7" x14ac:dyDescent="0.35">
      <c r="F659" s="7"/>
      <c r="G659" s="7"/>
    </row>
    <row r="660" spans="6:7" x14ac:dyDescent="0.35">
      <c r="F660" s="7"/>
      <c r="G660" s="7"/>
    </row>
    <row r="661" spans="6:7" x14ac:dyDescent="0.35">
      <c r="F661" s="7"/>
      <c r="G661" s="7"/>
    </row>
    <row r="662" spans="6:7" x14ac:dyDescent="0.35">
      <c r="F662" s="7"/>
      <c r="G662" s="7"/>
    </row>
    <row r="663" spans="6:7" x14ac:dyDescent="0.35">
      <c r="F663" s="7"/>
      <c r="G663" s="7"/>
    </row>
    <row r="664" spans="6:7" x14ac:dyDescent="0.35">
      <c r="F664" s="7"/>
      <c r="G664" s="7"/>
    </row>
    <row r="665" spans="6:7" x14ac:dyDescent="0.35">
      <c r="F665" s="7"/>
      <c r="G665" s="7"/>
    </row>
    <row r="666" spans="6:7" x14ac:dyDescent="0.35">
      <c r="F666" s="7"/>
      <c r="G666" s="7"/>
    </row>
    <row r="667" spans="6:7" x14ac:dyDescent="0.35">
      <c r="F667" s="7"/>
      <c r="G667" s="7"/>
    </row>
    <row r="668" spans="6:7" x14ac:dyDescent="0.35">
      <c r="F668" s="7"/>
      <c r="G668" s="7"/>
    </row>
    <row r="669" spans="6:7" x14ac:dyDescent="0.35">
      <c r="F669" s="7"/>
      <c r="G669" s="7"/>
    </row>
    <row r="670" spans="6:7" x14ac:dyDescent="0.35">
      <c r="F670" s="7"/>
      <c r="G670" s="7"/>
    </row>
    <row r="671" spans="6:7" x14ac:dyDescent="0.35">
      <c r="F671" s="7"/>
      <c r="G671" s="7"/>
    </row>
    <row r="672" spans="6:7" x14ac:dyDescent="0.35">
      <c r="F672" s="7"/>
      <c r="G672" s="7"/>
    </row>
    <row r="673" spans="6:7" x14ac:dyDescent="0.35">
      <c r="F673" s="7"/>
      <c r="G673" s="7"/>
    </row>
    <row r="674" spans="6:7" x14ac:dyDescent="0.35">
      <c r="F674" s="7"/>
      <c r="G674" s="7"/>
    </row>
    <row r="675" spans="6:7" x14ac:dyDescent="0.35">
      <c r="F675" s="7"/>
      <c r="G675" s="7"/>
    </row>
    <row r="676" spans="6:7" x14ac:dyDescent="0.35">
      <c r="F676" s="7"/>
      <c r="G676" s="7"/>
    </row>
    <row r="677" spans="6:7" x14ac:dyDescent="0.35">
      <c r="F677" s="7"/>
      <c r="G677" s="7"/>
    </row>
    <row r="678" spans="6:7" x14ac:dyDescent="0.35">
      <c r="F678" s="7"/>
      <c r="G678" s="7"/>
    </row>
    <row r="679" spans="6:7" x14ac:dyDescent="0.35">
      <c r="F679" s="7"/>
      <c r="G679" s="7"/>
    </row>
    <row r="680" spans="6:7" x14ac:dyDescent="0.35">
      <c r="F680" s="7"/>
      <c r="G680" s="7"/>
    </row>
    <row r="681" spans="6:7" x14ac:dyDescent="0.35">
      <c r="F681" s="7"/>
      <c r="G681" s="7"/>
    </row>
    <row r="682" spans="6:7" x14ac:dyDescent="0.35">
      <c r="F682" s="7"/>
      <c r="G682" s="7"/>
    </row>
    <row r="683" spans="6:7" x14ac:dyDescent="0.35">
      <c r="F683" s="7"/>
      <c r="G683" s="7"/>
    </row>
    <row r="684" spans="6:7" x14ac:dyDescent="0.35">
      <c r="F684" s="7"/>
      <c r="G684" s="7"/>
    </row>
    <row r="685" spans="6:7" x14ac:dyDescent="0.35">
      <c r="F685" s="7"/>
      <c r="G685" s="7"/>
    </row>
    <row r="686" spans="6:7" x14ac:dyDescent="0.35">
      <c r="F686" s="7"/>
      <c r="G686" s="7"/>
    </row>
    <row r="687" spans="6:7" x14ac:dyDescent="0.35">
      <c r="F687" s="7"/>
      <c r="G687" s="7"/>
    </row>
    <row r="688" spans="6:7" x14ac:dyDescent="0.35">
      <c r="F688" s="7"/>
      <c r="G688" s="7"/>
    </row>
    <row r="689" spans="6:7" x14ac:dyDescent="0.35">
      <c r="F689" s="7"/>
      <c r="G689" s="7"/>
    </row>
    <row r="690" spans="6:7" x14ac:dyDescent="0.35">
      <c r="F690" s="7"/>
      <c r="G690" s="7"/>
    </row>
    <row r="691" spans="6:7" x14ac:dyDescent="0.35">
      <c r="F691" s="7"/>
      <c r="G691" s="7"/>
    </row>
    <row r="692" spans="6:7" x14ac:dyDescent="0.35">
      <c r="F692" s="7"/>
      <c r="G692" s="7"/>
    </row>
    <row r="693" spans="6:7" x14ac:dyDescent="0.35">
      <c r="F693" s="7"/>
      <c r="G693" s="7"/>
    </row>
    <row r="694" spans="6:7" x14ac:dyDescent="0.35">
      <c r="F694" s="7"/>
      <c r="G694" s="7"/>
    </row>
    <row r="695" spans="6:7" x14ac:dyDescent="0.35">
      <c r="F695" s="7"/>
      <c r="G695" s="7"/>
    </row>
    <row r="696" spans="6:7" x14ac:dyDescent="0.35">
      <c r="F696" s="7"/>
      <c r="G696" s="7"/>
    </row>
    <row r="697" spans="6:7" x14ac:dyDescent="0.35">
      <c r="F697" s="7"/>
      <c r="G697" s="7"/>
    </row>
    <row r="698" spans="6:7" x14ac:dyDescent="0.35">
      <c r="F698" s="7"/>
      <c r="G698" s="7"/>
    </row>
    <row r="699" spans="6:7" x14ac:dyDescent="0.35">
      <c r="F699" s="7"/>
      <c r="G699" s="7"/>
    </row>
    <row r="700" spans="6:7" x14ac:dyDescent="0.35">
      <c r="F700" s="7"/>
      <c r="G700" s="7"/>
    </row>
    <row r="701" spans="6:7" x14ac:dyDescent="0.35">
      <c r="F701" s="7"/>
      <c r="G701" s="7"/>
    </row>
    <row r="702" spans="6:7" x14ac:dyDescent="0.35">
      <c r="F702" s="7"/>
      <c r="G702" s="7"/>
    </row>
    <row r="703" spans="6:7" x14ac:dyDescent="0.35">
      <c r="F703" s="7"/>
      <c r="G703" s="7"/>
    </row>
    <row r="704" spans="6:7" x14ac:dyDescent="0.35">
      <c r="F704" s="7"/>
      <c r="G704" s="7"/>
    </row>
    <row r="705" spans="6:7" x14ac:dyDescent="0.35">
      <c r="F705" s="7"/>
      <c r="G705" s="7"/>
    </row>
    <row r="706" spans="6:7" x14ac:dyDescent="0.35">
      <c r="F706" s="7"/>
      <c r="G706" s="7"/>
    </row>
    <row r="707" spans="6:7" x14ac:dyDescent="0.35">
      <c r="F707" s="7"/>
      <c r="G707" s="7"/>
    </row>
    <row r="708" spans="6:7" x14ac:dyDescent="0.35">
      <c r="F708" s="7"/>
      <c r="G708" s="7"/>
    </row>
    <row r="709" spans="6:7" x14ac:dyDescent="0.35">
      <c r="F709" s="7"/>
      <c r="G709" s="7"/>
    </row>
    <row r="710" spans="6:7" x14ac:dyDescent="0.35">
      <c r="F710" s="7"/>
      <c r="G710" s="7"/>
    </row>
    <row r="711" spans="6:7" x14ac:dyDescent="0.35">
      <c r="F711" s="7"/>
      <c r="G711" s="7"/>
    </row>
    <row r="712" spans="6:7" x14ac:dyDescent="0.35">
      <c r="F712" s="7"/>
      <c r="G712" s="7"/>
    </row>
    <row r="713" spans="6:7" x14ac:dyDescent="0.35">
      <c r="F713" s="7"/>
      <c r="G713" s="7"/>
    </row>
    <row r="714" spans="6:7" x14ac:dyDescent="0.35">
      <c r="F714" s="7"/>
      <c r="G714" s="7"/>
    </row>
    <row r="715" spans="6:7" x14ac:dyDescent="0.35">
      <c r="F715" s="7"/>
      <c r="G715" s="7"/>
    </row>
    <row r="716" spans="6:7" x14ac:dyDescent="0.35">
      <c r="F716" s="7"/>
      <c r="G716" s="7"/>
    </row>
    <row r="717" spans="6:7" x14ac:dyDescent="0.35">
      <c r="F717" s="7"/>
      <c r="G717" s="7"/>
    </row>
    <row r="718" spans="6:7" x14ac:dyDescent="0.35">
      <c r="F718" s="7"/>
      <c r="G718" s="7"/>
    </row>
    <row r="719" spans="6:7" x14ac:dyDescent="0.35">
      <c r="F719" s="7"/>
      <c r="G719" s="7"/>
    </row>
    <row r="720" spans="6:7" x14ac:dyDescent="0.35">
      <c r="F720" s="7"/>
      <c r="G720" s="7"/>
    </row>
    <row r="721" spans="6:7" x14ac:dyDescent="0.35">
      <c r="F721" s="7"/>
      <c r="G721" s="7"/>
    </row>
    <row r="722" spans="6:7" x14ac:dyDescent="0.35">
      <c r="F722" s="7"/>
      <c r="G722" s="7"/>
    </row>
    <row r="723" spans="6:7" x14ac:dyDescent="0.35">
      <c r="F723" s="7"/>
      <c r="G723" s="7"/>
    </row>
    <row r="724" spans="6:7" x14ac:dyDescent="0.35">
      <c r="F724" s="7"/>
      <c r="G724" s="7"/>
    </row>
    <row r="725" spans="6:7" x14ac:dyDescent="0.35">
      <c r="F725" s="7"/>
      <c r="G725" s="7"/>
    </row>
    <row r="726" spans="6:7" x14ac:dyDescent="0.35">
      <c r="F726" s="7"/>
      <c r="G726" s="7"/>
    </row>
    <row r="727" spans="6:7" x14ac:dyDescent="0.35">
      <c r="F727" s="7"/>
      <c r="G727" s="7"/>
    </row>
    <row r="728" spans="6:7" x14ac:dyDescent="0.35">
      <c r="F728" s="7"/>
      <c r="G728" s="7"/>
    </row>
    <row r="729" spans="6:7" x14ac:dyDescent="0.35">
      <c r="F729" s="7"/>
      <c r="G729" s="7"/>
    </row>
    <row r="730" spans="6:7" x14ac:dyDescent="0.35">
      <c r="F730" s="7"/>
      <c r="G730" s="7"/>
    </row>
    <row r="731" spans="6:7" x14ac:dyDescent="0.35">
      <c r="F731" s="7"/>
      <c r="G731" s="7"/>
    </row>
    <row r="732" spans="6:7" x14ac:dyDescent="0.35">
      <c r="F732" s="7"/>
      <c r="G732" s="7"/>
    </row>
    <row r="733" spans="6:7" x14ac:dyDescent="0.35">
      <c r="F733" s="7"/>
      <c r="G733" s="7"/>
    </row>
    <row r="734" spans="6:7" x14ac:dyDescent="0.35">
      <c r="F734" s="7"/>
      <c r="G734" s="7"/>
    </row>
    <row r="735" spans="6:7" x14ac:dyDescent="0.35">
      <c r="F735" s="7"/>
      <c r="G735" s="7"/>
    </row>
    <row r="736" spans="6:7" x14ac:dyDescent="0.35">
      <c r="F736" s="7"/>
      <c r="G736" s="7"/>
    </row>
    <row r="737" spans="6:7" x14ac:dyDescent="0.35">
      <c r="F737" s="7"/>
      <c r="G737" s="7"/>
    </row>
    <row r="738" spans="6:7" x14ac:dyDescent="0.35">
      <c r="F738" s="7"/>
      <c r="G738" s="7"/>
    </row>
    <row r="739" spans="6:7" x14ac:dyDescent="0.35">
      <c r="F739" s="7"/>
      <c r="G739" s="7"/>
    </row>
    <row r="740" spans="6:7" x14ac:dyDescent="0.35">
      <c r="F740" s="7"/>
      <c r="G740" s="7"/>
    </row>
    <row r="741" spans="6:7" x14ac:dyDescent="0.35">
      <c r="F741" s="7"/>
      <c r="G741" s="7"/>
    </row>
    <row r="742" spans="6:7" x14ac:dyDescent="0.35">
      <c r="F742" s="7"/>
      <c r="G742" s="7"/>
    </row>
    <row r="743" spans="6:7" x14ac:dyDescent="0.35">
      <c r="F743" s="7"/>
      <c r="G743" s="7"/>
    </row>
    <row r="744" spans="6:7" x14ac:dyDescent="0.35">
      <c r="F744" s="7"/>
      <c r="G744" s="7"/>
    </row>
    <row r="745" spans="6:7" x14ac:dyDescent="0.35">
      <c r="F745" s="7"/>
      <c r="G745" s="7"/>
    </row>
    <row r="746" spans="6:7" x14ac:dyDescent="0.35">
      <c r="F746" s="7"/>
      <c r="G746" s="7"/>
    </row>
    <row r="747" spans="6:7" x14ac:dyDescent="0.35">
      <c r="F747" s="7"/>
      <c r="G747" s="7"/>
    </row>
    <row r="748" spans="6:7" x14ac:dyDescent="0.35">
      <c r="F748" s="7"/>
      <c r="G748" s="7"/>
    </row>
    <row r="749" spans="6:7" x14ac:dyDescent="0.35">
      <c r="F749" s="7"/>
      <c r="G749" s="7"/>
    </row>
    <row r="750" spans="6:7" x14ac:dyDescent="0.35">
      <c r="F750" s="7"/>
      <c r="G750" s="7"/>
    </row>
    <row r="751" spans="6:7" x14ac:dyDescent="0.35">
      <c r="F751" s="7"/>
      <c r="G751" s="7"/>
    </row>
    <row r="752" spans="6:7" x14ac:dyDescent="0.35">
      <c r="F752" s="7"/>
      <c r="G752" s="7"/>
    </row>
    <row r="753" spans="6:7" x14ac:dyDescent="0.35">
      <c r="F753" s="7"/>
      <c r="G753" s="7"/>
    </row>
    <row r="754" spans="6:7" x14ac:dyDescent="0.35">
      <c r="F754" s="7"/>
      <c r="G754" s="7"/>
    </row>
    <row r="755" spans="6:7" x14ac:dyDescent="0.35">
      <c r="F755" s="7"/>
      <c r="G755" s="7"/>
    </row>
    <row r="756" spans="6:7" x14ac:dyDescent="0.35">
      <c r="F756" s="7"/>
      <c r="G756" s="7"/>
    </row>
    <row r="757" spans="6:7" x14ac:dyDescent="0.35">
      <c r="F757" s="7"/>
      <c r="G757" s="7"/>
    </row>
    <row r="758" spans="6:7" x14ac:dyDescent="0.35">
      <c r="F758" s="7"/>
      <c r="G758" s="7"/>
    </row>
    <row r="759" spans="6:7" x14ac:dyDescent="0.35">
      <c r="F759" s="7"/>
      <c r="G759" s="7"/>
    </row>
    <row r="760" spans="6:7" x14ac:dyDescent="0.35">
      <c r="F760" s="7"/>
      <c r="G760" s="7"/>
    </row>
    <row r="761" spans="6:7" x14ac:dyDescent="0.35">
      <c r="F761" s="7"/>
      <c r="G761" s="7"/>
    </row>
    <row r="762" spans="6:7" x14ac:dyDescent="0.35">
      <c r="F762" s="7"/>
      <c r="G762" s="7"/>
    </row>
    <row r="763" spans="6:7" x14ac:dyDescent="0.35">
      <c r="F763" s="7"/>
      <c r="G763" s="7"/>
    </row>
    <row r="764" spans="6:7" x14ac:dyDescent="0.35">
      <c r="F764" s="7"/>
      <c r="G764" s="7"/>
    </row>
    <row r="765" spans="6:7" x14ac:dyDescent="0.35">
      <c r="F765" s="7"/>
      <c r="G765" s="7"/>
    </row>
    <row r="766" spans="6:7" x14ac:dyDescent="0.35">
      <c r="F766" s="7"/>
      <c r="G766" s="7"/>
    </row>
    <row r="767" spans="6:7" x14ac:dyDescent="0.35">
      <c r="F767" s="7"/>
      <c r="G767" s="7"/>
    </row>
    <row r="768" spans="6:7" x14ac:dyDescent="0.35">
      <c r="F768" s="7"/>
      <c r="G768" s="7"/>
    </row>
    <row r="769" spans="6:7" x14ac:dyDescent="0.35">
      <c r="F769" s="7"/>
      <c r="G769" s="7"/>
    </row>
    <row r="770" spans="6:7" x14ac:dyDescent="0.35">
      <c r="F770" s="7"/>
      <c r="G770" s="7"/>
    </row>
    <row r="771" spans="6:7" x14ac:dyDescent="0.35">
      <c r="F771" s="7"/>
      <c r="G771" s="7"/>
    </row>
    <row r="772" spans="6:7" x14ac:dyDescent="0.35">
      <c r="F772" s="7"/>
      <c r="G772" s="7"/>
    </row>
    <row r="773" spans="6:7" x14ac:dyDescent="0.35">
      <c r="F773" s="7"/>
      <c r="G773" s="7"/>
    </row>
    <row r="774" spans="6:7" x14ac:dyDescent="0.35">
      <c r="F774" s="7"/>
      <c r="G774" s="7"/>
    </row>
    <row r="775" spans="6:7" x14ac:dyDescent="0.35">
      <c r="F775" s="7"/>
      <c r="G775" s="7"/>
    </row>
    <row r="776" spans="6:7" x14ac:dyDescent="0.35">
      <c r="F776" s="7"/>
      <c r="G776" s="7"/>
    </row>
    <row r="777" spans="6:7" x14ac:dyDescent="0.35">
      <c r="F777" s="7"/>
      <c r="G777" s="7"/>
    </row>
    <row r="778" spans="6:7" x14ac:dyDescent="0.35">
      <c r="F778" s="7"/>
      <c r="G778" s="7"/>
    </row>
    <row r="779" spans="6:7" x14ac:dyDescent="0.35">
      <c r="F779" s="7"/>
      <c r="G779" s="7"/>
    </row>
    <row r="780" spans="6:7" x14ac:dyDescent="0.35">
      <c r="F780" s="7"/>
      <c r="G780" s="7"/>
    </row>
    <row r="781" spans="6:7" x14ac:dyDescent="0.35">
      <c r="F781" s="7"/>
      <c r="G78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499984740745262"/>
  </sheetPr>
  <dimension ref="A1:L44"/>
  <sheetViews>
    <sheetView showZeros="0" zoomScale="85" zoomScaleNormal="85" workbookViewId="0">
      <pane ySplit="8" topLeftCell="A9" activePane="bottomLeft" state="frozen"/>
      <selection activeCell="D7" sqref="D7:E19"/>
      <selection pane="bottomLeft" activeCell="P4" sqref="P4:Q5"/>
    </sheetView>
  </sheetViews>
  <sheetFormatPr defaultRowHeight="14.5" x14ac:dyDescent="0.35"/>
  <sheetData>
    <row r="1" spans="1:12" ht="18.5" x14ac:dyDescent="0.45">
      <c r="A1" s="5" t="s">
        <v>437</v>
      </c>
      <c r="I1" s="5" t="s">
        <v>437</v>
      </c>
    </row>
    <row r="2" spans="1:12" x14ac:dyDescent="0.35">
      <c r="A2" s="3" t="s">
        <v>364</v>
      </c>
      <c r="B2" s="4" t="s">
        <v>438</v>
      </c>
      <c r="I2" s="3" t="s">
        <v>364</v>
      </c>
      <c r="J2" s="4" t="s">
        <v>438</v>
      </c>
    </row>
    <row r="4" spans="1:12" x14ac:dyDescent="0.35">
      <c r="B4" s="19" t="s">
        <v>540</v>
      </c>
      <c r="C4" s="19" t="s">
        <v>540</v>
      </c>
      <c r="J4" s="19" t="s">
        <v>540</v>
      </c>
      <c r="K4" s="19" t="s">
        <v>540</v>
      </c>
    </row>
    <row r="5" spans="1:12" x14ac:dyDescent="0.35">
      <c r="A5" s="1"/>
      <c r="B5" s="1" t="s">
        <v>534</v>
      </c>
      <c r="C5" s="1" t="s">
        <v>535</v>
      </c>
      <c r="D5" s="1" t="s">
        <v>536</v>
      </c>
      <c r="I5" s="1"/>
      <c r="J5" s="1" t="s">
        <v>534</v>
      </c>
      <c r="K5" s="1" t="s">
        <v>535</v>
      </c>
      <c r="L5" s="1" t="s">
        <v>536</v>
      </c>
    </row>
    <row r="6" spans="1:12" x14ac:dyDescent="0.35">
      <c r="A6" s="1"/>
      <c r="B6" t="s">
        <v>538</v>
      </c>
      <c r="C6" t="s">
        <v>539</v>
      </c>
      <c r="D6" t="s">
        <v>537</v>
      </c>
      <c r="I6" s="1"/>
      <c r="J6" t="s">
        <v>538</v>
      </c>
      <c r="K6" t="s">
        <v>539</v>
      </c>
      <c r="L6" t="s">
        <v>537</v>
      </c>
    </row>
    <row r="7" spans="1:12" x14ac:dyDescent="0.35">
      <c r="B7" s="25" t="s">
        <v>591</v>
      </c>
      <c r="C7" s="25" t="s">
        <v>591</v>
      </c>
      <c r="D7" s="25" t="s">
        <v>591</v>
      </c>
      <c r="J7" s="25" t="s">
        <v>591</v>
      </c>
      <c r="K7" s="25" t="s">
        <v>591</v>
      </c>
      <c r="L7" s="25" t="s">
        <v>591</v>
      </c>
    </row>
    <row r="8" spans="1:12" x14ac:dyDescent="0.35">
      <c r="B8" s="25" t="s">
        <v>434</v>
      </c>
      <c r="C8" s="25" t="s">
        <v>435</v>
      </c>
      <c r="D8" s="25" t="s">
        <v>436</v>
      </c>
      <c r="J8" s="25" t="s">
        <v>434</v>
      </c>
      <c r="K8" s="25" t="s">
        <v>435</v>
      </c>
      <c r="L8" s="25" t="s">
        <v>436</v>
      </c>
    </row>
    <row r="9" spans="1:12" x14ac:dyDescent="0.35">
      <c r="A9" t="s">
        <v>675</v>
      </c>
      <c r="B9" s="20">
        <f>SUM(J9:J13)</f>
        <v>4344.2561999999998</v>
      </c>
      <c r="C9" s="20">
        <f>SUM(K9:K13)</f>
        <v>2737.8738000000003</v>
      </c>
      <c r="D9" s="7">
        <f t="shared" ref="D9:D18" si="0">IF(C9&gt;0,B9/C9,0)</f>
        <v>1.5867262399019266</v>
      </c>
      <c r="I9" t="s">
        <v>135</v>
      </c>
      <c r="J9" s="20">
        <v>3582</v>
      </c>
      <c r="K9" s="20">
        <v>2296.174</v>
      </c>
      <c r="L9" s="7">
        <f>IF(K9&gt;0,J9/K9,0)</f>
        <v>1.5599863076578691</v>
      </c>
    </row>
    <row r="10" spans="1:12" x14ac:dyDescent="0.35">
      <c r="A10" t="s">
        <v>138</v>
      </c>
      <c r="B10" s="20">
        <f>J14</f>
        <v>716.63759999999991</v>
      </c>
      <c r="C10" s="20">
        <f>K14</f>
        <v>1063.8522</v>
      </c>
      <c r="D10" s="7">
        <f t="shared" si="0"/>
        <v>0.67362515206529616</v>
      </c>
      <c r="I10" t="s">
        <v>275</v>
      </c>
      <c r="J10" s="20">
        <v>296.09999999999997</v>
      </c>
      <c r="K10" s="20">
        <v>270.0607</v>
      </c>
      <c r="L10" s="7">
        <f t="shared" ref="L10:L41" si="1">IF(K10&gt;0,J10/K10,0)</f>
        <v>1.0964201751680269</v>
      </c>
    </row>
    <row r="11" spans="1:12" x14ac:dyDescent="0.35">
      <c r="A11" t="s">
        <v>140</v>
      </c>
      <c r="B11" s="20">
        <f>SUM(J15:J16)</f>
        <v>135.70850000000002</v>
      </c>
      <c r="C11" s="20">
        <f>SUM(K15:K16)</f>
        <v>163.16199999999998</v>
      </c>
      <c r="D11" s="7">
        <f t="shared" si="0"/>
        <v>0.83174084652063618</v>
      </c>
      <c r="I11" t="s">
        <v>136</v>
      </c>
      <c r="J11" s="20">
        <v>112.40949999999999</v>
      </c>
      <c r="K11" s="20">
        <v>17.494399999999999</v>
      </c>
      <c r="L11" s="7">
        <f t="shared" si="1"/>
        <v>6.4254561459667094</v>
      </c>
    </row>
    <row r="12" spans="1:12" x14ac:dyDescent="0.35">
      <c r="A12" t="s">
        <v>142</v>
      </c>
      <c r="B12" s="20">
        <f>SUM(J17:J20)</f>
        <v>3829.3159999999998</v>
      </c>
      <c r="C12" s="20">
        <f>SUM(K17:K20)</f>
        <v>333.53699999999998</v>
      </c>
      <c r="D12" s="7">
        <f t="shared" si="0"/>
        <v>11.480933149845445</v>
      </c>
      <c r="I12" t="s">
        <v>276</v>
      </c>
      <c r="J12" s="20">
        <v>316.38669999999996</v>
      </c>
      <c r="K12" s="20">
        <v>114.32469999999999</v>
      </c>
      <c r="L12" s="7">
        <f t="shared" si="1"/>
        <v>2.7674395821725311</v>
      </c>
    </row>
    <row r="13" spans="1:12" x14ac:dyDescent="0.35">
      <c r="A13" t="s">
        <v>143</v>
      </c>
      <c r="B13" s="20">
        <f>SUM(J21:J22)</f>
        <v>7156.2767499999991</v>
      </c>
      <c r="C13" s="20">
        <f>SUM(K21:K22)</f>
        <v>525.7595</v>
      </c>
      <c r="D13" s="7">
        <f t="shared" si="0"/>
        <v>13.611312301537108</v>
      </c>
      <c r="I13" t="s">
        <v>137</v>
      </c>
      <c r="J13" s="20">
        <v>37.36</v>
      </c>
      <c r="K13" s="20">
        <v>39.82</v>
      </c>
      <c r="L13" s="7">
        <f t="shared" si="1"/>
        <v>0.93822199899547964</v>
      </c>
    </row>
    <row r="14" spans="1:12" x14ac:dyDescent="0.35">
      <c r="A14" t="s">
        <v>147</v>
      </c>
      <c r="B14" s="20">
        <f>SUM(J26:J29)</f>
        <v>4261.2</v>
      </c>
      <c r="C14" s="20">
        <f>SUM(K26:K29)</f>
        <v>323.55600000000004</v>
      </c>
      <c r="D14" s="7">
        <f t="shared" si="0"/>
        <v>13.169899491896301</v>
      </c>
      <c r="I14" t="s">
        <v>138</v>
      </c>
      <c r="J14" s="20">
        <v>716.63759999999991</v>
      </c>
      <c r="K14" s="20">
        <v>1063.8522</v>
      </c>
      <c r="L14" s="7">
        <f t="shared" si="1"/>
        <v>0.67362515206529616</v>
      </c>
    </row>
    <row r="15" spans="1:12" x14ac:dyDescent="0.35">
      <c r="A15" s="32" t="s">
        <v>726</v>
      </c>
      <c r="B15" s="11">
        <f>SUM(J23,J30:J32)</f>
        <v>4807.4400000000005</v>
      </c>
      <c r="C15" s="11">
        <f>SUM(K23,K30:K32)</f>
        <v>227.5</v>
      </c>
      <c r="D15" s="7">
        <f t="shared" si="0"/>
        <v>21.131604395604398</v>
      </c>
      <c r="I15" t="s">
        <v>139</v>
      </c>
      <c r="J15" s="20">
        <v>46.388999999999996</v>
      </c>
      <c r="K15" s="20">
        <v>47.894999999999996</v>
      </c>
      <c r="L15" s="7">
        <f t="shared" si="1"/>
        <v>0.96855621672408387</v>
      </c>
    </row>
    <row r="16" spans="1:12" x14ac:dyDescent="0.35">
      <c r="A16" t="s">
        <v>148</v>
      </c>
      <c r="B16" s="20">
        <f>SUM(J24:J25,J33:J35)</f>
        <v>48.501799999999989</v>
      </c>
      <c r="C16" s="20">
        <f>SUM(K24:K25,K33:K35)</f>
        <v>64.260400000000004</v>
      </c>
      <c r="D16" s="7">
        <f t="shared" si="0"/>
        <v>0.75476965596230317</v>
      </c>
      <c r="I16" t="s">
        <v>140</v>
      </c>
      <c r="J16" s="20">
        <v>89.319500000000005</v>
      </c>
      <c r="K16" s="20">
        <v>115.267</v>
      </c>
      <c r="L16" s="7">
        <f t="shared" si="1"/>
        <v>0.77489220678945414</v>
      </c>
    </row>
    <row r="17" spans="1:12" x14ac:dyDescent="0.35">
      <c r="A17" t="s">
        <v>676</v>
      </c>
      <c r="B17" s="20">
        <f>SUM(J36,J38:J41)</f>
        <v>914.22850000000005</v>
      </c>
      <c r="C17" s="20">
        <f>SUM(K36,K38:K41)</f>
        <v>5057.6725499999993</v>
      </c>
      <c r="D17" s="7">
        <f t="shared" si="0"/>
        <v>0.18076071373976163</v>
      </c>
      <c r="I17" t="s">
        <v>141</v>
      </c>
      <c r="J17" s="20">
        <v>845.34199999999998</v>
      </c>
      <c r="K17" s="20">
        <v>59.63</v>
      </c>
      <c r="L17" s="7">
        <f t="shared" si="1"/>
        <v>14.176454804628541</v>
      </c>
    </row>
    <row r="18" spans="1:12" x14ac:dyDescent="0.35">
      <c r="A18" t="s">
        <v>281</v>
      </c>
      <c r="B18" s="20">
        <f>J37</f>
        <v>5456.9039999999995</v>
      </c>
      <c r="C18" s="20">
        <f>K37</f>
        <v>5138.9314999999997</v>
      </c>
      <c r="D18" s="7">
        <f t="shared" si="0"/>
        <v>1.0618752166671224</v>
      </c>
      <c r="I18" t="s">
        <v>542</v>
      </c>
      <c r="J18" s="20">
        <v>1978.952</v>
      </c>
      <c r="K18" s="20">
        <v>212.976</v>
      </c>
      <c r="L18" s="7">
        <f t="shared" si="1"/>
        <v>9.2919014349034637</v>
      </c>
    </row>
    <row r="19" spans="1:12" x14ac:dyDescent="0.35">
      <c r="B19" s="20"/>
      <c r="C19" s="20"/>
      <c r="D19" s="7"/>
      <c r="I19" t="s">
        <v>543</v>
      </c>
      <c r="J19" s="20">
        <v>976.69100000000003</v>
      </c>
      <c r="K19" s="20">
        <v>57.534999999999997</v>
      </c>
      <c r="L19" s="7">
        <f t="shared" si="1"/>
        <v>16.975597462414186</v>
      </c>
    </row>
    <row r="20" spans="1:12" x14ac:dyDescent="0.35">
      <c r="B20" s="20"/>
      <c r="C20" s="20"/>
      <c r="D20" s="7"/>
      <c r="I20" t="s">
        <v>142</v>
      </c>
      <c r="J20" s="20">
        <v>28.331</v>
      </c>
      <c r="K20" s="20">
        <v>3.3959999999999999</v>
      </c>
      <c r="L20" s="7">
        <f t="shared" si="1"/>
        <v>8.3424617196702009</v>
      </c>
    </row>
    <row r="21" spans="1:12" x14ac:dyDescent="0.35">
      <c r="B21" s="20"/>
      <c r="C21" s="20"/>
      <c r="D21" s="7"/>
      <c r="I21" t="s">
        <v>544</v>
      </c>
      <c r="J21" s="20">
        <v>2774.8892500000002</v>
      </c>
      <c r="K21" s="20">
        <v>108.88149999999999</v>
      </c>
      <c r="L21" s="7">
        <f t="shared" si="1"/>
        <v>25.485406152560358</v>
      </c>
    </row>
    <row r="22" spans="1:12" x14ac:dyDescent="0.35">
      <c r="B22" s="20"/>
      <c r="C22" s="20"/>
      <c r="D22" s="7"/>
      <c r="I22" t="s">
        <v>143</v>
      </c>
      <c r="J22" s="20">
        <v>4381.3874999999989</v>
      </c>
      <c r="K22" s="20">
        <v>416.87800000000004</v>
      </c>
      <c r="L22" s="7">
        <f t="shared" si="1"/>
        <v>10.509999328340662</v>
      </c>
    </row>
    <row r="23" spans="1:12" x14ac:dyDescent="0.35">
      <c r="B23" s="20"/>
      <c r="C23" s="20"/>
      <c r="D23" s="7"/>
      <c r="I23" t="s">
        <v>144</v>
      </c>
      <c r="J23" s="20">
        <v>4606.1000000000004</v>
      </c>
      <c r="K23" s="20">
        <v>71.900000000000006</v>
      </c>
      <c r="L23" s="7">
        <f t="shared" si="1"/>
        <v>64.062586926286514</v>
      </c>
    </row>
    <row r="24" spans="1:12" x14ac:dyDescent="0.35">
      <c r="B24" s="20"/>
      <c r="C24" s="20"/>
      <c r="D24" s="7"/>
      <c r="I24" t="s">
        <v>145</v>
      </c>
      <c r="J24" s="20">
        <v>10.632999999999999</v>
      </c>
      <c r="K24" s="20">
        <v>15.427</v>
      </c>
      <c r="L24" s="7">
        <f t="shared" si="1"/>
        <v>0.68924612692033449</v>
      </c>
    </row>
    <row r="25" spans="1:12" x14ac:dyDescent="0.35">
      <c r="B25" s="20"/>
      <c r="C25" s="20"/>
      <c r="D25" s="7"/>
      <c r="I25" t="s">
        <v>146</v>
      </c>
      <c r="J25" s="20">
        <v>29.055999999999997</v>
      </c>
      <c r="K25" s="20">
        <v>38.198999999999998</v>
      </c>
      <c r="L25" s="7">
        <f t="shared" si="1"/>
        <v>0.76064818450744776</v>
      </c>
    </row>
    <row r="26" spans="1:12" x14ac:dyDescent="0.35">
      <c r="B26" s="20"/>
      <c r="C26" s="20"/>
      <c r="D26" s="7"/>
      <c r="I26" t="s">
        <v>545</v>
      </c>
      <c r="J26" s="20">
        <v>36.465999999999994</v>
      </c>
      <c r="K26" s="20">
        <v>26.773</v>
      </c>
      <c r="L26" s="7">
        <f t="shared" si="1"/>
        <v>1.3620438501475365</v>
      </c>
    </row>
    <row r="27" spans="1:12" x14ac:dyDescent="0.35">
      <c r="B27" s="20"/>
      <c r="C27" s="20"/>
      <c r="D27" s="7"/>
      <c r="I27" t="s">
        <v>546</v>
      </c>
      <c r="J27" s="20">
        <v>857.88499999999999</v>
      </c>
      <c r="K27" s="20">
        <v>38.456000000000003</v>
      </c>
      <c r="L27" s="7">
        <f t="shared" si="1"/>
        <v>22.308222384023296</v>
      </c>
    </row>
    <row r="28" spans="1:12" x14ac:dyDescent="0.35">
      <c r="B28" s="20"/>
      <c r="C28" s="20"/>
      <c r="D28" s="7"/>
      <c r="I28" t="s">
        <v>592</v>
      </c>
      <c r="J28" s="20">
        <v>49.457999999999998</v>
      </c>
      <c r="K28" s="20">
        <v>4.1025</v>
      </c>
      <c r="L28" s="7">
        <f t="shared" si="1"/>
        <v>12.055575868372943</v>
      </c>
    </row>
    <row r="29" spans="1:12" x14ac:dyDescent="0.35">
      <c r="B29" s="20"/>
      <c r="C29" s="20"/>
      <c r="D29" s="7"/>
      <c r="I29" t="s">
        <v>147</v>
      </c>
      <c r="J29" s="20">
        <v>3317.3910000000001</v>
      </c>
      <c r="K29" s="20">
        <v>254.22450000000003</v>
      </c>
      <c r="L29" s="7">
        <f t="shared" si="1"/>
        <v>13.049060967766676</v>
      </c>
    </row>
    <row r="30" spans="1:12" x14ac:dyDescent="0.35">
      <c r="B30" s="20"/>
      <c r="C30" s="20"/>
      <c r="D30" s="7"/>
      <c r="I30" t="s">
        <v>279</v>
      </c>
      <c r="J30" s="20">
        <v>183.54000000000002</v>
      </c>
      <c r="K30" s="20">
        <v>107.75999999999999</v>
      </c>
      <c r="L30" s="7">
        <f t="shared" si="1"/>
        <v>1.7032293986636975</v>
      </c>
    </row>
    <row r="31" spans="1:12" x14ac:dyDescent="0.35">
      <c r="B31" s="20"/>
      <c r="C31" s="20"/>
      <c r="D31" s="7"/>
      <c r="I31" t="s">
        <v>278</v>
      </c>
      <c r="J31" s="20">
        <v>17.8</v>
      </c>
      <c r="K31" s="20">
        <v>47.84</v>
      </c>
      <c r="L31" s="7">
        <f t="shared" si="1"/>
        <v>0.3720735785953177</v>
      </c>
    </row>
    <row r="32" spans="1:12" x14ac:dyDescent="0.35">
      <c r="B32" s="20"/>
      <c r="C32" s="20"/>
      <c r="D32" s="7"/>
      <c r="I32" t="s">
        <v>277</v>
      </c>
      <c r="J32" s="20">
        <v>0</v>
      </c>
      <c r="K32" s="20">
        <v>0</v>
      </c>
      <c r="L32" s="7">
        <f t="shared" si="1"/>
        <v>0</v>
      </c>
    </row>
    <row r="33" spans="1:12" x14ac:dyDescent="0.35">
      <c r="B33" s="20"/>
      <c r="C33" s="20"/>
      <c r="D33" s="7"/>
      <c r="I33" t="s">
        <v>280</v>
      </c>
      <c r="J33" s="20">
        <v>0</v>
      </c>
      <c r="K33" s="20">
        <v>0</v>
      </c>
      <c r="L33" s="7">
        <f t="shared" si="1"/>
        <v>0</v>
      </c>
    </row>
    <row r="34" spans="1:12" x14ac:dyDescent="0.35">
      <c r="B34" s="20"/>
      <c r="C34" s="20"/>
      <c r="D34" s="7"/>
      <c r="I34" t="s">
        <v>551</v>
      </c>
      <c r="J34" s="20">
        <v>0</v>
      </c>
      <c r="K34" s="20">
        <v>0</v>
      </c>
      <c r="L34" s="7">
        <f t="shared" si="1"/>
        <v>0</v>
      </c>
    </row>
    <row r="35" spans="1:12" x14ac:dyDescent="0.35">
      <c r="A35" s="26"/>
      <c r="B35" s="27"/>
      <c r="C35" s="27"/>
      <c r="D35" s="28"/>
      <c r="I35" s="26" t="s">
        <v>148</v>
      </c>
      <c r="J35" s="27">
        <v>8.8127999999999993</v>
      </c>
      <c r="K35" s="27">
        <v>10.634399999999999</v>
      </c>
      <c r="L35" s="28">
        <f t="shared" si="1"/>
        <v>0.82870683818551116</v>
      </c>
    </row>
    <row r="36" spans="1:12" x14ac:dyDescent="0.35">
      <c r="B36" s="20"/>
      <c r="C36" s="20"/>
      <c r="D36" s="7"/>
      <c r="I36" t="s">
        <v>149</v>
      </c>
      <c r="J36" s="20">
        <v>329.18700000000001</v>
      </c>
      <c r="K36" s="20">
        <v>2156.5823999999998</v>
      </c>
      <c r="L36" s="7">
        <f t="shared" si="1"/>
        <v>0.15264290388347787</v>
      </c>
    </row>
    <row r="37" spans="1:12" x14ac:dyDescent="0.35">
      <c r="B37" s="20"/>
      <c r="C37" s="20"/>
      <c r="D37" s="7"/>
      <c r="I37" t="s">
        <v>281</v>
      </c>
      <c r="J37" s="20">
        <v>5456.9039999999995</v>
      </c>
      <c r="K37" s="20">
        <v>5138.9314999999997</v>
      </c>
      <c r="L37" s="7">
        <f t="shared" si="1"/>
        <v>1.0618752166671224</v>
      </c>
    </row>
    <row r="38" spans="1:12" x14ac:dyDescent="0.35">
      <c r="B38" s="20"/>
      <c r="C38" s="20"/>
      <c r="D38" s="7"/>
      <c r="I38" t="s">
        <v>150</v>
      </c>
      <c r="J38" s="20">
        <v>133.07849999999999</v>
      </c>
      <c r="K38" s="20">
        <v>578.26499999999999</v>
      </c>
      <c r="L38" s="7">
        <f t="shared" si="1"/>
        <v>0.23013410806464163</v>
      </c>
    </row>
    <row r="39" spans="1:12" x14ac:dyDescent="0.35">
      <c r="B39" s="20"/>
      <c r="C39" s="20"/>
      <c r="D39" s="7"/>
      <c r="I39" t="s">
        <v>547</v>
      </c>
      <c r="J39" s="20">
        <v>147.816</v>
      </c>
      <c r="K39" s="20">
        <v>309.48</v>
      </c>
      <c r="L39" s="7">
        <f t="shared" si="1"/>
        <v>0.47762698720434277</v>
      </c>
    </row>
    <row r="40" spans="1:12" x14ac:dyDescent="0.35">
      <c r="B40" s="20"/>
      <c r="C40" s="20"/>
      <c r="D40" s="7"/>
      <c r="I40" t="s">
        <v>282</v>
      </c>
      <c r="J40" s="20">
        <v>163.32599999999999</v>
      </c>
      <c r="K40" s="20">
        <v>1695.40335</v>
      </c>
      <c r="L40" s="7">
        <f t="shared" si="1"/>
        <v>9.6334597899667945E-2</v>
      </c>
    </row>
    <row r="41" spans="1:12" x14ac:dyDescent="0.35">
      <c r="B41" s="20"/>
      <c r="C41" s="20"/>
      <c r="D41" s="7"/>
      <c r="I41" t="s">
        <v>283</v>
      </c>
      <c r="J41" s="20">
        <v>140.821</v>
      </c>
      <c r="K41" s="20">
        <v>317.9418</v>
      </c>
      <c r="L41" s="7">
        <f t="shared" si="1"/>
        <v>0.4429143950244982</v>
      </c>
    </row>
    <row r="42" spans="1:12" x14ac:dyDescent="0.35">
      <c r="B42" s="20"/>
      <c r="J42" s="20"/>
    </row>
    <row r="43" spans="1:12" x14ac:dyDescent="0.35">
      <c r="B43" s="20"/>
      <c r="J43" s="20"/>
    </row>
    <row r="44" spans="1:12" x14ac:dyDescent="0.35">
      <c r="B44" s="20"/>
      <c r="J44" s="2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-0.499984740745262"/>
  </sheetPr>
  <dimension ref="A1:BU85"/>
  <sheetViews>
    <sheetView showZeros="0" zoomScale="85" zoomScaleNormal="85" workbookViewId="0">
      <pane ySplit="6" topLeftCell="A7" activePane="bottomLeft" state="frozen"/>
      <selection activeCell="D7" sqref="D7:E19"/>
      <selection pane="bottomLeft" activeCell="M1" sqref="L1:M2"/>
    </sheetView>
  </sheetViews>
  <sheetFormatPr defaultRowHeight="14.5" x14ac:dyDescent="0.35"/>
  <sheetData>
    <row r="1" spans="1:73" ht="18.5" x14ac:dyDescent="0.45">
      <c r="A1" s="5" t="s">
        <v>439</v>
      </c>
    </row>
    <row r="2" spans="1:73" x14ac:dyDescent="0.35">
      <c r="A2" s="3" t="s">
        <v>364</v>
      </c>
      <c r="B2" s="4" t="s">
        <v>462</v>
      </c>
    </row>
    <row r="4" spans="1:73" x14ac:dyDescent="0.35">
      <c r="C4" s="19" t="s">
        <v>540</v>
      </c>
      <c r="H4" s="19" t="s">
        <v>540</v>
      </c>
      <c r="I4" s="19" t="s">
        <v>540</v>
      </c>
      <c r="J4" s="19" t="s">
        <v>540</v>
      </c>
      <c r="K4" s="19" t="s">
        <v>540</v>
      </c>
      <c r="L4" s="19"/>
      <c r="M4" s="19"/>
      <c r="O4" s="19" t="s">
        <v>540</v>
      </c>
      <c r="P4" s="19" t="s">
        <v>540</v>
      </c>
      <c r="Q4" s="19" t="s">
        <v>540</v>
      </c>
      <c r="R4" s="19" t="s">
        <v>540</v>
      </c>
      <c r="S4" s="19" t="s">
        <v>540</v>
      </c>
      <c r="T4" s="19" t="s">
        <v>540</v>
      </c>
      <c r="U4" s="19" t="s">
        <v>540</v>
      </c>
      <c r="V4" s="19" t="s">
        <v>540</v>
      </c>
    </row>
    <row r="5" spans="1:73" x14ac:dyDescent="0.35">
      <c r="A5" s="1" t="s">
        <v>440</v>
      </c>
      <c r="C5" s="1" t="s">
        <v>441</v>
      </c>
      <c r="G5" s="1" t="s">
        <v>460</v>
      </c>
      <c r="N5" s="1" t="s">
        <v>460</v>
      </c>
    </row>
    <row r="6" spans="1:73" x14ac:dyDescent="0.35">
      <c r="A6" t="s">
        <v>359</v>
      </c>
      <c r="C6" t="s">
        <v>359</v>
      </c>
      <c r="D6" t="s">
        <v>250</v>
      </c>
      <c r="G6" s="20"/>
      <c r="H6" s="20" t="s">
        <v>552</v>
      </c>
      <c r="I6" s="20" t="s">
        <v>553</v>
      </c>
      <c r="J6" s="20" t="s">
        <v>554</v>
      </c>
      <c r="K6" s="20" t="s">
        <v>555</v>
      </c>
      <c r="L6" s="20"/>
      <c r="M6" s="20"/>
      <c r="N6" s="20"/>
      <c r="O6" s="20" t="s">
        <v>294</v>
      </c>
      <c r="P6" s="20" t="s">
        <v>210</v>
      </c>
      <c r="Q6" s="20" t="s">
        <v>211</v>
      </c>
      <c r="R6" s="20" t="s">
        <v>212</v>
      </c>
      <c r="S6" s="20" t="s">
        <v>295</v>
      </c>
      <c r="T6" s="20" t="s">
        <v>213</v>
      </c>
      <c r="U6" s="20" t="s">
        <v>214</v>
      </c>
      <c r="V6" s="20" t="s">
        <v>215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</row>
    <row r="7" spans="1:73" x14ac:dyDescent="0.35">
      <c r="A7" t="s">
        <v>442</v>
      </c>
      <c r="C7" s="17" t="s">
        <v>504</v>
      </c>
      <c r="D7" t="s">
        <v>675</v>
      </c>
      <c r="G7" t="s">
        <v>442</v>
      </c>
      <c r="H7" s="20">
        <f>O7</f>
        <v>136.74632202205964</v>
      </c>
      <c r="I7" s="20">
        <f t="shared" ref="I7:I41" si="0">P7</f>
        <v>160.11760310786471</v>
      </c>
      <c r="J7" s="20">
        <f t="shared" ref="J7:J41" si="1">Q7</f>
        <v>208.16989491759821</v>
      </c>
      <c r="K7" s="20">
        <f t="shared" ref="K7:K41" si="2">R7</f>
        <v>1427.2523591962188</v>
      </c>
      <c r="L7" s="20"/>
      <c r="M7" s="20"/>
      <c r="N7" t="s">
        <v>442</v>
      </c>
      <c r="O7" s="20">
        <v>136.74632202205964</v>
      </c>
      <c r="P7" s="20">
        <v>160.11760310786471</v>
      </c>
      <c r="Q7" s="20">
        <v>208.16989491759821</v>
      </c>
      <c r="R7" s="20">
        <v>1427.2523591962188</v>
      </c>
      <c r="S7" s="20">
        <v>136.74632202205964</v>
      </c>
      <c r="T7" s="20">
        <v>160.11760310786471</v>
      </c>
      <c r="U7" s="20">
        <v>208.16989491759821</v>
      </c>
      <c r="V7" s="20">
        <v>1427.2523591962188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</row>
    <row r="8" spans="1:73" x14ac:dyDescent="0.35">
      <c r="A8" t="s">
        <v>504</v>
      </c>
      <c r="C8" s="17" t="s">
        <v>506</v>
      </c>
      <c r="D8" t="s">
        <v>138</v>
      </c>
      <c r="G8" t="s">
        <v>504</v>
      </c>
      <c r="H8" s="20">
        <f t="shared" ref="H8:H41" si="3">O8</f>
        <v>136.74632202205964</v>
      </c>
      <c r="I8" s="20">
        <f t="shared" si="0"/>
        <v>160.11760310786471</v>
      </c>
      <c r="J8" s="20">
        <f t="shared" si="1"/>
        <v>208.16989491759821</v>
      </c>
      <c r="K8" s="20">
        <f t="shared" si="2"/>
        <v>1427.2523591962188</v>
      </c>
      <c r="L8" s="20"/>
      <c r="M8" s="20"/>
      <c r="N8" t="s">
        <v>504</v>
      </c>
      <c r="O8" s="20">
        <v>136.74632202205964</v>
      </c>
      <c r="P8" s="20">
        <v>160.11760310786471</v>
      </c>
      <c r="Q8" s="20">
        <v>208.16989491759821</v>
      </c>
      <c r="R8" s="20">
        <v>1427.2523591962188</v>
      </c>
      <c r="S8" s="20">
        <v>136.74632202205964</v>
      </c>
      <c r="T8" s="20">
        <v>160.11760310786471</v>
      </c>
      <c r="U8" s="20">
        <v>208.16989491759821</v>
      </c>
      <c r="V8" s="20">
        <v>1427.2523591962188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</row>
    <row r="9" spans="1:73" x14ac:dyDescent="0.35">
      <c r="A9" t="s">
        <v>506</v>
      </c>
      <c r="C9" s="17" t="s">
        <v>507</v>
      </c>
      <c r="D9" t="s">
        <v>140</v>
      </c>
      <c r="G9" t="s">
        <v>506</v>
      </c>
      <c r="H9" s="20">
        <f t="shared" si="3"/>
        <v>136.74632202205964</v>
      </c>
      <c r="I9" s="20">
        <f t="shared" si="0"/>
        <v>160.11760310786471</v>
      </c>
      <c r="J9" s="20">
        <f t="shared" si="1"/>
        <v>208.16989491759821</v>
      </c>
      <c r="K9" s="20">
        <f t="shared" si="2"/>
        <v>1427.2523591962188</v>
      </c>
      <c r="L9" s="20"/>
      <c r="M9" s="20"/>
      <c r="N9" t="s">
        <v>506</v>
      </c>
      <c r="O9" s="20">
        <v>136.74632202205964</v>
      </c>
      <c r="P9" s="20">
        <v>160.11760310786471</v>
      </c>
      <c r="Q9" s="20">
        <v>208.16989491759821</v>
      </c>
      <c r="R9" s="20">
        <v>1427.2523591962188</v>
      </c>
      <c r="S9" s="20">
        <v>136.74632202205964</v>
      </c>
      <c r="T9" s="20">
        <v>160.11760310786471</v>
      </c>
      <c r="U9" s="20">
        <v>208.16989491759821</v>
      </c>
      <c r="V9" s="20">
        <v>1427.2523591962188</v>
      </c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</row>
    <row r="10" spans="1:73" x14ac:dyDescent="0.35">
      <c r="A10" t="s">
        <v>507</v>
      </c>
      <c r="C10" s="17" t="s">
        <v>505</v>
      </c>
      <c r="D10" t="s">
        <v>142</v>
      </c>
      <c r="G10" t="s">
        <v>507</v>
      </c>
      <c r="H10" s="20">
        <f t="shared" si="3"/>
        <v>136.74632202205964</v>
      </c>
      <c r="I10" s="20">
        <f t="shared" si="0"/>
        <v>160.11760310786471</v>
      </c>
      <c r="J10" s="20">
        <f t="shared" si="1"/>
        <v>208.16989491759821</v>
      </c>
      <c r="K10" s="20">
        <f t="shared" si="2"/>
        <v>1427.2523591962188</v>
      </c>
      <c r="L10" s="20"/>
      <c r="M10" s="20"/>
      <c r="N10" t="s">
        <v>507</v>
      </c>
      <c r="O10" s="20">
        <v>136.74632202205964</v>
      </c>
      <c r="P10" s="20">
        <v>160.11760310786471</v>
      </c>
      <c r="Q10" s="20">
        <v>208.16989491759821</v>
      </c>
      <c r="R10" s="20">
        <v>1427.2523591962188</v>
      </c>
      <c r="S10" s="20">
        <v>136.74632202205964</v>
      </c>
      <c r="T10" s="20">
        <v>160.11760310786471</v>
      </c>
      <c r="U10" s="20">
        <v>208.16989491759821</v>
      </c>
      <c r="V10" s="20">
        <v>1427.2523591962188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</row>
    <row r="11" spans="1:73" x14ac:dyDescent="0.35">
      <c r="A11" t="s">
        <v>505</v>
      </c>
      <c r="C11" s="17" t="s">
        <v>508</v>
      </c>
      <c r="D11" t="s">
        <v>143</v>
      </c>
      <c r="G11" t="s">
        <v>505</v>
      </c>
      <c r="H11" s="20">
        <f t="shared" si="3"/>
        <v>136.74632202205964</v>
      </c>
      <c r="I11" s="20">
        <f t="shared" si="0"/>
        <v>160.11760310786471</v>
      </c>
      <c r="J11" s="20">
        <f t="shared" si="1"/>
        <v>208.16989491759821</v>
      </c>
      <c r="K11" s="20">
        <f t="shared" si="2"/>
        <v>1427.2523591962188</v>
      </c>
      <c r="L11" s="20"/>
      <c r="M11" s="20"/>
      <c r="N11" t="s">
        <v>505</v>
      </c>
      <c r="O11" s="20">
        <v>136.74632202205964</v>
      </c>
      <c r="P11" s="20">
        <v>160.11760310786471</v>
      </c>
      <c r="Q11" s="20">
        <v>208.16989491759821</v>
      </c>
      <c r="R11" s="20">
        <v>1427.2523591962188</v>
      </c>
      <c r="S11" s="20">
        <v>136.74632202205964</v>
      </c>
      <c r="T11" s="20">
        <v>160.11760310786471</v>
      </c>
      <c r="U11" s="20">
        <v>208.16989491759821</v>
      </c>
      <c r="V11" s="20">
        <v>1427.2523591962188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</row>
    <row r="12" spans="1:73" x14ac:dyDescent="0.35">
      <c r="A12" t="s">
        <v>508</v>
      </c>
      <c r="C12" s="17" t="s">
        <v>509</v>
      </c>
      <c r="D12" t="s">
        <v>147</v>
      </c>
      <c r="G12" t="s">
        <v>508</v>
      </c>
      <c r="H12" s="20">
        <f t="shared" si="3"/>
        <v>136.74632202205964</v>
      </c>
      <c r="I12" s="20">
        <f t="shared" si="0"/>
        <v>160.11760310786471</v>
      </c>
      <c r="J12" s="20">
        <f t="shared" si="1"/>
        <v>208.16989491759821</v>
      </c>
      <c r="K12" s="20">
        <f t="shared" si="2"/>
        <v>1427.2523591962188</v>
      </c>
      <c r="L12" s="20"/>
      <c r="M12" s="20"/>
      <c r="N12" t="s">
        <v>508</v>
      </c>
      <c r="O12" s="20">
        <v>136.74632202205964</v>
      </c>
      <c r="P12" s="20">
        <v>160.11760310786471</v>
      </c>
      <c r="Q12" s="20">
        <v>208.16989491759821</v>
      </c>
      <c r="R12" s="20">
        <v>1427.2523591962188</v>
      </c>
      <c r="S12" s="20">
        <v>136.74632202205964</v>
      </c>
      <c r="T12" s="20">
        <v>160.11760310786471</v>
      </c>
      <c r="U12" s="20">
        <v>208.16989491759821</v>
      </c>
      <c r="V12" s="20">
        <v>1427.2523591962188</v>
      </c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</row>
    <row r="13" spans="1:73" x14ac:dyDescent="0.35">
      <c r="A13" t="s">
        <v>509</v>
      </c>
      <c r="C13" s="17" t="s">
        <v>510</v>
      </c>
      <c r="D13" s="32" t="s">
        <v>726</v>
      </c>
      <c r="G13" t="s">
        <v>509</v>
      </c>
      <c r="H13" s="20">
        <f t="shared" si="3"/>
        <v>136.74632202205964</v>
      </c>
      <c r="I13" s="20">
        <f t="shared" si="0"/>
        <v>160.11760310786471</v>
      </c>
      <c r="J13" s="20">
        <f t="shared" si="1"/>
        <v>208.16989491759821</v>
      </c>
      <c r="K13" s="20">
        <f t="shared" si="2"/>
        <v>1427.2523591962188</v>
      </c>
      <c r="L13" s="20"/>
      <c r="M13" s="20"/>
      <c r="N13" t="s">
        <v>509</v>
      </c>
      <c r="O13" s="20">
        <v>136.74632202205964</v>
      </c>
      <c r="P13" s="20">
        <v>160.11760310786471</v>
      </c>
      <c r="Q13" s="20">
        <v>208.16989491759821</v>
      </c>
      <c r="R13" s="20">
        <v>1427.2523591962188</v>
      </c>
      <c r="S13" s="20">
        <v>136.74632202205964</v>
      </c>
      <c r="T13" s="20">
        <v>160.11760310786471</v>
      </c>
      <c r="U13" s="20">
        <v>208.16989491759821</v>
      </c>
      <c r="V13" s="20">
        <v>1427.2523591962188</v>
      </c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</row>
    <row r="14" spans="1:73" x14ac:dyDescent="0.35">
      <c r="A14" t="s">
        <v>510</v>
      </c>
      <c r="C14" s="17" t="s">
        <v>510</v>
      </c>
      <c r="D14" t="s">
        <v>148</v>
      </c>
      <c r="G14" t="s">
        <v>510</v>
      </c>
      <c r="H14" s="20">
        <f t="shared" si="3"/>
        <v>136.74632202205964</v>
      </c>
      <c r="I14" s="20">
        <f t="shared" si="0"/>
        <v>160.11760310786471</v>
      </c>
      <c r="J14" s="20">
        <f t="shared" si="1"/>
        <v>208.16989491759821</v>
      </c>
      <c r="K14" s="20">
        <f t="shared" si="2"/>
        <v>1427.2523591962188</v>
      </c>
      <c r="L14" s="20"/>
      <c r="M14" s="20"/>
      <c r="N14" t="s">
        <v>510</v>
      </c>
      <c r="O14" s="20">
        <v>136.74632202205964</v>
      </c>
      <c r="P14" s="20">
        <v>160.11760310786471</v>
      </c>
      <c r="Q14" s="20">
        <v>208.16989491759821</v>
      </c>
      <c r="R14" s="20">
        <v>1427.2523591962188</v>
      </c>
      <c r="S14" s="20">
        <v>136.74632202205964</v>
      </c>
      <c r="T14" s="20">
        <v>160.11760310786471</v>
      </c>
      <c r="U14" s="20">
        <v>208.16989491759821</v>
      </c>
      <c r="V14" s="20">
        <v>1427.2523591962188</v>
      </c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</row>
    <row r="15" spans="1:73" x14ac:dyDescent="0.35">
      <c r="A15" t="s">
        <v>511</v>
      </c>
      <c r="C15" s="17" t="s">
        <v>443</v>
      </c>
      <c r="D15" t="s">
        <v>676</v>
      </c>
      <c r="G15" t="s">
        <v>511</v>
      </c>
      <c r="H15" s="20">
        <f t="shared" si="3"/>
        <v>136.74632202205964</v>
      </c>
      <c r="I15" s="20">
        <f t="shared" si="0"/>
        <v>160.11760310786471</v>
      </c>
      <c r="J15" s="20">
        <f t="shared" si="1"/>
        <v>208.16989491759821</v>
      </c>
      <c r="K15" s="20">
        <f t="shared" si="2"/>
        <v>1427.2523591962188</v>
      </c>
      <c r="L15" s="20"/>
      <c r="M15" s="20"/>
      <c r="N15" t="s">
        <v>511</v>
      </c>
      <c r="O15" s="20">
        <v>136.74632202205964</v>
      </c>
      <c r="P15" s="20">
        <v>160.11760310786471</v>
      </c>
      <c r="Q15" s="20">
        <v>208.16989491759821</v>
      </c>
      <c r="R15" s="20">
        <v>1427.2523591962188</v>
      </c>
      <c r="S15" s="20">
        <v>136.74632202205964</v>
      </c>
      <c r="T15" s="20">
        <v>160.11760310786471</v>
      </c>
      <c r="U15" s="20">
        <v>208.16989491759821</v>
      </c>
      <c r="V15" s="20">
        <v>1427.2523591962188</v>
      </c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</row>
    <row r="16" spans="1:73" x14ac:dyDescent="0.35">
      <c r="A16" t="s">
        <v>443</v>
      </c>
      <c r="C16" s="17" t="s">
        <v>443</v>
      </c>
      <c r="D16" t="s">
        <v>281</v>
      </c>
      <c r="G16" t="s">
        <v>443</v>
      </c>
      <c r="H16" s="20">
        <f t="shared" si="3"/>
        <v>136.74632202205964</v>
      </c>
      <c r="I16" s="20">
        <f t="shared" si="0"/>
        <v>160.11760310786471</v>
      </c>
      <c r="J16" s="20">
        <f t="shared" si="1"/>
        <v>208.16989491759821</v>
      </c>
      <c r="K16" s="20">
        <f t="shared" si="2"/>
        <v>1427.2523591962188</v>
      </c>
      <c r="L16" s="20"/>
      <c r="M16" s="20"/>
      <c r="N16" t="s">
        <v>443</v>
      </c>
      <c r="O16" s="20">
        <v>136.74632202205964</v>
      </c>
      <c r="P16" s="20">
        <v>160.11760310786471</v>
      </c>
      <c r="Q16" s="20">
        <v>208.16989491759821</v>
      </c>
      <c r="R16" s="20">
        <v>1427.2523591962188</v>
      </c>
      <c r="S16" s="20">
        <v>136.74632202205964</v>
      </c>
      <c r="T16" s="20">
        <v>160.11760310786471</v>
      </c>
      <c r="U16" s="20">
        <v>208.16989491759821</v>
      </c>
      <c r="V16" s="20">
        <v>1427.2523591962188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</row>
    <row r="17" spans="1:73" x14ac:dyDescent="0.35">
      <c r="A17" t="s">
        <v>444</v>
      </c>
      <c r="C17" s="17" t="s">
        <v>512</v>
      </c>
      <c r="D17" t="s">
        <v>151</v>
      </c>
      <c r="G17" t="s">
        <v>444</v>
      </c>
      <c r="H17" s="20">
        <f t="shared" si="3"/>
        <v>136.74632202205964</v>
      </c>
      <c r="I17" s="20">
        <f t="shared" si="0"/>
        <v>160.11760310786471</v>
      </c>
      <c r="J17" s="20">
        <f t="shared" si="1"/>
        <v>208.16989491759821</v>
      </c>
      <c r="K17" s="20">
        <f t="shared" si="2"/>
        <v>1427.2523591962188</v>
      </c>
      <c r="L17" s="20"/>
      <c r="M17" s="20"/>
      <c r="N17" t="s">
        <v>444</v>
      </c>
      <c r="O17" s="20">
        <v>136.74632202205964</v>
      </c>
      <c r="P17" s="20">
        <v>160.11760310786471</v>
      </c>
      <c r="Q17" s="20">
        <v>208.16989491759821</v>
      </c>
      <c r="R17" s="20">
        <v>1427.2523591962188</v>
      </c>
      <c r="S17" s="20">
        <v>136.74632202205964</v>
      </c>
      <c r="T17" s="20">
        <v>160.11760310786471</v>
      </c>
      <c r="U17" s="20">
        <v>208.16989491759821</v>
      </c>
      <c r="V17" s="20">
        <v>1427.2523591962188</v>
      </c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</row>
    <row r="18" spans="1:73" x14ac:dyDescent="0.35">
      <c r="A18" t="s">
        <v>512</v>
      </c>
      <c r="C18" s="17" t="s">
        <v>513</v>
      </c>
      <c r="D18" t="s">
        <v>152</v>
      </c>
      <c r="G18" t="s">
        <v>512</v>
      </c>
      <c r="H18" s="20">
        <f t="shared" si="3"/>
        <v>136.74632202205964</v>
      </c>
      <c r="I18" s="20">
        <f t="shared" si="0"/>
        <v>160.11760310786471</v>
      </c>
      <c r="J18" s="20">
        <f t="shared" si="1"/>
        <v>208.16989491759821</v>
      </c>
      <c r="K18" s="20">
        <f t="shared" si="2"/>
        <v>1427.2523591962188</v>
      </c>
      <c r="L18" s="20"/>
      <c r="M18" s="20"/>
      <c r="N18" t="s">
        <v>512</v>
      </c>
      <c r="O18" s="20">
        <v>136.74632202205964</v>
      </c>
      <c r="P18" s="20">
        <v>160.11760310786471</v>
      </c>
      <c r="Q18" s="20">
        <v>208.16989491759821</v>
      </c>
      <c r="R18" s="20">
        <v>1427.2523591962188</v>
      </c>
      <c r="S18" s="20">
        <v>136.74632202205964</v>
      </c>
      <c r="T18" s="20">
        <v>160.11760310786471</v>
      </c>
      <c r="U18" s="20">
        <v>208.16989491759821</v>
      </c>
      <c r="V18" s="20">
        <v>1427.2523591962188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</row>
    <row r="19" spans="1:73" x14ac:dyDescent="0.35">
      <c r="A19" t="s">
        <v>513</v>
      </c>
      <c r="C19" s="17" t="s">
        <v>445</v>
      </c>
      <c r="D19" t="s">
        <v>716</v>
      </c>
      <c r="G19" t="s">
        <v>513</v>
      </c>
      <c r="H19" s="20">
        <f t="shared" si="3"/>
        <v>136.74632202205964</v>
      </c>
      <c r="I19" s="20">
        <f t="shared" si="0"/>
        <v>160.11760310786471</v>
      </c>
      <c r="J19" s="20">
        <f t="shared" si="1"/>
        <v>208.16989491759821</v>
      </c>
      <c r="K19" s="20">
        <f t="shared" si="2"/>
        <v>1427.2523591962188</v>
      </c>
      <c r="L19" s="20"/>
      <c r="M19" s="20"/>
      <c r="N19" t="s">
        <v>513</v>
      </c>
      <c r="O19" s="20">
        <v>136.74632202205964</v>
      </c>
      <c r="P19" s="20">
        <v>160.11760310786471</v>
      </c>
      <c r="Q19" s="20">
        <v>208.16989491759821</v>
      </c>
      <c r="R19" s="20">
        <v>1427.2523591962188</v>
      </c>
      <c r="S19" s="20">
        <v>136.74632202205964</v>
      </c>
      <c r="T19" s="20">
        <v>160.11760310786471</v>
      </c>
      <c r="U19" s="20">
        <v>208.16989491759821</v>
      </c>
      <c r="V19" s="20">
        <v>1427.2523591962188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</row>
    <row r="20" spans="1:73" x14ac:dyDescent="0.35">
      <c r="A20" t="s">
        <v>445</v>
      </c>
      <c r="C20" s="17" t="s">
        <v>445</v>
      </c>
      <c r="D20" t="s">
        <v>677</v>
      </c>
      <c r="G20" t="s">
        <v>445</v>
      </c>
      <c r="H20" s="20">
        <f t="shared" si="3"/>
        <v>45.096814278827658</v>
      </c>
      <c r="I20" s="20">
        <f t="shared" si="0"/>
        <v>59.420188915983921</v>
      </c>
      <c r="J20" s="20">
        <f t="shared" si="1"/>
        <v>73.748569808425842</v>
      </c>
      <c r="K20" s="20">
        <f t="shared" si="2"/>
        <v>763.81914784758351</v>
      </c>
      <c r="L20" s="20"/>
      <c r="M20" s="20"/>
      <c r="N20" t="s">
        <v>445</v>
      </c>
      <c r="O20" s="20">
        <v>45.096814278827658</v>
      </c>
      <c r="P20" s="20">
        <v>59.420188915983921</v>
      </c>
      <c r="Q20" s="20">
        <v>73.748569808425842</v>
      </c>
      <c r="R20" s="20">
        <v>763.81914784758351</v>
      </c>
      <c r="S20" s="20">
        <v>45.096814278827658</v>
      </c>
      <c r="T20" s="20">
        <v>59.420188915983921</v>
      </c>
      <c r="U20" s="20">
        <v>73.748569808425842</v>
      </c>
      <c r="V20" s="20">
        <v>763.81914784758351</v>
      </c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</row>
    <row r="21" spans="1:73" x14ac:dyDescent="0.35">
      <c r="A21" t="s">
        <v>446</v>
      </c>
      <c r="C21" s="17" t="s">
        <v>446</v>
      </c>
      <c r="D21" t="s">
        <v>153</v>
      </c>
      <c r="G21" t="s">
        <v>446</v>
      </c>
      <c r="H21" s="20">
        <f t="shared" si="3"/>
        <v>1661.6956324521093</v>
      </c>
      <c r="I21" s="20">
        <f t="shared" si="0"/>
        <v>2217.9415756684302</v>
      </c>
      <c r="J21" s="20">
        <f t="shared" si="1"/>
        <v>6627.6912609840629</v>
      </c>
      <c r="K21" s="20">
        <f t="shared" si="2"/>
        <v>20612.343188590545</v>
      </c>
      <c r="L21" s="20"/>
      <c r="M21" s="20"/>
      <c r="N21" t="s">
        <v>446</v>
      </c>
      <c r="O21" s="20">
        <v>1661.6956324521093</v>
      </c>
      <c r="P21" s="20">
        <v>2217.9415756684302</v>
      </c>
      <c r="Q21" s="20">
        <v>6627.6912609840629</v>
      </c>
      <c r="R21" s="20">
        <v>20612.343188590545</v>
      </c>
      <c r="S21" s="20">
        <v>1661.6956324521093</v>
      </c>
      <c r="T21" s="20">
        <v>2217.9415756684302</v>
      </c>
      <c r="U21" s="20">
        <v>6627.6912609840629</v>
      </c>
      <c r="V21" s="20">
        <v>20612.343188590545</v>
      </c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</row>
    <row r="22" spans="1:73" x14ac:dyDescent="0.35">
      <c r="A22" t="s">
        <v>515</v>
      </c>
      <c r="C22" s="17" t="s">
        <v>446</v>
      </c>
      <c r="D22" t="s">
        <v>284</v>
      </c>
      <c r="G22" t="s">
        <v>515</v>
      </c>
      <c r="H22" s="20">
        <f t="shared" si="3"/>
        <v>1661.6956324521093</v>
      </c>
      <c r="I22" s="20">
        <f t="shared" si="0"/>
        <v>2217.9415756684302</v>
      </c>
      <c r="J22" s="20">
        <f t="shared" si="1"/>
        <v>6627.6912609840629</v>
      </c>
      <c r="K22" s="20">
        <f t="shared" si="2"/>
        <v>20612.343188590545</v>
      </c>
      <c r="L22" s="20"/>
      <c r="M22" s="20"/>
      <c r="N22" t="s">
        <v>515</v>
      </c>
      <c r="O22" s="20">
        <v>1661.6956324521093</v>
      </c>
      <c r="P22" s="20">
        <v>2217.9415756684302</v>
      </c>
      <c r="Q22" s="20">
        <v>6627.6912609840629</v>
      </c>
      <c r="R22" s="20">
        <v>20612.343188590545</v>
      </c>
      <c r="S22" s="20">
        <v>1661.6956324521093</v>
      </c>
      <c r="T22" s="20">
        <v>2217.9415756684302</v>
      </c>
      <c r="U22" s="20">
        <v>6627.6912609840629</v>
      </c>
      <c r="V22" s="20">
        <v>20612.343188590545</v>
      </c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</row>
    <row r="23" spans="1:73" x14ac:dyDescent="0.35">
      <c r="A23" t="s">
        <v>516</v>
      </c>
      <c r="C23" s="17" t="s">
        <v>446</v>
      </c>
      <c r="D23" t="s">
        <v>286</v>
      </c>
      <c r="G23" t="s">
        <v>516</v>
      </c>
      <c r="H23" s="20">
        <f t="shared" si="3"/>
        <v>1661.6956324521093</v>
      </c>
      <c r="I23" s="20">
        <f t="shared" si="0"/>
        <v>2217.9415756684302</v>
      </c>
      <c r="J23" s="20">
        <f t="shared" si="1"/>
        <v>6627.6912609840629</v>
      </c>
      <c r="K23" s="20">
        <f t="shared" si="2"/>
        <v>20612.343188590545</v>
      </c>
      <c r="L23" s="20"/>
      <c r="M23" s="20"/>
      <c r="N23" t="s">
        <v>516</v>
      </c>
      <c r="O23" s="20">
        <v>1661.6956324521093</v>
      </c>
      <c r="P23" s="20">
        <v>2217.9415756684302</v>
      </c>
      <c r="Q23" s="20">
        <v>6627.6912609840629</v>
      </c>
      <c r="R23" s="20">
        <v>20612.343188590545</v>
      </c>
      <c r="S23" s="20">
        <v>1661.6956324521093</v>
      </c>
      <c r="T23" s="20">
        <v>2217.9415756684302</v>
      </c>
      <c r="U23" s="20">
        <v>6627.6912609840629</v>
      </c>
      <c r="V23" s="20">
        <v>20612.343188590545</v>
      </c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</row>
    <row r="24" spans="1:73" x14ac:dyDescent="0.35">
      <c r="A24" t="s">
        <v>447</v>
      </c>
      <c r="C24" s="17" t="s">
        <v>446</v>
      </c>
      <c r="D24" t="s">
        <v>287</v>
      </c>
      <c r="G24" t="s">
        <v>447</v>
      </c>
      <c r="H24" s="20">
        <f t="shared" si="3"/>
        <v>1661.6956324521093</v>
      </c>
      <c r="I24" s="20">
        <f t="shared" si="0"/>
        <v>2217.9415756684302</v>
      </c>
      <c r="J24" s="20">
        <f t="shared" si="1"/>
        <v>6627.6912609840629</v>
      </c>
      <c r="K24" s="20">
        <f t="shared" si="2"/>
        <v>20612.343188590545</v>
      </c>
      <c r="L24" s="20"/>
      <c r="M24" s="20"/>
      <c r="N24" t="s">
        <v>447</v>
      </c>
      <c r="O24" s="20">
        <v>1661.6956324521093</v>
      </c>
      <c r="P24" s="20">
        <v>2217.9415756684302</v>
      </c>
      <c r="Q24" s="20">
        <v>6627.6912609840629</v>
      </c>
      <c r="R24" s="20">
        <v>20612.343188590545</v>
      </c>
      <c r="S24" s="20">
        <v>1661.6956324521093</v>
      </c>
      <c r="T24" s="20">
        <v>2217.9415756684302</v>
      </c>
      <c r="U24" s="20">
        <v>6627.6912609840629</v>
      </c>
      <c r="V24" s="20">
        <v>20612.343188590545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</row>
    <row r="25" spans="1:73" x14ac:dyDescent="0.35">
      <c r="A25" t="s">
        <v>448</v>
      </c>
      <c r="C25" s="17" t="s">
        <v>446</v>
      </c>
      <c r="D25" t="s">
        <v>285</v>
      </c>
      <c r="G25" t="s">
        <v>448</v>
      </c>
      <c r="H25" s="20">
        <f t="shared" si="3"/>
        <v>1661.6956324521093</v>
      </c>
      <c r="I25" s="20">
        <f t="shared" si="0"/>
        <v>2217.9415756684302</v>
      </c>
      <c r="J25" s="20">
        <f t="shared" si="1"/>
        <v>6627.6912609840629</v>
      </c>
      <c r="K25" s="20">
        <f t="shared" si="2"/>
        <v>20612.343188590545</v>
      </c>
      <c r="L25" s="20"/>
      <c r="M25" s="20"/>
      <c r="N25" t="s">
        <v>448</v>
      </c>
      <c r="O25" s="20">
        <v>1661.6956324521093</v>
      </c>
      <c r="P25" s="20">
        <v>2217.9415756684302</v>
      </c>
      <c r="Q25" s="20">
        <v>6627.6912609840629</v>
      </c>
      <c r="R25" s="20">
        <v>20612.343188590545</v>
      </c>
      <c r="S25" s="20">
        <v>1661.6956324521093</v>
      </c>
      <c r="T25" s="20">
        <v>2217.9415756684302</v>
      </c>
      <c r="U25" s="20">
        <v>6627.6912609840629</v>
      </c>
      <c r="V25" s="20">
        <v>20612.343188590545</v>
      </c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</row>
    <row r="26" spans="1:73" x14ac:dyDescent="0.35">
      <c r="A26" t="s">
        <v>449</v>
      </c>
      <c r="C26" s="17" t="s">
        <v>446</v>
      </c>
      <c r="D26" t="s">
        <v>154</v>
      </c>
      <c r="G26" t="s">
        <v>449</v>
      </c>
      <c r="H26" s="20">
        <f t="shared" si="3"/>
        <v>1661.6956324521093</v>
      </c>
      <c r="I26" s="20">
        <f t="shared" si="0"/>
        <v>2217.9415756684302</v>
      </c>
      <c r="J26" s="20">
        <f t="shared" si="1"/>
        <v>6627.6912609840629</v>
      </c>
      <c r="K26" s="20">
        <f t="shared" si="2"/>
        <v>20612.343188590545</v>
      </c>
      <c r="L26" s="20"/>
      <c r="M26" s="20"/>
      <c r="N26" t="s">
        <v>449</v>
      </c>
      <c r="O26" s="20">
        <v>1661.6956324521093</v>
      </c>
      <c r="P26" s="20">
        <v>2217.9415756684302</v>
      </c>
      <c r="Q26" s="20">
        <v>6627.6912609840629</v>
      </c>
      <c r="R26" s="20">
        <v>20612.343188590545</v>
      </c>
      <c r="S26" s="20">
        <v>1661.6956324521093</v>
      </c>
      <c r="T26" s="20">
        <v>2217.9415756684302</v>
      </c>
      <c r="U26" s="20">
        <v>6627.6912609840629</v>
      </c>
      <c r="V26" s="20">
        <v>20612.343188590545</v>
      </c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</row>
    <row r="27" spans="1:73" x14ac:dyDescent="0.35">
      <c r="A27" t="s">
        <v>450</v>
      </c>
      <c r="C27" s="17" t="s">
        <v>446</v>
      </c>
      <c r="D27" t="s">
        <v>678</v>
      </c>
      <c r="G27" t="s">
        <v>450</v>
      </c>
      <c r="H27" s="20">
        <f t="shared" si="3"/>
        <v>1661.6956324521093</v>
      </c>
      <c r="I27" s="20">
        <f t="shared" si="0"/>
        <v>2217.9415756684302</v>
      </c>
      <c r="J27" s="20">
        <f t="shared" si="1"/>
        <v>6627.6912609840629</v>
      </c>
      <c r="K27" s="20">
        <f t="shared" si="2"/>
        <v>20612.343188590545</v>
      </c>
      <c r="L27" s="20"/>
      <c r="M27" s="20"/>
      <c r="N27" t="s">
        <v>450</v>
      </c>
      <c r="O27" s="20">
        <v>1661.6956324521093</v>
      </c>
      <c r="P27" s="20">
        <v>2217.9415756684302</v>
      </c>
      <c r="Q27" s="20">
        <v>6627.6912609840629</v>
      </c>
      <c r="R27" s="20">
        <v>20612.343188590545</v>
      </c>
      <c r="S27" s="20">
        <v>1661.6956324521093</v>
      </c>
      <c r="T27" s="20">
        <v>2217.9415756684302</v>
      </c>
      <c r="U27" s="20">
        <v>6627.6912609840629</v>
      </c>
      <c r="V27" s="20">
        <v>20612.343188590545</v>
      </c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</row>
    <row r="28" spans="1:73" x14ac:dyDescent="0.35">
      <c r="A28" t="s">
        <v>451</v>
      </c>
      <c r="C28" s="17" t="s">
        <v>516</v>
      </c>
      <c r="D28" t="s">
        <v>679</v>
      </c>
      <c r="G28" t="s">
        <v>451</v>
      </c>
      <c r="H28" s="20">
        <f t="shared" si="3"/>
        <v>1661.6956324521093</v>
      </c>
      <c r="I28" s="20">
        <f t="shared" si="0"/>
        <v>2217.9415756684302</v>
      </c>
      <c r="J28" s="20">
        <f t="shared" si="1"/>
        <v>6627.6912609840629</v>
      </c>
      <c r="K28" s="20">
        <f t="shared" si="2"/>
        <v>20612.343188590545</v>
      </c>
      <c r="L28" s="20"/>
      <c r="M28" s="20"/>
      <c r="N28" t="s">
        <v>451</v>
      </c>
      <c r="O28" s="20">
        <v>1661.6956324521093</v>
      </c>
      <c r="P28" s="20">
        <v>2217.9415756684302</v>
      </c>
      <c r="Q28" s="20">
        <v>6627.6912609840629</v>
      </c>
      <c r="R28" s="20">
        <v>20612.343188590545</v>
      </c>
      <c r="S28" s="20">
        <v>1661.6956324521093</v>
      </c>
      <c r="T28" s="20">
        <v>2217.9415756684302</v>
      </c>
      <c r="U28" s="20">
        <v>6627.6912609840629</v>
      </c>
      <c r="V28" s="20">
        <v>20612.343188590545</v>
      </c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</row>
    <row r="29" spans="1:73" x14ac:dyDescent="0.35">
      <c r="A29" t="s">
        <v>452</v>
      </c>
      <c r="C29" s="17" t="s">
        <v>447</v>
      </c>
      <c r="D29" t="s">
        <v>155</v>
      </c>
      <c r="G29" t="s">
        <v>452</v>
      </c>
      <c r="H29" s="20">
        <f t="shared" si="3"/>
        <v>1661.6956324521093</v>
      </c>
      <c r="I29" s="20">
        <f t="shared" si="0"/>
        <v>2217.9415756684302</v>
      </c>
      <c r="J29" s="20">
        <f t="shared" si="1"/>
        <v>6627.6912609840629</v>
      </c>
      <c r="K29" s="20">
        <f t="shared" si="2"/>
        <v>20612.343188590545</v>
      </c>
      <c r="L29" s="20"/>
      <c r="M29" s="20"/>
      <c r="N29" t="s">
        <v>452</v>
      </c>
      <c r="O29" s="20">
        <v>1661.6956324521093</v>
      </c>
      <c r="P29" s="20">
        <v>2217.9415756684302</v>
      </c>
      <c r="Q29" s="20">
        <v>6627.6912609840629</v>
      </c>
      <c r="R29" s="20">
        <v>20612.343188590545</v>
      </c>
      <c r="S29" s="20">
        <v>1661.6956324521093</v>
      </c>
      <c r="T29" s="20">
        <v>2217.9415756684302</v>
      </c>
      <c r="U29" s="20">
        <v>6627.6912609840629</v>
      </c>
      <c r="V29" s="20">
        <v>20612.343188590545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</row>
    <row r="30" spans="1:73" x14ac:dyDescent="0.35">
      <c r="A30" t="s">
        <v>453</v>
      </c>
      <c r="C30" s="17" t="s">
        <v>448</v>
      </c>
      <c r="D30" t="s">
        <v>156</v>
      </c>
      <c r="G30" t="s">
        <v>453</v>
      </c>
      <c r="H30" s="20">
        <f t="shared" si="3"/>
        <v>543.12853788029531</v>
      </c>
      <c r="I30" s="20">
        <f t="shared" si="0"/>
        <v>1250.668907043949</v>
      </c>
      <c r="J30" s="20">
        <f t="shared" si="1"/>
        <v>2512.3734099166541</v>
      </c>
      <c r="K30" s="20">
        <f t="shared" si="2"/>
        <v>10084.916804874392</v>
      </c>
      <c r="L30" s="20"/>
      <c r="M30" s="20"/>
      <c r="N30" t="s">
        <v>453</v>
      </c>
      <c r="O30" s="20">
        <v>543.12853788029531</v>
      </c>
      <c r="P30" s="20">
        <v>1250.668907043949</v>
      </c>
      <c r="Q30" s="20">
        <v>2512.3734099166541</v>
      </c>
      <c r="R30" s="20">
        <v>10084.916804874392</v>
      </c>
      <c r="S30" s="20">
        <v>543.12853788029531</v>
      </c>
      <c r="T30" s="20">
        <v>1250.668907043949</v>
      </c>
      <c r="U30" s="20">
        <v>2512.3734099166541</v>
      </c>
      <c r="V30" s="20">
        <v>10084.916804874392</v>
      </c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</row>
    <row r="31" spans="1:73" x14ac:dyDescent="0.35">
      <c r="A31" t="s">
        <v>454</v>
      </c>
      <c r="C31" s="17" t="s">
        <v>449</v>
      </c>
      <c r="D31" t="s">
        <v>288</v>
      </c>
      <c r="G31" t="s">
        <v>454</v>
      </c>
      <c r="H31" s="20">
        <f t="shared" si="3"/>
        <v>1430.931179266111</v>
      </c>
      <c r="I31" s="20">
        <f t="shared" si="0"/>
        <v>3693.9394177473596</v>
      </c>
      <c r="J31" s="20">
        <f t="shared" si="1"/>
        <v>4560.7257707611379</v>
      </c>
      <c r="K31" s="20">
        <f t="shared" si="2"/>
        <v>53094.29599058142</v>
      </c>
      <c r="L31" s="20"/>
      <c r="M31" s="20"/>
      <c r="N31" t="s">
        <v>454</v>
      </c>
      <c r="O31" s="20">
        <v>1430.931179266111</v>
      </c>
      <c r="P31" s="20">
        <v>3693.9394177473596</v>
      </c>
      <c r="Q31" s="20">
        <v>4560.7257707611379</v>
      </c>
      <c r="R31" s="20">
        <v>53094.29599058142</v>
      </c>
      <c r="S31" s="20">
        <v>1430.931179266111</v>
      </c>
      <c r="T31" s="20">
        <v>3693.9394177473596</v>
      </c>
      <c r="U31" s="20">
        <v>4560.7257707611379</v>
      </c>
      <c r="V31" s="20">
        <v>53094.29599058142</v>
      </c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</row>
    <row r="32" spans="1:73" x14ac:dyDescent="0.35">
      <c r="A32" t="s">
        <v>296</v>
      </c>
      <c r="C32" s="17" t="s">
        <v>449</v>
      </c>
      <c r="D32" t="s">
        <v>157</v>
      </c>
      <c r="G32" t="s">
        <v>296</v>
      </c>
      <c r="H32" s="20">
        <f t="shared" si="3"/>
        <v>164.15530873511776</v>
      </c>
      <c r="I32" s="20">
        <f t="shared" si="0"/>
        <v>456.13392066950547</v>
      </c>
      <c r="J32" s="20">
        <f t="shared" si="1"/>
        <v>862.63742333473272</v>
      </c>
      <c r="K32" s="20">
        <f t="shared" si="2"/>
        <v>12102.186783281861</v>
      </c>
      <c r="L32" s="20"/>
      <c r="M32" s="20"/>
      <c r="N32" t="s">
        <v>296</v>
      </c>
      <c r="O32" s="20">
        <v>164.15530873511776</v>
      </c>
      <c r="P32" s="20">
        <v>456.13392066950547</v>
      </c>
      <c r="Q32" s="20">
        <v>862.63742333473272</v>
      </c>
      <c r="R32" s="20">
        <v>12102.186783281861</v>
      </c>
      <c r="S32" s="20">
        <v>164.15530873511776</v>
      </c>
      <c r="T32" s="20">
        <v>456.13392066950547</v>
      </c>
      <c r="U32" s="20">
        <v>862.63742333473272</v>
      </c>
      <c r="V32" s="20">
        <v>12102.186783281861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</row>
    <row r="33" spans="1:73" x14ac:dyDescent="0.35">
      <c r="A33" t="s">
        <v>455</v>
      </c>
      <c r="C33" s="17" t="s">
        <v>449</v>
      </c>
      <c r="D33" t="s">
        <v>158</v>
      </c>
      <c r="G33" t="s">
        <v>455</v>
      </c>
      <c r="H33" s="20">
        <f t="shared" si="3"/>
        <v>533.53944290319032</v>
      </c>
      <c r="I33" s="20">
        <f t="shared" si="0"/>
        <v>2211.4426655254742</v>
      </c>
      <c r="J33" s="20">
        <f t="shared" si="1"/>
        <v>7724.5761775517976</v>
      </c>
      <c r="K33" s="20">
        <f t="shared" si="2"/>
        <v>38875.93298289059</v>
      </c>
      <c r="L33" s="20"/>
      <c r="M33" s="20"/>
      <c r="N33" t="s">
        <v>455</v>
      </c>
      <c r="O33" s="20">
        <v>533.53944290319032</v>
      </c>
      <c r="P33" s="20">
        <v>2211.4426655254742</v>
      </c>
      <c r="Q33" s="20">
        <v>7724.5761775517976</v>
      </c>
      <c r="R33" s="20">
        <v>38875.93298289059</v>
      </c>
      <c r="S33" s="20">
        <v>533.53944290319032</v>
      </c>
      <c r="T33" s="20">
        <v>2211.4426655254742</v>
      </c>
      <c r="U33" s="20">
        <v>7724.5761775517976</v>
      </c>
      <c r="V33" s="20">
        <v>38875.93298289059</v>
      </c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</row>
    <row r="34" spans="1:73" x14ac:dyDescent="0.35">
      <c r="A34" t="s">
        <v>588</v>
      </c>
      <c r="C34" s="17" t="s">
        <v>450</v>
      </c>
      <c r="D34" t="s">
        <v>159</v>
      </c>
      <c r="G34" t="s">
        <v>588</v>
      </c>
      <c r="H34" s="20">
        <f t="shared" si="3"/>
        <v>246.03526960227279</v>
      </c>
      <c r="I34" s="20">
        <f t="shared" si="0"/>
        <v>607.89872234788379</v>
      </c>
      <c r="J34" s="20">
        <f t="shared" si="1"/>
        <v>1613.7527456277107</v>
      </c>
      <c r="K34" s="20">
        <f t="shared" si="2"/>
        <v>13411.977324826108</v>
      </c>
      <c r="L34" s="20"/>
      <c r="M34" s="20"/>
      <c r="N34" t="s">
        <v>588</v>
      </c>
      <c r="O34" s="20">
        <v>246.03526960227279</v>
      </c>
      <c r="P34" s="20">
        <v>607.89872234788379</v>
      </c>
      <c r="Q34" s="20">
        <v>1613.7527456277107</v>
      </c>
      <c r="R34" s="20">
        <v>13411.977324826108</v>
      </c>
      <c r="S34" s="20">
        <v>246.03526960227279</v>
      </c>
      <c r="T34" s="20">
        <v>607.89872234788379</v>
      </c>
      <c r="U34" s="20">
        <v>1613.7527456277107</v>
      </c>
      <c r="V34" s="20">
        <v>13411.977324826108</v>
      </c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</row>
    <row r="35" spans="1:73" x14ac:dyDescent="0.35">
      <c r="A35" t="s">
        <v>514</v>
      </c>
      <c r="C35" s="17" t="s">
        <v>451</v>
      </c>
      <c r="D35" t="s">
        <v>160</v>
      </c>
      <c r="G35" t="s">
        <v>514</v>
      </c>
      <c r="H35" s="20">
        <f t="shared" si="3"/>
        <v>533.53944290319032</v>
      </c>
      <c r="I35" s="20">
        <f t="shared" si="0"/>
        <v>2211.4426655254742</v>
      </c>
      <c r="J35" s="20">
        <f t="shared" si="1"/>
        <v>7724.5761775517976</v>
      </c>
      <c r="K35" s="20">
        <f t="shared" si="2"/>
        <v>38875.93298289059</v>
      </c>
      <c r="L35" s="20"/>
      <c r="M35" s="20"/>
      <c r="N35" t="s">
        <v>514</v>
      </c>
      <c r="O35" s="20">
        <v>533.53944290319032</v>
      </c>
      <c r="P35" s="20">
        <v>2211.4426655254742</v>
      </c>
      <c r="Q35" s="20">
        <v>7724.5761775517976</v>
      </c>
      <c r="R35" s="20">
        <v>38875.93298289059</v>
      </c>
      <c r="S35" s="20">
        <v>533.53944290319032</v>
      </c>
      <c r="T35" s="20">
        <v>2211.4426655254742</v>
      </c>
      <c r="U35" s="20">
        <v>7724.5761775517976</v>
      </c>
      <c r="V35" s="20">
        <v>38875.93298289059</v>
      </c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</row>
    <row r="36" spans="1:73" x14ac:dyDescent="0.35">
      <c r="A36" t="s">
        <v>590</v>
      </c>
      <c r="C36" s="17" t="s">
        <v>451</v>
      </c>
      <c r="D36" t="s">
        <v>161</v>
      </c>
      <c r="G36" t="s">
        <v>590</v>
      </c>
      <c r="H36" s="20">
        <f t="shared" si="3"/>
        <v>785.39010103537646</v>
      </c>
      <c r="I36" s="20">
        <f t="shared" si="0"/>
        <v>1799.8966155440253</v>
      </c>
      <c r="J36" s="20">
        <f t="shared" si="1"/>
        <v>2891.8672408720918</v>
      </c>
      <c r="K36" s="20">
        <f t="shared" si="2"/>
        <v>15915.917019900147</v>
      </c>
      <c r="L36" s="20"/>
      <c r="M36" s="20"/>
      <c r="N36" t="s">
        <v>590</v>
      </c>
      <c r="O36" s="20">
        <v>785.39010103537646</v>
      </c>
      <c r="P36" s="20">
        <v>1799.8966155440253</v>
      </c>
      <c r="Q36" s="20">
        <v>2891.8672408720918</v>
      </c>
      <c r="R36" s="20">
        <v>15915.917019900147</v>
      </c>
      <c r="S36" s="20">
        <v>785.39010103537646</v>
      </c>
      <c r="T36" s="20">
        <v>1799.8966155440253</v>
      </c>
      <c r="U36" s="20">
        <v>2891.8672408720918</v>
      </c>
      <c r="V36" s="20">
        <v>15915.917019900147</v>
      </c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</row>
    <row r="37" spans="1:73" x14ac:dyDescent="0.35">
      <c r="A37" t="s">
        <v>589</v>
      </c>
      <c r="C37" s="17" t="s">
        <v>452</v>
      </c>
      <c r="D37" t="s">
        <v>162</v>
      </c>
      <c r="G37" t="s">
        <v>589</v>
      </c>
      <c r="H37" s="20">
        <f t="shared" si="3"/>
        <v>330.36237878264194</v>
      </c>
      <c r="I37" s="20">
        <f t="shared" si="0"/>
        <v>500.45487504104977</v>
      </c>
      <c r="J37" s="20">
        <f t="shared" si="1"/>
        <v>3305.7538151609756</v>
      </c>
      <c r="K37" s="20">
        <f t="shared" si="2"/>
        <v>9608.4391021710235</v>
      </c>
      <c r="L37" s="20"/>
      <c r="M37" s="20"/>
      <c r="N37" t="s">
        <v>589</v>
      </c>
      <c r="O37" s="20">
        <v>330.36237878264194</v>
      </c>
      <c r="P37" s="20">
        <v>500.45487504104977</v>
      </c>
      <c r="Q37" s="20">
        <v>3305.7538151609756</v>
      </c>
      <c r="R37" s="20">
        <v>9608.4391021710235</v>
      </c>
      <c r="S37" s="20">
        <v>330.36237878264194</v>
      </c>
      <c r="T37" s="20">
        <v>500.45487504104977</v>
      </c>
      <c r="U37" s="20">
        <v>3305.7538151609756</v>
      </c>
      <c r="V37" s="20">
        <v>9608.4391021710235</v>
      </c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</row>
    <row r="38" spans="1:73" x14ac:dyDescent="0.35">
      <c r="A38" t="s">
        <v>456</v>
      </c>
      <c r="C38" s="17" t="s">
        <v>453</v>
      </c>
      <c r="D38" t="s">
        <v>163</v>
      </c>
      <c r="G38" t="s">
        <v>456</v>
      </c>
      <c r="H38" s="20">
        <f t="shared" si="3"/>
        <v>1140.6164256240977</v>
      </c>
      <c r="I38" s="20">
        <f t="shared" si="0"/>
        <v>2107.3462366875087</v>
      </c>
      <c r="J38" s="20">
        <f t="shared" si="1"/>
        <v>2982.3880810655901</v>
      </c>
      <c r="K38" s="20">
        <f t="shared" si="2"/>
        <v>18538.65232254006</v>
      </c>
      <c r="L38" s="20"/>
      <c r="M38" s="20"/>
      <c r="N38" t="s">
        <v>456</v>
      </c>
      <c r="O38" s="20">
        <v>1140.6164256240977</v>
      </c>
      <c r="P38" s="20">
        <v>2107.3462366875087</v>
      </c>
      <c r="Q38" s="20">
        <v>2982.3880810655901</v>
      </c>
      <c r="R38" s="20">
        <v>18538.65232254006</v>
      </c>
      <c r="S38" s="20">
        <v>1140.6164256240977</v>
      </c>
      <c r="T38" s="20">
        <v>2107.3462366875087</v>
      </c>
      <c r="U38" s="20">
        <v>2982.3880810655901</v>
      </c>
      <c r="V38" s="20">
        <v>18538.65232254006</v>
      </c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</row>
    <row r="39" spans="1:73" x14ac:dyDescent="0.35">
      <c r="A39" t="s">
        <v>457</v>
      </c>
      <c r="C39" s="17" t="s">
        <v>453</v>
      </c>
      <c r="D39" t="s">
        <v>164</v>
      </c>
      <c r="G39" t="s">
        <v>457</v>
      </c>
      <c r="H39" s="20">
        <f t="shared" si="3"/>
        <v>1140.6164256240977</v>
      </c>
      <c r="I39" s="20">
        <f t="shared" si="0"/>
        <v>2107.3462366875087</v>
      </c>
      <c r="J39" s="20">
        <f t="shared" si="1"/>
        <v>2982.3880810655901</v>
      </c>
      <c r="K39" s="20">
        <f t="shared" si="2"/>
        <v>18538.65232254006</v>
      </c>
      <c r="L39" s="20"/>
      <c r="M39" s="20"/>
      <c r="N39" t="s">
        <v>457</v>
      </c>
      <c r="O39" s="20">
        <v>1140.6164256240977</v>
      </c>
      <c r="P39" s="20">
        <v>2107.3462366875087</v>
      </c>
      <c r="Q39" s="20">
        <v>2982.3880810655901</v>
      </c>
      <c r="R39" s="20">
        <v>18538.65232254006</v>
      </c>
      <c r="S39" s="20">
        <v>1140.6164256240977</v>
      </c>
      <c r="T39" s="20">
        <v>2107.3462366875087</v>
      </c>
      <c r="U39" s="20">
        <v>2982.3880810655901</v>
      </c>
      <c r="V39" s="20">
        <v>18538.65232254006</v>
      </c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</row>
    <row r="40" spans="1:73" x14ac:dyDescent="0.35">
      <c r="A40" t="s">
        <v>458</v>
      </c>
      <c r="C40" s="17" t="s">
        <v>454</v>
      </c>
      <c r="D40" t="s">
        <v>165</v>
      </c>
      <c r="G40" t="s">
        <v>458</v>
      </c>
      <c r="H40" s="20">
        <f t="shared" si="3"/>
        <v>1140.6164256240977</v>
      </c>
      <c r="I40" s="20">
        <f t="shared" si="0"/>
        <v>2107.3462366875087</v>
      </c>
      <c r="J40" s="20">
        <f t="shared" si="1"/>
        <v>2982.3880810655901</v>
      </c>
      <c r="K40" s="20">
        <f t="shared" si="2"/>
        <v>18538.65232254006</v>
      </c>
      <c r="L40" s="20"/>
      <c r="M40" s="20"/>
      <c r="N40" t="s">
        <v>458</v>
      </c>
      <c r="O40" s="20">
        <v>1140.6164256240977</v>
      </c>
      <c r="P40" s="20">
        <v>2107.3462366875087</v>
      </c>
      <c r="Q40" s="20">
        <v>2982.3880810655901</v>
      </c>
      <c r="R40" s="20">
        <v>18538.65232254006</v>
      </c>
      <c r="S40" s="20">
        <v>1140.6164256240977</v>
      </c>
      <c r="T40" s="20">
        <v>2107.3462366875087</v>
      </c>
      <c r="U40" s="20">
        <v>2982.3880810655901</v>
      </c>
      <c r="V40" s="20">
        <v>18538.65232254006</v>
      </c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</row>
    <row r="41" spans="1:73" x14ac:dyDescent="0.35">
      <c r="A41" t="s">
        <v>459</v>
      </c>
      <c r="C41" s="17" t="s">
        <v>296</v>
      </c>
      <c r="D41" t="s">
        <v>166</v>
      </c>
      <c r="G41" t="s">
        <v>459</v>
      </c>
      <c r="H41" s="20">
        <f t="shared" si="3"/>
        <v>141.55519090985698</v>
      </c>
      <c r="I41" s="20">
        <f t="shared" si="0"/>
        <v>252.87722914731503</v>
      </c>
      <c r="J41" s="20">
        <f t="shared" si="1"/>
        <v>572.01578977099723</v>
      </c>
      <c r="K41" s="20">
        <f t="shared" si="2"/>
        <v>2126.50095476876</v>
      </c>
      <c r="L41" s="20"/>
      <c r="M41" s="20"/>
      <c r="N41" t="s">
        <v>459</v>
      </c>
      <c r="O41" s="20">
        <v>141.55519090985698</v>
      </c>
      <c r="P41" s="20">
        <v>252.87722914731503</v>
      </c>
      <c r="Q41" s="20">
        <v>572.01578977099723</v>
      </c>
      <c r="R41" s="20">
        <v>2126.50095476876</v>
      </c>
      <c r="S41" s="20">
        <v>141.55519090985698</v>
      </c>
      <c r="T41" s="20">
        <v>252.87722914731503</v>
      </c>
      <c r="U41" s="20">
        <v>572.01578977099723</v>
      </c>
      <c r="V41" s="20">
        <v>2126.50095476876</v>
      </c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</row>
    <row r="42" spans="1:73" x14ac:dyDescent="0.35">
      <c r="C42" s="17" t="s">
        <v>455</v>
      </c>
      <c r="D42" t="s">
        <v>167</v>
      </c>
    </row>
    <row r="43" spans="1:73" x14ac:dyDescent="0.35">
      <c r="C43" s="17" t="s">
        <v>588</v>
      </c>
      <c r="D43" t="s">
        <v>168</v>
      </c>
    </row>
    <row r="44" spans="1:73" x14ac:dyDescent="0.35">
      <c r="C44" s="17" t="s">
        <v>588</v>
      </c>
      <c r="D44" t="s">
        <v>548</v>
      </c>
    </row>
    <row r="45" spans="1:73" x14ac:dyDescent="0.35">
      <c r="C45" s="17" t="s">
        <v>514</v>
      </c>
      <c r="D45" t="s">
        <v>169</v>
      </c>
    </row>
    <row r="46" spans="1:73" x14ac:dyDescent="0.35">
      <c r="C46" t="s">
        <v>590</v>
      </c>
      <c r="D46" t="s">
        <v>170</v>
      </c>
    </row>
    <row r="47" spans="1:73" x14ac:dyDescent="0.35">
      <c r="C47" t="s">
        <v>589</v>
      </c>
      <c r="D47" t="s">
        <v>171</v>
      </c>
    </row>
    <row r="48" spans="1:73" x14ac:dyDescent="0.35">
      <c r="C48" t="s">
        <v>589</v>
      </c>
      <c r="D48" t="s">
        <v>172</v>
      </c>
      <c r="H48" s="19" t="s">
        <v>540</v>
      </c>
      <c r="I48" s="19" t="s">
        <v>540</v>
      </c>
      <c r="J48" s="19" t="s">
        <v>540</v>
      </c>
      <c r="K48" s="19" t="s">
        <v>540</v>
      </c>
      <c r="L48" s="19"/>
      <c r="M48" s="19"/>
      <c r="O48" s="19" t="s">
        <v>540</v>
      </c>
      <c r="P48" s="19" t="s">
        <v>540</v>
      </c>
      <c r="Q48" s="19" t="s">
        <v>540</v>
      </c>
      <c r="R48" s="19" t="s">
        <v>540</v>
      </c>
      <c r="S48" s="19" t="s">
        <v>540</v>
      </c>
      <c r="T48" s="19" t="s">
        <v>540</v>
      </c>
      <c r="U48" s="19" t="s">
        <v>540</v>
      </c>
      <c r="V48" s="19" t="s">
        <v>540</v>
      </c>
    </row>
    <row r="49" spans="3:73" x14ac:dyDescent="0.35">
      <c r="C49" s="17" t="s">
        <v>456</v>
      </c>
      <c r="D49" t="s">
        <v>173</v>
      </c>
      <c r="G49" s="1" t="s">
        <v>461</v>
      </c>
      <c r="N49" s="1" t="s">
        <v>461</v>
      </c>
    </row>
    <row r="50" spans="3:73" x14ac:dyDescent="0.35">
      <c r="C50" s="17" t="s">
        <v>457</v>
      </c>
      <c r="D50" t="s">
        <v>174</v>
      </c>
      <c r="G50" s="20"/>
      <c r="H50" s="20" t="s">
        <v>552</v>
      </c>
      <c r="I50" s="20" t="s">
        <v>553</v>
      </c>
      <c r="J50" s="20" t="s">
        <v>554</v>
      </c>
      <c r="K50" s="20" t="s">
        <v>555</v>
      </c>
      <c r="L50" s="20"/>
      <c r="M50" s="20"/>
      <c r="N50" s="20"/>
      <c r="O50" s="20" t="s">
        <v>294</v>
      </c>
      <c r="P50" s="20" t="s">
        <v>210</v>
      </c>
      <c r="Q50" s="20" t="s">
        <v>211</v>
      </c>
      <c r="R50" s="20" t="s">
        <v>212</v>
      </c>
      <c r="S50" s="20" t="s">
        <v>295</v>
      </c>
      <c r="T50" s="20" t="s">
        <v>213</v>
      </c>
      <c r="U50" s="20" t="s">
        <v>214</v>
      </c>
      <c r="V50" s="20" t="s">
        <v>215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</row>
    <row r="51" spans="3:73" x14ac:dyDescent="0.35">
      <c r="C51" s="17" t="s">
        <v>458</v>
      </c>
      <c r="D51" t="s">
        <v>175</v>
      </c>
      <c r="G51" t="s">
        <v>442</v>
      </c>
      <c r="H51" s="20">
        <f>O51</f>
        <v>0</v>
      </c>
      <c r="I51" s="20">
        <f t="shared" ref="I51:I85" si="4">P51</f>
        <v>0</v>
      </c>
      <c r="J51" s="20">
        <f t="shared" ref="J51:J85" si="5">Q51</f>
        <v>0</v>
      </c>
      <c r="K51" s="20">
        <f t="shared" ref="K51:K85" si="6">R51</f>
        <v>0</v>
      </c>
      <c r="L51" s="20"/>
      <c r="M51" s="20"/>
      <c r="N51" t="s">
        <v>442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</row>
    <row r="52" spans="3:73" x14ac:dyDescent="0.35">
      <c r="C52" s="17" t="s">
        <v>459</v>
      </c>
      <c r="D52" t="s">
        <v>176</v>
      </c>
      <c r="G52" t="s">
        <v>504</v>
      </c>
      <c r="H52" s="20">
        <f t="shared" ref="H52:H85" si="7">O52</f>
        <v>0</v>
      </c>
      <c r="I52" s="20">
        <f t="shared" si="4"/>
        <v>0</v>
      </c>
      <c r="J52" s="20">
        <f t="shared" si="5"/>
        <v>0</v>
      </c>
      <c r="K52" s="20">
        <f t="shared" si="6"/>
        <v>0</v>
      </c>
      <c r="L52" s="20"/>
      <c r="M52" s="20"/>
      <c r="N52" t="s">
        <v>504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</row>
    <row r="53" spans="3:73" x14ac:dyDescent="0.35">
      <c r="G53" t="s">
        <v>506</v>
      </c>
      <c r="H53" s="20">
        <f t="shared" si="7"/>
        <v>0</v>
      </c>
      <c r="I53" s="20">
        <f t="shared" si="4"/>
        <v>0</v>
      </c>
      <c r="J53" s="20">
        <f t="shared" si="5"/>
        <v>0</v>
      </c>
      <c r="K53" s="20">
        <f t="shared" si="6"/>
        <v>0</v>
      </c>
      <c r="L53" s="20"/>
      <c r="M53" s="20"/>
      <c r="N53" t="s">
        <v>506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</row>
    <row r="54" spans="3:73" x14ac:dyDescent="0.35">
      <c r="G54" t="s">
        <v>507</v>
      </c>
      <c r="H54" s="20">
        <f t="shared" si="7"/>
        <v>0</v>
      </c>
      <c r="I54" s="20">
        <f t="shared" si="4"/>
        <v>0</v>
      </c>
      <c r="J54" s="20">
        <f t="shared" si="5"/>
        <v>0</v>
      </c>
      <c r="K54" s="20">
        <f t="shared" si="6"/>
        <v>0</v>
      </c>
      <c r="L54" s="20"/>
      <c r="M54" s="20"/>
      <c r="N54" t="s">
        <v>507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</row>
    <row r="55" spans="3:73" x14ac:dyDescent="0.35">
      <c r="G55" t="s">
        <v>505</v>
      </c>
      <c r="H55" s="20">
        <f t="shared" si="7"/>
        <v>0</v>
      </c>
      <c r="I55" s="20">
        <f t="shared" si="4"/>
        <v>0</v>
      </c>
      <c r="J55" s="20">
        <f t="shared" si="5"/>
        <v>0</v>
      </c>
      <c r="K55" s="20">
        <f t="shared" si="6"/>
        <v>0</v>
      </c>
      <c r="L55" s="20"/>
      <c r="M55" s="20"/>
      <c r="N55" t="s">
        <v>505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</row>
    <row r="56" spans="3:73" x14ac:dyDescent="0.35">
      <c r="G56" t="s">
        <v>508</v>
      </c>
      <c r="H56" s="20">
        <f t="shared" si="7"/>
        <v>0</v>
      </c>
      <c r="I56" s="20">
        <f t="shared" si="4"/>
        <v>0</v>
      </c>
      <c r="J56" s="20">
        <f t="shared" si="5"/>
        <v>0</v>
      </c>
      <c r="K56" s="20">
        <f t="shared" si="6"/>
        <v>0</v>
      </c>
      <c r="L56" s="20"/>
      <c r="M56" s="20"/>
      <c r="N56" t="s">
        <v>508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</row>
    <row r="57" spans="3:73" x14ac:dyDescent="0.35">
      <c r="G57" t="s">
        <v>509</v>
      </c>
      <c r="H57" s="20">
        <f t="shared" si="7"/>
        <v>0</v>
      </c>
      <c r="I57" s="20">
        <f t="shared" si="4"/>
        <v>0</v>
      </c>
      <c r="J57" s="20">
        <f t="shared" si="5"/>
        <v>0</v>
      </c>
      <c r="K57" s="20">
        <f t="shared" si="6"/>
        <v>0</v>
      </c>
      <c r="L57" s="20"/>
      <c r="M57" s="20"/>
      <c r="N57" t="s">
        <v>509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</row>
    <row r="58" spans="3:73" x14ac:dyDescent="0.35">
      <c r="G58" t="s">
        <v>510</v>
      </c>
      <c r="H58" s="20">
        <f t="shared" si="7"/>
        <v>0</v>
      </c>
      <c r="I58" s="20">
        <f t="shared" si="4"/>
        <v>0</v>
      </c>
      <c r="J58" s="20">
        <f t="shared" si="5"/>
        <v>0</v>
      </c>
      <c r="K58" s="20">
        <f t="shared" si="6"/>
        <v>0</v>
      </c>
      <c r="L58" s="20"/>
      <c r="M58" s="20"/>
      <c r="N58" t="s">
        <v>510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</row>
    <row r="59" spans="3:73" x14ac:dyDescent="0.35">
      <c r="G59" t="s">
        <v>511</v>
      </c>
      <c r="H59" s="20">
        <f t="shared" si="7"/>
        <v>0</v>
      </c>
      <c r="I59" s="20">
        <f t="shared" si="4"/>
        <v>0</v>
      </c>
      <c r="J59" s="20">
        <f t="shared" si="5"/>
        <v>0</v>
      </c>
      <c r="K59" s="20">
        <f t="shared" si="6"/>
        <v>0</v>
      </c>
      <c r="L59" s="20"/>
      <c r="M59" s="20"/>
      <c r="N59" t="s">
        <v>511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</row>
    <row r="60" spans="3:73" x14ac:dyDescent="0.35">
      <c r="C60" s="17"/>
      <c r="G60" t="s">
        <v>443</v>
      </c>
      <c r="H60" s="20">
        <f t="shared" si="7"/>
        <v>0</v>
      </c>
      <c r="I60" s="20">
        <f t="shared" si="4"/>
        <v>0</v>
      </c>
      <c r="J60" s="20">
        <f t="shared" si="5"/>
        <v>0</v>
      </c>
      <c r="K60" s="20">
        <f t="shared" si="6"/>
        <v>0</v>
      </c>
      <c r="L60" s="20"/>
      <c r="M60" s="20"/>
      <c r="N60" t="s">
        <v>443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</row>
    <row r="61" spans="3:73" x14ac:dyDescent="0.35">
      <c r="C61" s="17"/>
      <c r="G61" t="s">
        <v>444</v>
      </c>
      <c r="H61" s="20">
        <f t="shared" si="7"/>
        <v>0</v>
      </c>
      <c r="I61" s="20">
        <f t="shared" si="4"/>
        <v>0</v>
      </c>
      <c r="J61" s="20">
        <f t="shared" si="5"/>
        <v>0</v>
      </c>
      <c r="K61" s="20">
        <f t="shared" si="6"/>
        <v>0</v>
      </c>
      <c r="L61" s="20"/>
      <c r="M61" s="20"/>
      <c r="N61" t="s">
        <v>444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</row>
    <row r="62" spans="3:73" x14ac:dyDescent="0.35">
      <c r="C62" s="17"/>
      <c r="G62" t="s">
        <v>512</v>
      </c>
      <c r="H62" s="20">
        <f t="shared" si="7"/>
        <v>0</v>
      </c>
      <c r="I62" s="20">
        <f t="shared" si="4"/>
        <v>0</v>
      </c>
      <c r="J62" s="20">
        <f t="shared" si="5"/>
        <v>0</v>
      </c>
      <c r="K62" s="20">
        <f t="shared" si="6"/>
        <v>0</v>
      </c>
      <c r="L62" s="20"/>
      <c r="M62" s="20"/>
      <c r="N62" t="s">
        <v>512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</row>
    <row r="63" spans="3:73" x14ac:dyDescent="0.35">
      <c r="G63" t="s">
        <v>513</v>
      </c>
      <c r="H63" s="20">
        <f t="shared" si="7"/>
        <v>0</v>
      </c>
      <c r="I63" s="20">
        <f t="shared" si="4"/>
        <v>0</v>
      </c>
      <c r="J63" s="20">
        <f t="shared" si="5"/>
        <v>0</v>
      </c>
      <c r="K63" s="20">
        <f t="shared" si="6"/>
        <v>0</v>
      </c>
      <c r="L63" s="20"/>
      <c r="M63" s="20"/>
      <c r="N63" t="s">
        <v>513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</row>
    <row r="64" spans="3:73" x14ac:dyDescent="0.35">
      <c r="C64" s="17"/>
      <c r="G64" t="s">
        <v>445</v>
      </c>
      <c r="H64" s="20">
        <f t="shared" si="7"/>
        <v>0</v>
      </c>
      <c r="I64" s="20">
        <f t="shared" si="4"/>
        <v>0</v>
      </c>
      <c r="J64" s="20">
        <f t="shared" si="5"/>
        <v>0</v>
      </c>
      <c r="K64" s="20">
        <f t="shared" si="6"/>
        <v>0</v>
      </c>
      <c r="L64" s="20"/>
      <c r="M64" s="20"/>
      <c r="N64" t="s">
        <v>445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</row>
    <row r="65" spans="3:73" x14ac:dyDescent="0.35">
      <c r="G65" t="s">
        <v>446</v>
      </c>
      <c r="H65" s="20">
        <f t="shared" si="7"/>
        <v>0</v>
      </c>
      <c r="I65" s="20">
        <f t="shared" si="4"/>
        <v>0</v>
      </c>
      <c r="J65" s="20">
        <f t="shared" si="5"/>
        <v>0</v>
      </c>
      <c r="K65" s="20">
        <f t="shared" si="6"/>
        <v>0</v>
      </c>
      <c r="L65" s="20"/>
      <c r="M65" s="20"/>
      <c r="N65" t="s">
        <v>446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</row>
    <row r="66" spans="3:73" x14ac:dyDescent="0.35">
      <c r="G66" t="s">
        <v>515</v>
      </c>
      <c r="H66" s="20">
        <f t="shared" si="7"/>
        <v>0</v>
      </c>
      <c r="I66" s="20">
        <f t="shared" si="4"/>
        <v>0</v>
      </c>
      <c r="J66" s="20">
        <f t="shared" si="5"/>
        <v>0</v>
      </c>
      <c r="K66" s="20">
        <f t="shared" si="6"/>
        <v>0</v>
      </c>
      <c r="L66" s="20"/>
      <c r="M66" s="20"/>
      <c r="N66" t="s">
        <v>515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</row>
    <row r="67" spans="3:73" x14ac:dyDescent="0.35">
      <c r="C67" s="17"/>
      <c r="G67" t="s">
        <v>516</v>
      </c>
      <c r="H67" s="20">
        <f t="shared" si="7"/>
        <v>0</v>
      </c>
      <c r="I67" s="20">
        <f t="shared" si="4"/>
        <v>0</v>
      </c>
      <c r="J67" s="20">
        <f t="shared" si="5"/>
        <v>0</v>
      </c>
      <c r="K67" s="20">
        <f t="shared" si="6"/>
        <v>0</v>
      </c>
      <c r="L67" s="20"/>
      <c r="M67" s="20"/>
      <c r="N67" t="s">
        <v>516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</row>
    <row r="68" spans="3:73" x14ac:dyDescent="0.35">
      <c r="C68" s="17"/>
      <c r="G68" t="s">
        <v>447</v>
      </c>
      <c r="H68" s="20">
        <f t="shared" si="7"/>
        <v>0</v>
      </c>
      <c r="I68" s="20">
        <f t="shared" si="4"/>
        <v>0</v>
      </c>
      <c r="J68" s="20">
        <f t="shared" si="5"/>
        <v>0</v>
      </c>
      <c r="K68" s="20">
        <f t="shared" si="6"/>
        <v>0</v>
      </c>
      <c r="L68" s="20"/>
      <c r="M68" s="20"/>
      <c r="N68" t="s">
        <v>447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</row>
    <row r="69" spans="3:73" x14ac:dyDescent="0.35">
      <c r="G69" t="s">
        <v>448</v>
      </c>
      <c r="H69" s="20">
        <f t="shared" si="7"/>
        <v>0</v>
      </c>
      <c r="I69" s="20">
        <f t="shared" si="4"/>
        <v>0</v>
      </c>
      <c r="J69" s="20">
        <f t="shared" si="5"/>
        <v>0</v>
      </c>
      <c r="K69" s="20">
        <f t="shared" si="6"/>
        <v>0</v>
      </c>
      <c r="L69" s="20"/>
      <c r="M69" s="20"/>
      <c r="N69" t="s">
        <v>448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</row>
    <row r="70" spans="3:73" x14ac:dyDescent="0.35">
      <c r="G70" t="s">
        <v>449</v>
      </c>
      <c r="H70" s="20">
        <f t="shared" si="7"/>
        <v>0</v>
      </c>
      <c r="I70" s="20">
        <f t="shared" si="4"/>
        <v>0</v>
      </c>
      <c r="J70" s="20">
        <f t="shared" si="5"/>
        <v>0</v>
      </c>
      <c r="K70" s="20">
        <f t="shared" si="6"/>
        <v>0</v>
      </c>
      <c r="L70" s="20"/>
      <c r="M70" s="20"/>
      <c r="N70" t="s">
        <v>449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</row>
    <row r="71" spans="3:73" x14ac:dyDescent="0.35">
      <c r="G71" t="s">
        <v>450</v>
      </c>
      <c r="H71" s="20">
        <f t="shared" si="7"/>
        <v>0</v>
      </c>
      <c r="I71" s="20">
        <f t="shared" si="4"/>
        <v>0</v>
      </c>
      <c r="J71" s="20">
        <f t="shared" si="5"/>
        <v>0</v>
      </c>
      <c r="K71" s="20">
        <f t="shared" si="6"/>
        <v>0</v>
      </c>
      <c r="L71" s="20"/>
      <c r="M71" s="20"/>
      <c r="N71" t="s">
        <v>450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</row>
    <row r="72" spans="3:73" x14ac:dyDescent="0.35">
      <c r="G72" t="s">
        <v>451</v>
      </c>
      <c r="H72" s="20">
        <f t="shared" si="7"/>
        <v>0</v>
      </c>
      <c r="I72" s="20">
        <f t="shared" si="4"/>
        <v>0</v>
      </c>
      <c r="J72" s="20">
        <f t="shared" si="5"/>
        <v>0</v>
      </c>
      <c r="K72" s="20">
        <f t="shared" si="6"/>
        <v>0</v>
      </c>
      <c r="L72" s="20"/>
      <c r="M72" s="20"/>
      <c r="N72" t="s">
        <v>451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</row>
    <row r="73" spans="3:73" x14ac:dyDescent="0.35">
      <c r="G73" t="s">
        <v>452</v>
      </c>
      <c r="H73" s="20">
        <f t="shared" si="7"/>
        <v>0</v>
      </c>
      <c r="I73" s="20">
        <f t="shared" si="4"/>
        <v>0</v>
      </c>
      <c r="J73" s="20">
        <f t="shared" si="5"/>
        <v>0</v>
      </c>
      <c r="K73" s="20">
        <f t="shared" si="6"/>
        <v>0</v>
      </c>
      <c r="L73" s="20"/>
      <c r="M73" s="20"/>
      <c r="N73" t="s">
        <v>452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</row>
    <row r="74" spans="3:73" x14ac:dyDescent="0.35">
      <c r="G74" t="s">
        <v>453</v>
      </c>
      <c r="H74" s="20">
        <f t="shared" si="7"/>
        <v>0</v>
      </c>
      <c r="I74" s="20">
        <f t="shared" si="4"/>
        <v>0</v>
      </c>
      <c r="J74" s="20">
        <f t="shared" si="5"/>
        <v>0</v>
      </c>
      <c r="K74" s="20">
        <f t="shared" si="6"/>
        <v>0</v>
      </c>
      <c r="L74" s="20"/>
      <c r="M74" s="20"/>
      <c r="N74" t="s">
        <v>453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</row>
    <row r="75" spans="3:73" x14ac:dyDescent="0.35">
      <c r="G75" t="s">
        <v>454</v>
      </c>
      <c r="H75" s="20">
        <f t="shared" si="7"/>
        <v>0</v>
      </c>
      <c r="I75" s="20">
        <f t="shared" si="4"/>
        <v>0</v>
      </c>
      <c r="J75" s="20">
        <f t="shared" si="5"/>
        <v>0</v>
      </c>
      <c r="K75" s="20">
        <f t="shared" si="6"/>
        <v>0</v>
      </c>
      <c r="L75" s="20"/>
      <c r="M75" s="20"/>
      <c r="N75" t="s">
        <v>454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</row>
    <row r="76" spans="3:73" x14ac:dyDescent="0.35">
      <c r="G76" t="s">
        <v>296</v>
      </c>
      <c r="H76" s="20">
        <f t="shared" si="7"/>
        <v>0</v>
      </c>
      <c r="I76" s="20">
        <f t="shared" si="4"/>
        <v>0</v>
      </c>
      <c r="J76" s="20">
        <f t="shared" si="5"/>
        <v>0</v>
      </c>
      <c r="K76" s="20">
        <f t="shared" si="6"/>
        <v>0</v>
      </c>
      <c r="L76" s="20"/>
      <c r="M76" s="20"/>
      <c r="N76" t="s">
        <v>296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</row>
    <row r="77" spans="3:73" x14ac:dyDescent="0.35">
      <c r="G77" t="s">
        <v>455</v>
      </c>
      <c r="H77" s="20">
        <f t="shared" si="7"/>
        <v>0</v>
      </c>
      <c r="I77" s="20">
        <f t="shared" si="4"/>
        <v>0</v>
      </c>
      <c r="J77" s="20">
        <f t="shared" si="5"/>
        <v>0</v>
      </c>
      <c r="K77" s="20">
        <f t="shared" si="6"/>
        <v>0</v>
      </c>
      <c r="L77" s="20"/>
      <c r="M77" s="20"/>
      <c r="N77" t="s">
        <v>455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</row>
    <row r="78" spans="3:73" x14ac:dyDescent="0.35">
      <c r="G78" t="s">
        <v>588</v>
      </c>
      <c r="H78" s="20">
        <f t="shared" si="7"/>
        <v>0</v>
      </c>
      <c r="I78" s="20">
        <f t="shared" si="4"/>
        <v>0</v>
      </c>
      <c r="J78" s="20">
        <f t="shared" si="5"/>
        <v>0</v>
      </c>
      <c r="K78" s="20">
        <f t="shared" si="6"/>
        <v>0</v>
      </c>
      <c r="L78" s="20"/>
      <c r="M78" s="20"/>
      <c r="N78" t="s">
        <v>588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</row>
    <row r="79" spans="3:73" x14ac:dyDescent="0.35">
      <c r="G79" t="s">
        <v>514</v>
      </c>
      <c r="H79" s="20">
        <f t="shared" si="7"/>
        <v>0</v>
      </c>
      <c r="I79" s="20">
        <f t="shared" si="4"/>
        <v>0</v>
      </c>
      <c r="J79" s="20">
        <f t="shared" si="5"/>
        <v>0</v>
      </c>
      <c r="K79" s="20">
        <f t="shared" si="6"/>
        <v>0</v>
      </c>
      <c r="L79" s="20"/>
      <c r="M79" s="20"/>
      <c r="N79" t="s">
        <v>514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</row>
    <row r="80" spans="3:73" x14ac:dyDescent="0.35">
      <c r="G80" t="s">
        <v>590</v>
      </c>
      <c r="H80" s="20">
        <f t="shared" si="7"/>
        <v>0</v>
      </c>
      <c r="I80" s="20">
        <f t="shared" si="4"/>
        <v>0</v>
      </c>
      <c r="J80" s="20">
        <f t="shared" si="5"/>
        <v>0</v>
      </c>
      <c r="K80" s="20">
        <f t="shared" si="6"/>
        <v>0</v>
      </c>
      <c r="L80" s="20"/>
      <c r="M80" s="20"/>
      <c r="N80" t="s">
        <v>590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</row>
    <row r="81" spans="7:73" x14ac:dyDescent="0.35">
      <c r="G81" t="s">
        <v>589</v>
      </c>
      <c r="H81" s="20">
        <f t="shared" si="7"/>
        <v>0</v>
      </c>
      <c r="I81" s="20">
        <f t="shared" si="4"/>
        <v>0</v>
      </c>
      <c r="J81" s="20">
        <f t="shared" si="5"/>
        <v>0</v>
      </c>
      <c r="K81" s="20">
        <f t="shared" si="6"/>
        <v>0</v>
      </c>
      <c r="L81" s="20"/>
      <c r="M81" s="20"/>
      <c r="N81" t="s">
        <v>589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</row>
    <row r="82" spans="7:73" x14ac:dyDescent="0.35">
      <c r="G82" t="s">
        <v>456</v>
      </c>
      <c r="H82" s="20">
        <f t="shared" si="7"/>
        <v>0</v>
      </c>
      <c r="I82" s="20">
        <f t="shared" si="4"/>
        <v>0</v>
      </c>
      <c r="J82" s="20">
        <f t="shared" si="5"/>
        <v>0</v>
      </c>
      <c r="K82" s="20">
        <f t="shared" si="6"/>
        <v>0</v>
      </c>
      <c r="L82" s="20"/>
      <c r="M82" s="20"/>
      <c r="N82" t="s">
        <v>456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</row>
    <row r="83" spans="7:73" x14ac:dyDescent="0.35">
      <c r="G83" t="s">
        <v>457</v>
      </c>
      <c r="H83" s="20">
        <f t="shared" si="7"/>
        <v>0</v>
      </c>
      <c r="I83" s="20">
        <f t="shared" si="4"/>
        <v>0</v>
      </c>
      <c r="J83" s="20">
        <f t="shared" si="5"/>
        <v>0</v>
      </c>
      <c r="K83" s="20">
        <f t="shared" si="6"/>
        <v>0</v>
      </c>
      <c r="L83" s="20"/>
      <c r="M83" s="20"/>
      <c r="N83" t="s">
        <v>457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</row>
    <row r="84" spans="7:73" x14ac:dyDescent="0.35">
      <c r="G84" t="s">
        <v>458</v>
      </c>
      <c r="H84" s="20">
        <f t="shared" si="7"/>
        <v>0</v>
      </c>
      <c r="I84" s="20">
        <f t="shared" si="4"/>
        <v>0</v>
      </c>
      <c r="J84" s="20">
        <f t="shared" si="5"/>
        <v>0</v>
      </c>
      <c r="K84" s="20">
        <f t="shared" si="6"/>
        <v>0</v>
      </c>
      <c r="L84" s="20"/>
      <c r="M84" s="20"/>
      <c r="N84" t="s">
        <v>458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</row>
    <row r="85" spans="7:73" x14ac:dyDescent="0.35">
      <c r="G85" t="s">
        <v>459</v>
      </c>
      <c r="H85" s="20">
        <f t="shared" si="7"/>
        <v>0</v>
      </c>
      <c r="I85" s="20">
        <f t="shared" si="4"/>
        <v>0</v>
      </c>
      <c r="J85" s="20">
        <f t="shared" si="5"/>
        <v>0</v>
      </c>
      <c r="K85" s="20">
        <f t="shared" si="6"/>
        <v>0</v>
      </c>
      <c r="L85" s="20"/>
      <c r="M85" s="20"/>
      <c r="N85" t="s">
        <v>459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499984740745262"/>
  </sheetPr>
  <dimension ref="A1:M21"/>
  <sheetViews>
    <sheetView showZeros="0" zoomScale="85" zoomScaleNormal="85" workbookViewId="0">
      <pane ySplit="6" topLeftCell="A7" activePane="bottomLeft" state="frozen"/>
      <selection activeCell="D7" sqref="D7:E19"/>
      <selection pane="bottomLeft" activeCell="M5" sqref="M5"/>
    </sheetView>
  </sheetViews>
  <sheetFormatPr defaultRowHeight="14.5" x14ac:dyDescent="0.35"/>
  <cols>
    <col min="11" max="11" width="9.54296875" bestFit="1" customWidth="1"/>
  </cols>
  <sheetData>
    <row r="1" spans="1:13" ht="18.5" x14ac:dyDescent="0.45">
      <c r="A1" s="5" t="s">
        <v>463</v>
      </c>
    </row>
    <row r="2" spans="1:13" x14ac:dyDescent="0.35">
      <c r="A2" s="3" t="s">
        <v>364</v>
      </c>
      <c r="B2" s="4" t="s">
        <v>464</v>
      </c>
      <c r="K2" t="s">
        <v>126</v>
      </c>
      <c r="L2" t="s">
        <v>735</v>
      </c>
      <c r="M2" s="11" t="s">
        <v>736</v>
      </c>
    </row>
    <row r="3" spans="1:13" x14ac:dyDescent="0.35">
      <c r="B3" s="11"/>
      <c r="K3" s="43">
        <f>SUM(K7:K21)/1000</f>
        <v>45.371000000000002</v>
      </c>
      <c r="L3" s="43">
        <f>SUM(K17:K21)/1000</f>
        <v>16.245000000000001</v>
      </c>
      <c r="M3" s="43">
        <f>SUM(K7:K16)/1000</f>
        <v>29.126000000000001</v>
      </c>
    </row>
    <row r="4" spans="1:13" x14ac:dyDescent="0.35">
      <c r="A4" t="s">
        <v>602</v>
      </c>
      <c r="B4" s="11">
        <f>SUM(B7:B21)</f>
        <v>45371</v>
      </c>
      <c r="F4" s="1" t="s">
        <v>521</v>
      </c>
      <c r="H4" s="23">
        <f>SUM(K7:K21)</f>
        <v>45371</v>
      </c>
      <c r="I4" s="22" t="s">
        <v>540</v>
      </c>
      <c r="K4" s="19" t="s">
        <v>540</v>
      </c>
      <c r="L4" s="19"/>
    </row>
    <row r="5" spans="1:13" x14ac:dyDescent="0.35">
      <c r="J5" s="1" t="s">
        <v>520</v>
      </c>
    </row>
    <row r="6" spans="1:13" x14ac:dyDescent="0.35">
      <c r="B6" t="s">
        <v>473</v>
      </c>
      <c r="F6" s="1" t="s">
        <v>465</v>
      </c>
      <c r="G6" t="s">
        <v>473</v>
      </c>
      <c r="H6" t="s">
        <v>474</v>
      </c>
      <c r="K6" t="s">
        <v>473</v>
      </c>
      <c r="L6" t="s">
        <v>270</v>
      </c>
    </row>
    <row r="7" spans="1:13" x14ac:dyDescent="0.35">
      <c r="A7" s="29" t="s">
        <v>217</v>
      </c>
      <c r="B7" s="11">
        <f t="shared" ref="B7:B11" si="0">K7/SUM(K$7:K$60)*$H$4</f>
        <v>6154</v>
      </c>
      <c r="F7" t="s">
        <v>467</v>
      </c>
      <c r="G7" s="11">
        <f>G8+G10+G9</f>
        <v>45371</v>
      </c>
      <c r="H7" s="6">
        <f>G7/G$7*100</f>
        <v>100</v>
      </c>
      <c r="J7" s="29" t="s">
        <v>217</v>
      </c>
      <c r="K7" s="20">
        <v>6154</v>
      </c>
      <c r="L7" s="20">
        <v>964</v>
      </c>
    </row>
    <row r="8" spans="1:13" x14ac:dyDescent="0.35">
      <c r="A8" s="29" t="s">
        <v>218</v>
      </c>
      <c r="B8" s="11">
        <f t="shared" si="0"/>
        <v>5941</v>
      </c>
      <c r="F8" s="12" t="s">
        <v>600</v>
      </c>
      <c r="G8" s="11">
        <f>SUM(B7:B11)</f>
        <v>22671</v>
      </c>
      <c r="H8" s="6">
        <f t="shared" ref="H8:H15" si="1">G8/G$7*100</f>
        <v>49.96804125983558</v>
      </c>
      <c r="J8" s="29" t="s">
        <v>218</v>
      </c>
      <c r="K8" s="20">
        <v>5941</v>
      </c>
      <c r="L8" s="20">
        <v>1086</v>
      </c>
    </row>
    <row r="9" spans="1:13" x14ac:dyDescent="0.35">
      <c r="A9" s="29" t="s">
        <v>219</v>
      </c>
      <c r="B9" s="11">
        <f t="shared" si="0"/>
        <v>5252</v>
      </c>
      <c r="F9" s="12" t="s">
        <v>601</v>
      </c>
      <c r="G9" s="11">
        <f>SUM(B12:B16)</f>
        <v>6455</v>
      </c>
      <c r="H9" s="6">
        <f t="shared" si="1"/>
        <v>14.227149500782438</v>
      </c>
      <c r="J9" s="29" t="s">
        <v>219</v>
      </c>
      <c r="K9" s="20">
        <v>5252</v>
      </c>
      <c r="L9" s="20">
        <v>1078</v>
      </c>
    </row>
    <row r="10" spans="1:13" x14ac:dyDescent="0.35">
      <c r="A10" s="29" t="s">
        <v>220</v>
      </c>
      <c r="B10" s="11">
        <f t="shared" si="0"/>
        <v>3752.9999999999995</v>
      </c>
      <c r="F10" s="13" t="s">
        <v>468</v>
      </c>
      <c r="G10" s="14">
        <f>SUM(B17:B21)</f>
        <v>16245</v>
      </c>
      <c r="H10" s="15">
        <f t="shared" si="1"/>
        <v>35.804809239381981</v>
      </c>
      <c r="J10" s="29" t="s">
        <v>220</v>
      </c>
      <c r="K10" s="20">
        <v>3753</v>
      </c>
      <c r="L10" s="20">
        <v>919</v>
      </c>
    </row>
    <row r="11" spans="1:13" x14ac:dyDescent="0.35">
      <c r="A11" s="29" t="s">
        <v>221</v>
      </c>
      <c r="B11" s="11">
        <f t="shared" si="0"/>
        <v>1571.0000000000002</v>
      </c>
      <c r="F11" s="12" t="s">
        <v>466</v>
      </c>
      <c r="G11" s="11">
        <f>B7+B12+B17</f>
        <v>9075</v>
      </c>
      <c r="H11" s="6">
        <f t="shared" si="1"/>
        <v>20.001763240836659</v>
      </c>
      <c r="J11" s="29" t="s">
        <v>221</v>
      </c>
      <c r="K11" s="20">
        <v>1571</v>
      </c>
      <c r="L11" s="20">
        <v>560</v>
      </c>
    </row>
    <row r="12" spans="1:13" x14ac:dyDescent="0.35">
      <c r="A12" s="29" t="s">
        <v>595</v>
      </c>
      <c r="B12" s="11">
        <f t="shared" ref="B12:B21" si="2">K12/SUM(K$7:K$60)*$H$4</f>
        <v>1842</v>
      </c>
      <c r="F12" s="12" t="s">
        <v>469</v>
      </c>
      <c r="G12" s="11">
        <f>B8+B13+B18</f>
        <v>9074</v>
      </c>
      <c r="H12" s="6">
        <f t="shared" si="1"/>
        <v>19.999559189790837</v>
      </c>
      <c r="J12" s="29" t="s">
        <v>595</v>
      </c>
      <c r="K12" s="20">
        <v>1842</v>
      </c>
      <c r="L12" s="20">
        <v>364</v>
      </c>
    </row>
    <row r="13" spans="1:13" x14ac:dyDescent="0.35">
      <c r="A13" s="29" t="s">
        <v>596</v>
      </c>
      <c r="B13" s="11">
        <f t="shared" si="2"/>
        <v>1367</v>
      </c>
      <c r="F13" s="12" t="s">
        <v>470</v>
      </c>
      <c r="G13" s="11">
        <f>B9+B14+B19</f>
        <v>9074</v>
      </c>
      <c r="H13" s="6">
        <f t="shared" si="1"/>
        <v>19.999559189790837</v>
      </c>
      <c r="J13" s="29" t="s">
        <v>596</v>
      </c>
      <c r="K13" s="20">
        <v>1367</v>
      </c>
      <c r="L13" s="20">
        <v>308</v>
      </c>
    </row>
    <row r="14" spans="1:13" x14ac:dyDescent="0.35">
      <c r="A14" s="29" t="s">
        <v>597</v>
      </c>
      <c r="B14" s="11">
        <f t="shared" si="2"/>
        <v>1233</v>
      </c>
      <c r="F14" s="12" t="s">
        <v>471</v>
      </c>
      <c r="G14" s="11">
        <f>B10+B15+B20</f>
        <v>9074</v>
      </c>
      <c r="H14" s="6">
        <f t="shared" si="1"/>
        <v>19.999559189790837</v>
      </c>
      <c r="J14" s="29" t="s">
        <v>597</v>
      </c>
      <c r="K14" s="20">
        <v>1233</v>
      </c>
      <c r="L14" s="20">
        <v>335</v>
      </c>
    </row>
    <row r="15" spans="1:13" x14ac:dyDescent="0.35">
      <c r="A15" s="29" t="s">
        <v>598</v>
      </c>
      <c r="B15" s="11">
        <f t="shared" si="2"/>
        <v>1232</v>
      </c>
      <c r="F15" s="12" t="s">
        <v>472</v>
      </c>
      <c r="G15" s="11">
        <f>B11+B16+B21</f>
        <v>9074</v>
      </c>
      <c r="H15" s="6">
        <f t="shared" si="1"/>
        <v>19.999559189790837</v>
      </c>
      <c r="J15" s="29" t="s">
        <v>598</v>
      </c>
      <c r="K15" s="20">
        <v>1232</v>
      </c>
      <c r="L15" s="20">
        <v>410</v>
      </c>
    </row>
    <row r="16" spans="1:13" x14ac:dyDescent="0.35">
      <c r="A16" s="29" t="s">
        <v>599</v>
      </c>
      <c r="B16" s="11">
        <f t="shared" si="2"/>
        <v>781.00000000000011</v>
      </c>
      <c r="F16" s="12"/>
      <c r="G16" s="11"/>
      <c r="H16" s="6"/>
      <c r="J16" s="29" t="s">
        <v>599</v>
      </c>
      <c r="K16" s="20">
        <v>781</v>
      </c>
      <c r="L16" s="20">
        <v>417</v>
      </c>
    </row>
    <row r="17" spans="1:12" x14ac:dyDescent="0.35">
      <c r="A17" s="29" t="s">
        <v>222</v>
      </c>
      <c r="B17" s="11">
        <f t="shared" si="2"/>
        <v>1079</v>
      </c>
      <c r="J17" s="29" t="s">
        <v>222</v>
      </c>
      <c r="K17" s="20">
        <v>1079</v>
      </c>
      <c r="L17" s="20">
        <v>192</v>
      </c>
    </row>
    <row r="18" spans="1:12" x14ac:dyDescent="0.35">
      <c r="A18" s="29" t="s">
        <v>223</v>
      </c>
      <c r="B18" s="11">
        <f t="shared" si="2"/>
        <v>1766</v>
      </c>
      <c r="J18" s="29" t="s">
        <v>223</v>
      </c>
      <c r="K18" s="20">
        <v>1766</v>
      </c>
      <c r="L18" s="20">
        <v>332</v>
      </c>
    </row>
    <row r="19" spans="1:12" x14ac:dyDescent="0.35">
      <c r="A19" s="29" t="s">
        <v>224</v>
      </c>
      <c r="B19" s="11">
        <f t="shared" si="2"/>
        <v>2589</v>
      </c>
      <c r="J19" s="29" t="s">
        <v>224</v>
      </c>
      <c r="K19" s="20">
        <v>2589</v>
      </c>
      <c r="L19" s="20">
        <v>584</v>
      </c>
    </row>
    <row r="20" spans="1:12" x14ac:dyDescent="0.35">
      <c r="A20" s="29" t="s">
        <v>225</v>
      </c>
      <c r="B20" s="11">
        <f t="shared" si="2"/>
        <v>4089</v>
      </c>
      <c r="J20" s="29" t="s">
        <v>225</v>
      </c>
      <c r="K20" s="20">
        <v>4089</v>
      </c>
      <c r="L20" s="20">
        <v>1120</v>
      </c>
    </row>
    <row r="21" spans="1:12" x14ac:dyDescent="0.35">
      <c r="A21" s="29" t="s">
        <v>226</v>
      </c>
      <c r="B21" s="11">
        <f t="shared" si="2"/>
        <v>6722</v>
      </c>
      <c r="J21" s="29" t="s">
        <v>226</v>
      </c>
      <c r="K21" s="20">
        <v>6722</v>
      </c>
      <c r="L21" s="20">
        <v>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Index</vt:lpstr>
      <vt:lpstr>Sets</vt:lpstr>
      <vt:lpstr>Adjust</vt:lpstr>
      <vt:lpstr>SAM</vt:lpstr>
      <vt:lpstr>LES</vt:lpstr>
      <vt:lpstr>Elasticities</vt:lpstr>
      <vt:lpstr>Production</vt:lpstr>
      <vt:lpstr>Employment</vt:lpstr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2024-10-01T21:54:36Z</dcterms:modified>
</cp:coreProperties>
</file>