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D86D043-6551-4289-8C91-6CEAF7AB03B8}" xr6:coauthVersionLast="47" xr6:coauthVersionMax="47" xr10:uidLastSave="{00000000-0000-0000-0000-000000000000}"/>
  <bookViews>
    <workbookView xWindow="-28920" yWindow="-285" windowWidth="29040" windowHeight="15840" firstSheet="3" activeTab="5" xr2:uid="{00000000-000D-0000-FFFF-FFFF00000000}"/>
  </bookViews>
  <sheets>
    <sheet name="Notes" sheetId="1" r:id="rId1"/>
    <sheet name="Index" sheetId="2" r:id="rId2"/>
    <sheet name="Sets" sheetId="3" r:id="rId3"/>
    <sheet name="Adjust" sheetId="10" r:id="rId4"/>
    <sheet name="SAM" sheetId="4" r:id="rId5"/>
    <sheet name="LES" sheetId="15" r:id="rId6"/>
    <sheet name="Elasticities" sheetId="7" r:id="rId7"/>
    <sheet name="Production" sheetId="5" r:id="rId8"/>
    <sheet name="Employment" sheetId="9" r:id="rId9"/>
    <sheet name="Population" sheetId="8" r:id="rId10"/>
  </sheets>
  <definedNames>
    <definedName name="_xlnm._FilterDatabase" localSheetId="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" i="8" l="1"/>
  <c r="Q5" i="8" s="1"/>
  <c r="O5" i="8"/>
  <c r="Q4" i="8"/>
  <c r="P4" i="8"/>
  <c r="O4" i="8"/>
  <c r="BT94" i="15"/>
  <c r="BT93" i="15"/>
  <c r="BT92" i="15"/>
  <c r="BT91" i="15"/>
  <c r="BT90" i="15"/>
  <c r="BT89" i="15"/>
  <c r="BT88" i="15"/>
  <c r="BT87" i="15"/>
  <c r="BT86" i="15"/>
  <c r="BT85" i="15"/>
  <c r="BT84" i="15"/>
  <c r="BT83" i="15"/>
  <c r="BT82" i="15"/>
  <c r="BT81" i="15"/>
  <c r="BT80" i="15"/>
  <c r="BT79" i="15"/>
  <c r="BT78" i="15"/>
  <c r="BT77" i="15"/>
  <c r="BT76" i="15"/>
  <c r="BT75" i="15"/>
  <c r="BT74" i="15"/>
  <c r="BT73" i="15"/>
  <c r="BT72" i="15"/>
  <c r="BT71" i="15"/>
  <c r="BT70" i="15"/>
  <c r="BT69" i="15"/>
  <c r="BT68" i="15"/>
  <c r="BT67" i="15"/>
  <c r="BT66" i="15"/>
  <c r="BT65" i="15"/>
  <c r="BT64" i="15"/>
  <c r="BT63" i="15"/>
  <c r="BT62" i="15"/>
  <c r="BT61" i="15"/>
  <c r="BT60" i="15"/>
  <c r="BT59" i="15"/>
  <c r="BT58" i="15"/>
  <c r="BT57" i="15"/>
  <c r="BT56" i="15"/>
  <c r="BT55" i="15"/>
  <c r="BT54" i="15"/>
  <c r="BT53" i="15"/>
  <c r="BT52" i="15"/>
  <c r="BT51" i="15"/>
  <c r="BT50" i="15"/>
  <c r="BT49" i="15"/>
  <c r="J5" i="4" a="1"/>
  <c r="J5" i="4" s="1"/>
  <c r="I5" i="4"/>
  <c r="H5" i="4"/>
  <c r="G5" i="4"/>
  <c r="F5" i="4"/>
  <c r="E5" i="4"/>
  <c r="D5" i="4"/>
  <c r="C5" i="4"/>
  <c r="B5" i="4"/>
  <c r="S156" i="15"/>
  <c r="S157" i="15"/>
  <c r="B156" i="15"/>
  <c r="T73" i="15"/>
  <c r="AL73" i="15" s="1"/>
  <c r="AQ73" i="15" s="1"/>
  <c r="Y10" i="15"/>
  <c r="C17" i="5"/>
  <c r="B17" i="5"/>
  <c r="C16" i="5"/>
  <c r="B16" i="5"/>
  <c r="C15" i="5"/>
  <c r="D15" i="5" s="1"/>
  <c r="B15" i="5"/>
  <c r="C14" i="5"/>
  <c r="C13" i="5"/>
  <c r="C12" i="5"/>
  <c r="C11" i="5"/>
  <c r="C10" i="5"/>
  <c r="K14" i="7"/>
  <c r="B14" i="7"/>
  <c r="C14" i="7" s="1"/>
  <c r="R19" i="7"/>
  <c r="R20" i="7" s="1"/>
  <c r="S20" i="7" s="1"/>
  <c r="R18" i="7"/>
  <c r="S18" i="7" s="1"/>
  <c r="R17" i="7"/>
  <c r="S17" i="7" s="1"/>
  <c r="R9" i="7"/>
  <c r="S9" i="7" s="1"/>
  <c r="R8" i="7"/>
  <c r="S8" i="7" s="1"/>
  <c r="B53" i="7"/>
  <c r="C53" i="7" s="1"/>
  <c r="B52" i="7"/>
  <c r="C52" i="7" s="1"/>
  <c r="C51" i="7"/>
  <c r="B51" i="7"/>
  <c r="B50" i="7"/>
  <c r="C50" i="7" s="1"/>
  <c r="B49" i="7"/>
  <c r="C49" i="7" s="1"/>
  <c r="B48" i="7"/>
  <c r="C48" i="7" s="1"/>
  <c r="C47" i="7"/>
  <c r="B47" i="7"/>
  <c r="B46" i="7"/>
  <c r="C46" i="7" s="1"/>
  <c r="F45" i="7"/>
  <c r="F46" i="7" s="1"/>
  <c r="B45" i="7"/>
  <c r="C45" i="7" s="1"/>
  <c r="F44" i="7"/>
  <c r="G44" i="7" s="1"/>
  <c r="B44" i="7"/>
  <c r="C44" i="7" s="1"/>
  <c r="B43" i="7"/>
  <c r="C43" i="7" s="1"/>
  <c r="B42" i="7"/>
  <c r="C42" i="7" s="1"/>
  <c r="G41" i="7"/>
  <c r="F41" i="7"/>
  <c r="F42" i="7" s="1"/>
  <c r="B41" i="7"/>
  <c r="C41" i="7" s="1"/>
  <c r="B40" i="7"/>
  <c r="C40" i="7" s="1"/>
  <c r="B39" i="7"/>
  <c r="C39" i="7" s="1"/>
  <c r="C38" i="7"/>
  <c r="C37" i="7"/>
  <c r="C36" i="7"/>
  <c r="C35" i="7"/>
  <c r="F34" i="7"/>
  <c r="F35" i="7" s="1"/>
  <c r="C34" i="7"/>
  <c r="F33" i="7"/>
  <c r="G33" i="7" s="1"/>
  <c r="C33" i="7"/>
  <c r="G32" i="7"/>
  <c r="F32" i="7"/>
  <c r="C32" i="7"/>
  <c r="F31" i="7"/>
  <c r="G31" i="7" s="1"/>
  <c r="C31" i="7"/>
  <c r="F30" i="7"/>
  <c r="G30" i="7" s="1"/>
  <c r="C30" i="7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F23" i="7"/>
  <c r="F24" i="7" s="1"/>
  <c r="B23" i="7"/>
  <c r="C23" i="7" s="1"/>
  <c r="F22" i="7"/>
  <c r="G22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AT73" i="15" l="1"/>
  <c r="AU73" i="15"/>
  <c r="AN73" i="15"/>
  <c r="AV73" i="15"/>
  <c r="AY73" i="15"/>
  <c r="AR73" i="15"/>
  <c r="AZ73" i="15"/>
  <c r="AS73" i="15"/>
  <c r="BA73" i="15"/>
  <c r="AM73" i="15"/>
  <c r="AO73" i="15"/>
  <c r="AW73" i="15"/>
  <c r="AP73" i="15"/>
  <c r="AX73" i="15"/>
  <c r="BC73" i="15"/>
  <c r="G45" i="7"/>
  <c r="G34" i="7"/>
  <c r="R10" i="7"/>
  <c r="S19" i="7"/>
  <c r="F47" i="7"/>
  <c r="G46" i="7"/>
  <c r="F36" i="7"/>
  <c r="G35" i="7"/>
  <c r="G24" i="7"/>
  <c r="F25" i="7"/>
  <c r="F43" i="7"/>
  <c r="G43" i="7" s="1"/>
  <c r="G42" i="7"/>
  <c r="G23" i="7"/>
  <c r="BQ73" i="15" l="1"/>
  <c r="BI73" i="15"/>
  <c r="BP73" i="15"/>
  <c r="BH73" i="15"/>
  <c r="BO73" i="15"/>
  <c r="BG73" i="15"/>
  <c r="BE73" i="15"/>
  <c r="BK73" i="15"/>
  <c r="BR73" i="15"/>
  <c r="BJ73" i="15"/>
  <c r="BN73" i="15"/>
  <c r="BF73" i="15"/>
  <c r="BM73" i="15"/>
  <c r="BL73" i="15"/>
  <c r="BD73" i="15"/>
  <c r="R11" i="7"/>
  <c r="S10" i="7"/>
  <c r="F26" i="7"/>
  <c r="G25" i="7"/>
  <c r="F37" i="7"/>
  <c r="G36" i="7"/>
  <c r="F48" i="7"/>
  <c r="G47" i="7"/>
  <c r="BU73" i="15" l="1"/>
  <c r="AB73" i="15"/>
  <c r="AA156" i="15"/>
  <c r="V73" i="15"/>
  <c r="AG73" i="15"/>
  <c r="AF156" i="15"/>
  <c r="AC73" i="15"/>
  <c r="AB156" i="15"/>
  <c r="X73" i="15"/>
  <c r="AE73" i="15"/>
  <c r="AD156" i="15"/>
  <c r="U73" i="15"/>
  <c r="AD73" i="15"/>
  <c r="AC156" i="15"/>
  <c r="AF73" i="15"/>
  <c r="AE156" i="15"/>
  <c r="W73" i="15"/>
  <c r="Y73" i="15"/>
  <c r="AA73" i="15"/>
  <c r="Z156" i="15"/>
  <c r="Z73" i="15"/>
  <c r="Y156" i="15"/>
  <c r="AI73" i="15"/>
  <c r="AH156" i="15"/>
  <c r="AH73" i="15"/>
  <c r="AG156" i="15"/>
  <c r="R12" i="7"/>
  <c r="S11" i="7"/>
  <c r="F49" i="7"/>
  <c r="G48" i="7"/>
  <c r="F38" i="7"/>
  <c r="G37" i="7"/>
  <c r="G26" i="7"/>
  <c r="F27" i="7"/>
  <c r="AJ73" i="15" l="1"/>
  <c r="S12" i="7"/>
  <c r="R13" i="7"/>
  <c r="F28" i="7"/>
  <c r="G27" i="7"/>
  <c r="F39" i="7"/>
  <c r="G38" i="7"/>
  <c r="F50" i="7"/>
  <c r="G49" i="7"/>
  <c r="S13" i="7" l="1"/>
  <c r="R14" i="7"/>
  <c r="F51" i="7"/>
  <c r="G50" i="7"/>
  <c r="F40" i="7"/>
  <c r="G40" i="7" s="1"/>
  <c r="G39" i="7"/>
  <c r="G28" i="7"/>
  <c r="F29" i="7"/>
  <c r="G29" i="7" s="1"/>
  <c r="R15" i="7" l="1"/>
  <c r="S14" i="7"/>
  <c r="F52" i="7"/>
  <c r="G51" i="7"/>
  <c r="R16" i="7" l="1"/>
  <c r="S16" i="7" s="1"/>
  <c r="S15" i="7"/>
  <c r="F53" i="7"/>
  <c r="G53" i="7" s="1"/>
  <c r="G52" i="7"/>
  <c r="A49" i="15" l="1"/>
  <c r="C18" i="5"/>
  <c r="D18" i="5" s="1"/>
  <c r="B18" i="5"/>
  <c r="D16" i="5"/>
  <c r="B14" i="5"/>
  <c r="D14" i="5" s="1"/>
  <c r="B13" i="5"/>
  <c r="D13" i="5" s="1"/>
  <c r="B12" i="5"/>
  <c r="D12" i="5" s="1"/>
  <c r="B11" i="5"/>
  <c r="D11" i="5" s="1"/>
  <c r="B10" i="5"/>
  <c r="D10" i="5" s="1"/>
  <c r="C9" i="5"/>
  <c r="B9" i="5"/>
  <c r="D17" i="5"/>
  <c r="T95" i="15"/>
  <c r="T94" i="15"/>
  <c r="AL94" i="15" s="1"/>
  <c r="B177" i="15" s="1"/>
  <c r="T93" i="15"/>
  <c r="T92" i="15"/>
  <c r="AL92" i="15" s="1"/>
  <c r="B175" i="15" s="1"/>
  <c r="T91" i="15"/>
  <c r="AL91" i="15" s="1"/>
  <c r="AW91" i="15" s="1"/>
  <c r="T90" i="15"/>
  <c r="AL90" i="15" s="1"/>
  <c r="AX90" i="15" s="1"/>
  <c r="T89" i="15"/>
  <c r="BC89" i="15" s="1"/>
  <c r="BP89" i="15" s="1"/>
  <c r="AF172" i="15" s="1"/>
  <c r="T88" i="15"/>
  <c r="AL88" i="15" s="1"/>
  <c r="AT88" i="15" s="1"/>
  <c r="T87" i="15"/>
  <c r="AL87" i="15" s="1"/>
  <c r="AY87" i="15" s="1"/>
  <c r="T86" i="15"/>
  <c r="BC86" i="15" s="1"/>
  <c r="S169" i="15" s="1"/>
  <c r="T85" i="15"/>
  <c r="T84" i="15"/>
  <c r="AL84" i="15" s="1"/>
  <c r="AT84" i="15" s="1"/>
  <c r="T83" i="15"/>
  <c r="AL83" i="15" s="1"/>
  <c r="AY83" i="15" s="1"/>
  <c r="T82" i="15"/>
  <c r="AL82" i="15" s="1"/>
  <c r="AY82" i="15" s="1"/>
  <c r="T81" i="15"/>
  <c r="BC81" i="15" s="1"/>
  <c r="S164" i="15" s="1"/>
  <c r="T80" i="15"/>
  <c r="AL80" i="15" s="1"/>
  <c r="B163" i="15" s="1"/>
  <c r="T79" i="15"/>
  <c r="AL79" i="15" s="1"/>
  <c r="AY79" i="15" s="1"/>
  <c r="T78" i="15"/>
  <c r="BC78" i="15" s="1"/>
  <c r="BF78" i="15" s="1"/>
  <c r="V161" i="15" s="1"/>
  <c r="T77" i="15"/>
  <c r="T76" i="15"/>
  <c r="AL76" i="15" s="1"/>
  <c r="B159" i="15" s="1"/>
  <c r="T75" i="15"/>
  <c r="AL75" i="15" s="1"/>
  <c r="AY75" i="15" s="1"/>
  <c r="T74" i="15"/>
  <c r="AL74" i="15" s="1"/>
  <c r="AU74" i="15" s="1"/>
  <c r="T72" i="15"/>
  <c r="AL72" i="15" s="1"/>
  <c r="B155" i="15" s="1"/>
  <c r="T71" i="15"/>
  <c r="AL71" i="15" s="1"/>
  <c r="AZ71" i="15" s="1"/>
  <c r="P154" i="15" s="1"/>
  <c r="T70" i="15"/>
  <c r="AL70" i="15" s="1"/>
  <c r="AX70" i="15" s="1"/>
  <c r="T69" i="15"/>
  <c r="BC69" i="15" s="1"/>
  <c r="BL69" i="15" s="1"/>
  <c r="AB152" i="15" s="1"/>
  <c r="T68" i="15"/>
  <c r="AL68" i="15" s="1"/>
  <c r="AT68" i="15" s="1"/>
  <c r="T67" i="15"/>
  <c r="AL67" i="15" s="1"/>
  <c r="AU67" i="15" s="1"/>
  <c r="T66" i="15"/>
  <c r="AL66" i="15" s="1"/>
  <c r="B149" i="15" s="1"/>
  <c r="T65" i="15"/>
  <c r="AL65" i="15" s="1"/>
  <c r="AY65" i="15" s="1"/>
  <c r="T64" i="15"/>
  <c r="AL64" i="15" s="1"/>
  <c r="AY64" i="15" s="1"/>
  <c r="T63" i="15"/>
  <c r="BC63" i="15" s="1"/>
  <c r="S146" i="15" s="1"/>
  <c r="T62" i="15"/>
  <c r="T61" i="15"/>
  <c r="AL61" i="15" s="1"/>
  <c r="AT61" i="15" s="1"/>
  <c r="T60" i="15"/>
  <c r="AL60" i="15" s="1"/>
  <c r="AU60" i="15" s="1"/>
  <c r="T59" i="15"/>
  <c r="AL59" i="15" s="1"/>
  <c r="AW59" i="15" s="1"/>
  <c r="T58" i="15"/>
  <c r="BC58" i="15" s="1"/>
  <c r="BP58" i="15" s="1"/>
  <c r="AF141" i="15" s="1"/>
  <c r="T57" i="15"/>
  <c r="AL57" i="15" s="1"/>
  <c r="AW57" i="15" s="1"/>
  <c r="T56" i="15"/>
  <c r="AL56" i="15" s="1"/>
  <c r="AZ56" i="15" s="1"/>
  <c r="T55" i="15"/>
  <c r="BC55" i="15" s="1"/>
  <c r="BO55" i="15" s="1"/>
  <c r="AE138" i="15" s="1"/>
  <c r="T54" i="15"/>
  <c r="AL54" i="15" s="1"/>
  <c r="AZ54" i="15" s="1"/>
  <c r="T53" i="15"/>
  <c r="T52" i="15"/>
  <c r="AL52" i="15" s="1"/>
  <c r="AY52" i="15" s="1"/>
  <c r="T51" i="15"/>
  <c r="AL51" i="15" s="1"/>
  <c r="AT51" i="15" s="1"/>
  <c r="T50" i="15"/>
  <c r="BC50" i="15" s="1"/>
  <c r="S133" i="15" s="1"/>
  <c r="T49" i="15"/>
  <c r="BC49" i="15" s="1"/>
  <c r="BL49" i="15" s="1"/>
  <c r="AB132" i="15" s="1"/>
  <c r="W8" i="3"/>
  <c r="AA8" i="3" s="1"/>
  <c r="X8" i="3"/>
  <c r="W9" i="3"/>
  <c r="AA9" i="3" s="1"/>
  <c r="X9" i="3"/>
  <c r="W10" i="3"/>
  <c r="AA10" i="3" s="1"/>
  <c r="X10" i="3"/>
  <c r="W11" i="3"/>
  <c r="AA11" i="3" s="1"/>
  <c r="X11" i="3"/>
  <c r="W12" i="3"/>
  <c r="AA12" i="3" s="1"/>
  <c r="X12" i="3"/>
  <c r="W14" i="3"/>
  <c r="AA14" i="3" s="1"/>
  <c r="X14" i="3"/>
  <c r="W15" i="3"/>
  <c r="AA15" i="3" s="1"/>
  <c r="X15" i="3"/>
  <c r="W16" i="3"/>
  <c r="AA16" i="3" s="1"/>
  <c r="X16" i="3"/>
  <c r="W17" i="3"/>
  <c r="AA17" i="3" s="1"/>
  <c r="X17" i="3"/>
  <c r="W18" i="3"/>
  <c r="AA18" i="3" s="1"/>
  <c r="X18" i="3"/>
  <c r="W19" i="3"/>
  <c r="AB7" i="3" s="1"/>
  <c r="X19" i="3"/>
  <c r="W20" i="3"/>
  <c r="AB8" i="3" s="1"/>
  <c r="X20" i="3"/>
  <c r="W21" i="3"/>
  <c r="AC7" i="3" s="1"/>
  <c r="X21" i="3"/>
  <c r="W22" i="3"/>
  <c r="AC8" i="3" s="1"/>
  <c r="X22" i="3"/>
  <c r="W23" i="3"/>
  <c r="AC9" i="3" s="1"/>
  <c r="X23" i="3"/>
  <c r="W24" i="3"/>
  <c r="AC10" i="3" s="1"/>
  <c r="X24" i="3"/>
  <c r="W25" i="3"/>
  <c r="AC11" i="3" s="1"/>
  <c r="X25" i="3"/>
  <c r="W26" i="3"/>
  <c r="AC12" i="3" s="1"/>
  <c r="X26" i="3"/>
  <c r="W27" i="3"/>
  <c r="AC13" i="3" s="1"/>
  <c r="X27" i="3"/>
  <c r="W28" i="3"/>
  <c r="AC14" i="3" s="1"/>
  <c r="X28" i="3"/>
  <c r="W29" i="3"/>
  <c r="AC15" i="3" s="1"/>
  <c r="X29" i="3"/>
  <c r="W30" i="3"/>
  <c r="AC16" i="3" s="1"/>
  <c r="X30" i="3"/>
  <c r="W31" i="3"/>
  <c r="AC17" i="3" s="1"/>
  <c r="X31" i="3"/>
  <c r="W32" i="3"/>
  <c r="AC18" i="3" s="1"/>
  <c r="X32" i="3"/>
  <c r="W33" i="3"/>
  <c r="AC19" i="3" s="1"/>
  <c r="X33" i="3"/>
  <c r="W34" i="3"/>
  <c r="AC20" i="3" s="1"/>
  <c r="X34" i="3"/>
  <c r="W35" i="3"/>
  <c r="AC21" i="3" s="1"/>
  <c r="X35" i="3"/>
  <c r="W36" i="3"/>
  <c r="AC22" i="3" s="1"/>
  <c r="X36" i="3"/>
  <c r="W37" i="3"/>
  <c r="AC23" i="3" s="1"/>
  <c r="X37" i="3"/>
  <c r="W38" i="3"/>
  <c r="X38" i="3"/>
  <c r="W39" i="3"/>
  <c r="X39" i="3"/>
  <c r="W40" i="3"/>
  <c r="X40" i="3"/>
  <c r="W41" i="3"/>
  <c r="X41" i="3"/>
  <c r="W42" i="3"/>
  <c r="X42" i="3"/>
  <c r="W43" i="3"/>
  <c r="X43" i="3"/>
  <c r="W44" i="3"/>
  <c r="X44" i="3"/>
  <c r="W45" i="3"/>
  <c r="X45" i="3"/>
  <c r="W46" i="3"/>
  <c r="X46" i="3"/>
  <c r="W47" i="3"/>
  <c r="X47" i="3"/>
  <c r="W48" i="3"/>
  <c r="X48" i="3"/>
  <c r="W49" i="3"/>
  <c r="X49" i="3"/>
  <c r="W50" i="3"/>
  <c r="X50" i="3"/>
  <c r="W51" i="3"/>
  <c r="X51" i="3"/>
  <c r="W52" i="3"/>
  <c r="X52" i="3"/>
  <c r="X7" i="3"/>
  <c r="W7" i="3"/>
  <c r="AA7" i="3" s="1"/>
  <c r="T8" i="3"/>
  <c r="U8" i="3"/>
  <c r="T9" i="3"/>
  <c r="U9" i="3"/>
  <c r="T10" i="3"/>
  <c r="U10" i="3"/>
  <c r="T11" i="3"/>
  <c r="U11" i="3"/>
  <c r="T12" i="3"/>
  <c r="U12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U7" i="3"/>
  <c r="T7" i="3"/>
  <c r="A188" i="15"/>
  <c r="K85" i="9"/>
  <c r="J85" i="9"/>
  <c r="I85" i="9"/>
  <c r="H85" i="9"/>
  <c r="K84" i="9"/>
  <c r="J84" i="9"/>
  <c r="I84" i="9"/>
  <c r="H84" i="9"/>
  <c r="K83" i="9"/>
  <c r="J83" i="9"/>
  <c r="I83" i="9"/>
  <c r="H83" i="9"/>
  <c r="K82" i="9"/>
  <c r="J82" i="9"/>
  <c r="I82" i="9"/>
  <c r="H82" i="9"/>
  <c r="K81" i="9"/>
  <c r="J81" i="9"/>
  <c r="I81" i="9"/>
  <c r="H81" i="9"/>
  <c r="K80" i="9"/>
  <c r="J80" i="9"/>
  <c r="I80" i="9"/>
  <c r="H80" i="9"/>
  <c r="K79" i="9"/>
  <c r="J79" i="9"/>
  <c r="I79" i="9"/>
  <c r="H79" i="9"/>
  <c r="K78" i="9"/>
  <c r="J78" i="9"/>
  <c r="I78" i="9"/>
  <c r="H78" i="9"/>
  <c r="K77" i="9"/>
  <c r="J77" i="9"/>
  <c r="I77" i="9"/>
  <c r="H77" i="9"/>
  <c r="K76" i="9"/>
  <c r="J76" i="9"/>
  <c r="I76" i="9"/>
  <c r="H76" i="9"/>
  <c r="K75" i="9"/>
  <c r="J75" i="9"/>
  <c r="I75" i="9"/>
  <c r="H75" i="9"/>
  <c r="K74" i="9"/>
  <c r="J74" i="9"/>
  <c r="I74" i="9"/>
  <c r="H74" i="9"/>
  <c r="K73" i="9"/>
  <c r="J73" i="9"/>
  <c r="I73" i="9"/>
  <c r="H73" i="9"/>
  <c r="K72" i="9"/>
  <c r="J72" i="9"/>
  <c r="I72" i="9"/>
  <c r="H72" i="9"/>
  <c r="K71" i="9"/>
  <c r="J71" i="9"/>
  <c r="I71" i="9"/>
  <c r="H71" i="9"/>
  <c r="K70" i="9"/>
  <c r="J70" i="9"/>
  <c r="I70" i="9"/>
  <c r="H70" i="9"/>
  <c r="K69" i="9"/>
  <c r="J69" i="9"/>
  <c r="I69" i="9"/>
  <c r="H69" i="9"/>
  <c r="K68" i="9"/>
  <c r="J68" i="9"/>
  <c r="I68" i="9"/>
  <c r="H68" i="9"/>
  <c r="K67" i="9"/>
  <c r="J67" i="9"/>
  <c r="I67" i="9"/>
  <c r="H67" i="9"/>
  <c r="K66" i="9"/>
  <c r="J66" i="9"/>
  <c r="I66" i="9"/>
  <c r="H66" i="9"/>
  <c r="K65" i="9"/>
  <c r="J65" i="9"/>
  <c r="I65" i="9"/>
  <c r="H65" i="9"/>
  <c r="K64" i="9"/>
  <c r="J64" i="9"/>
  <c r="I64" i="9"/>
  <c r="H64" i="9"/>
  <c r="K63" i="9"/>
  <c r="J63" i="9"/>
  <c r="I63" i="9"/>
  <c r="H63" i="9"/>
  <c r="K62" i="9"/>
  <c r="J62" i="9"/>
  <c r="I62" i="9"/>
  <c r="H62" i="9"/>
  <c r="K61" i="9"/>
  <c r="J61" i="9"/>
  <c r="I61" i="9"/>
  <c r="H61" i="9"/>
  <c r="K60" i="9"/>
  <c r="J60" i="9"/>
  <c r="I60" i="9"/>
  <c r="H60" i="9"/>
  <c r="K59" i="9"/>
  <c r="J59" i="9"/>
  <c r="I59" i="9"/>
  <c r="H59" i="9"/>
  <c r="K58" i="9"/>
  <c r="J58" i="9"/>
  <c r="I58" i="9"/>
  <c r="H58" i="9"/>
  <c r="K57" i="9"/>
  <c r="J57" i="9"/>
  <c r="I57" i="9"/>
  <c r="H57" i="9"/>
  <c r="K56" i="9"/>
  <c r="J56" i="9"/>
  <c r="I56" i="9"/>
  <c r="H56" i="9"/>
  <c r="K55" i="9"/>
  <c r="J55" i="9"/>
  <c r="I55" i="9"/>
  <c r="H55" i="9"/>
  <c r="K54" i="9"/>
  <c r="J54" i="9"/>
  <c r="I54" i="9"/>
  <c r="H54" i="9"/>
  <c r="K53" i="9"/>
  <c r="J53" i="9"/>
  <c r="I53" i="9"/>
  <c r="H53" i="9"/>
  <c r="K52" i="9"/>
  <c r="J52" i="9"/>
  <c r="I52" i="9"/>
  <c r="H52" i="9"/>
  <c r="K51" i="9"/>
  <c r="J51" i="9"/>
  <c r="I51" i="9"/>
  <c r="H51" i="9"/>
  <c r="A233" i="15"/>
  <c r="A234" i="15"/>
  <c r="A235" i="15"/>
  <c r="A236" i="15"/>
  <c r="A237" i="15"/>
  <c r="A232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18" i="15"/>
  <c r="U114" i="15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AG114" i="15" s="1"/>
  <c r="AH114" i="15" s="1"/>
  <c r="U113" i="15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AG113" i="15" s="1"/>
  <c r="AH113" i="15" s="1"/>
  <c r="U112" i="15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AG112" i="15" s="1"/>
  <c r="AH112" i="15" s="1"/>
  <c r="U111" i="15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U110" i="15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AG110" i="15" s="1"/>
  <c r="AH110" i="15" s="1"/>
  <c r="U109" i="15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AG109" i="15" s="1"/>
  <c r="AH109" i="15" s="1"/>
  <c r="U108" i="15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AG108" i="15" s="1"/>
  <c r="AH108" i="15" s="1"/>
  <c r="U107" i="15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AG107" i="15" s="1"/>
  <c r="AH107" i="15" s="1"/>
  <c r="U106" i="15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AG106" i="15" s="1"/>
  <c r="AH106" i="15" s="1"/>
  <c r="U105" i="15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AG105" i="15" s="1"/>
  <c r="AH105" i="15" s="1"/>
  <c r="U104" i="15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AG104" i="15" s="1"/>
  <c r="AH104" i="15" s="1"/>
  <c r="U103" i="15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AG103" i="15" s="1"/>
  <c r="AH103" i="15" s="1"/>
  <c r="U102" i="15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AG102" i="15" s="1"/>
  <c r="AH102" i="15" s="1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6" i="15"/>
  <c r="A117" i="15"/>
  <c r="A118" i="15"/>
  <c r="A119" i="15"/>
  <c r="A120" i="15"/>
  <c r="A121" i="15"/>
  <c r="A122" i="15"/>
  <c r="A102" i="15"/>
  <c r="A19" i="15"/>
  <c r="A20" i="15"/>
  <c r="A21" i="15"/>
  <c r="A22" i="15"/>
  <c r="A23" i="15"/>
  <c r="A24" i="15"/>
  <c r="A25" i="15"/>
  <c r="A26" i="15"/>
  <c r="A27" i="15"/>
  <c r="A29" i="15"/>
  <c r="A30" i="15"/>
  <c r="A31" i="15"/>
  <c r="A32" i="15"/>
  <c r="A33" i="15"/>
  <c r="A28" i="15"/>
  <c r="A34" i="15"/>
  <c r="A35" i="15"/>
  <c r="A36" i="15"/>
  <c r="A37" i="15"/>
  <c r="A38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65" i="15"/>
  <c r="A72" i="15"/>
  <c r="A71" i="15"/>
  <c r="A70" i="15"/>
  <c r="A69" i="15"/>
  <c r="A68" i="15"/>
  <c r="A67" i="15"/>
  <c r="A66" i="15"/>
  <c r="A63" i="15"/>
  <c r="A62" i="15"/>
  <c r="A61" i="15"/>
  <c r="A60" i="15"/>
  <c r="A59" i="15"/>
  <c r="A58" i="15"/>
  <c r="A57" i="15"/>
  <c r="A55" i="15"/>
  <c r="A54" i="15"/>
  <c r="A53" i="15"/>
  <c r="A52" i="15"/>
  <c r="A51" i="15"/>
  <c r="A50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B8" i="15"/>
  <c r="B7" i="15"/>
  <c r="AQ91" i="15"/>
  <c r="AW84" i="15"/>
  <c r="AV84" i="15"/>
  <c r="AU84" i="15"/>
  <c r="AO84" i="15"/>
  <c r="AN84" i="15"/>
  <c r="AM84" i="15"/>
  <c r="D9" i="5" l="1"/>
  <c r="AU68" i="15"/>
  <c r="B151" i="15"/>
  <c r="S172" i="15"/>
  <c r="AY70" i="15"/>
  <c r="AY54" i="15"/>
  <c r="O137" i="15" s="1"/>
  <c r="B135" i="15"/>
  <c r="B143" i="15"/>
  <c r="S138" i="15"/>
  <c r="B144" i="15"/>
  <c r="B137" i="15"/>
  <c r="B153" i="15"/>
  <c r="B162" i="15"/>
  <c r="B170" i="15"/>
  <c r="S132" i="15"/>
  <c r="B154" i="15"/>
  <c r="B171" i="15"/>
  <c r="S141" i="15"/>
  <c r="B139" i="15"/>
  <c r="B147" i="15"/>
  <c r="B140" i="15"/>
  <c r="B148" i="15"/>
  <c r="B157" i="15"/>
  <c r="B165" i="15"/>
  <c r="B173" i="15"/>
  <c r="B158" i="15"/>
  <c r="B166" i="15"/>
  <c r="B174" i="15"/>
  <c r="S152" i="15"/>
  <c r="S161" i="15"/>
  <c r="B134" i="15"/>
  <c r="B142" i="15"/>
  <c r="B150" i="15"/>
  <c r="B167" i="15"/>
  <c r="BA71" i="15"/>
  <c r="Q154" i="15" s="1"/>
  <c r="AV57" i="15"/>
  <c r="AX57" i="15"/>
  <c r="BA59" i="15"/>
  <c r="Q142" i="15" s="1"/>
  <c r="AN51" i="15"/>
  <c r="D134" i="15" s="1"/>
  <c r="AN57" i="15"/>
  <c r="D140" i="15" s="1"/>
  <c r="AQ57" i="15"/>
  <c r="G140" i="15" s="1"/>
  <c r="AY57" i="15"/>
  <c r="O140" i="15" s="1"/>
  <c r="AX51" i="15"/>
  <c r="N134" i="15" s="1"/>
  <c r="AR52" i="15"/>
  <c r="AU52" i="15"/>
  <c r="K135" i="15" s="1"/>
  <c r="AW52" i="15"/>
  <c r="M135" i="15" s="1"/>
  <c r="AQ90" i="15"/>
  <c r="AP57" i="15"/>
  <c r="F140" i="15" s="1"/>
  <c r="AU88" i="15"/>
  <c r="AM88" i="15"/>
  <c r="AS54" i="15"/>
  <c r="I137" i="15" s="1"/>
  <c r="AV68" i="15"/>
  <c r="L151" i="15" s="1"/>
  <c r="AP91" i="15"/>
  <c r="AR91" i="15"/>
  <c r="BA54" i="15"/>
  <c r="Q137" i="15" s="1"/>
  <c r="AX91" i="15"/>
  <c r="AY91" i="15"/>
  <c r="AZ91" i="15"/>
  <c r="AR68" i="15"/>
  <c r="H151" i="15" s="1"/>
  <c r="AP51" i="15"/>
  <c r="AR79" i="15"/>
  <c r="AV51" i="15"/>
  <c r="L134" i="15" s="1"/>
  <c r="BA56" i="15"/>
  <c r="Q139" i="15" s="1"/>
  <c r="AS59" i="15"/>
  <c r="I142" i="15" s="1"/>
  <c r="AQ70" i="15"/>
  <c r="G153" i="15" s="1"/>
  <c r="AR83" i="15"/>
  <c r="AZ83" i="15"/>
  <c r="AR90" i="15"/>
  <c r="AM51" i="15"/>
  <c r="C134" i="15" s="1"/>
  <c r="AU51" i="15"/>
  <c r="K134" i="15" s="1"/>
  <c r="AP59" i="15"/>
  <c r="F142" i="15" s="1"/>
  <c r="AX59" i="15"/>
  <c r="N142" i="15" s="1"/>
  <c r="AQ59" i="15"/>
  <c r="G142" i="15" s="1"/>
  <c r="AY59" i="15"/>
  <c r="O142" i="15" s="1"/>
  <c r="AR65" i="15"/>
  <c r="AO51" i="15"/>
  <c r="E134" i="15" s="1"/>
  <c r="AW51" i="15"/>
  <c r="M134" i="15" s="1"/>
  <c r="AR59" i="15"/>
  <c r="H142" i="15" s="1"/>
  <c r="AZ59" i="15"/>
  <c r="P142" i="15" s="1"/>
  <c r="AZ65" i="15"/>
  <c r="AT59" i="15"/>
  <c r="J142" i="15" s="1"/>
  <c r="AS79" i="15"/>
  <c r="AQ51" i="15"/>
  <c r="G134" i="15" s="1"/>
  <c r="AY51" i="15"/>
  <c r="O134" i="15" s="1"/>
  <c r="AR51" i="15"/>
  <c r="H134" i="15" s="1"/>
  <c r="AZ51" i="15"/>
  <c r="P134" i="15" s="1"/>
  <c r="AM59" i="15"/>
  <c r="C142" i="15" s="1"/>
  <c r="AU59" i="15"/>
  <c r="K142" i="15" s="1"/>
  <c r="AT79" i="15"/>
  <c r="AS51" i="15"/>
  <c r="I134" i="15" s="1"/>
  <c r="BA51" i="15"/>
  <c r="Q134" i="15" s="1"/>
  <c r="AN59" i="15"/>
  <c r="D142" i="15" s="1"/>
  <c r="AV59" i="15"/>
  <c r="L142" i="15" s="1"/>
  <c r="AZ79" i="15"/>
  <c r="AO59" i="15"/>
  <c r="E142" i="15" s="1"/>
  <c r="BA79" i="15"/>
  <c r="AS70" i="15"/>
  <c r="I153" i="15" s="1"/>
  <c r="BA70" i="15"/>
  <c r="Q153" i="15" s="1"/>
  <c r="AT70" i="15"/>
  <c r="J153" i="15" s="1"/>
  <c r="AR70" i="15"/>
  <c r="H153" i="15" s="1"/>
  <c r="AZ70" i="15"/>
  <c r="AM56" i="15"/>
  <c r="C139" i="15" s="1"/>
  <c r="AS56" i="15"/>
  <c r="AM70" i="15"/>
  <c r="C153" i="15" s="1"/>
  <c r="AU70" i="15"/>
  <c r="K153" i="15" s="1"/>
  <c r="AT56" i="15"/>
  <c r="J139" i="15" s="1"/>
  <c r="AN70" i="15"/>
  <c r="D153" i="15" s="1"/>
  <c r="AV70" i="15"/>
  <c r="L153" i="15" s="1"/>
  <c r="AU56" i="15"/>
  <c r="K139" i="15" s="1"/>
  <c r="AO70" i="15"/>
  <c r="E153" i="15" s="1"/>
  <c r="AW70" i="15"/>
  <c r="M153" i="15" s="1"/>
  <c r="AP70" i="15"/>
  <c r="F153" i="15" s="1"/>
  <c r="AR57" i="15"/>
  <c r="H140" i="15" s="1"/>
  <c r="AZ57" i="15"/>
  <c r="P140" i="15" s="1"/>
  <c r="AS57" i="15"/>
  <c r="I140" i="15" s="1"/>
  <c r="BA57" i="15"/>
  <c r="Q140" i="15" s="1"/>
  <c r="AT57" i="15"/>
  <c r="J140" i="15" s="1"/>
  <c r="AM57" i="15"/>
  <c r="C140" i="15" s="1"/>
  <c r="AU57" i="15"/>
  <c r="AO57" i="15"/>
  <c r="E140" i="15" s="1"/>
  <c r="AS71" i="15"/>
  <c r="I154" i="15" s="1"/>
  <c r="BK49" i="15"/>
  <c r="AA132" i="15" s="1"/>
  <c r="AN60" i="15"/>
  <c r="D143" i="15" s="1"/>
  <c r="AM52" i="15"/>
  <c r="C135" i="15" s="1"/>
  <c r="AX52" i="15"/>
  <c r="N135" i="15" s="1"/>
  <c r="AO52" i="15"/>
  <c r="E135" i="15" s="1"/>
  <c r="AQ60" i="15"/>
  <c r="G143" i="15" s="1"/>
  <c r="AN52" i="15"/>
  <c r="D135" i="15" s="1"/>
  <c r="AZ52" i="15"/>
  <c r="P135" i="15" s="1"/>
  <c r="AP52" i="15"/>
  <c r="F135" i="15" s="1"/>
  <c r="AV60" i="15"/>
  <c r="L143" i="15" s="1"/>
  <c r="AY60" i="15"/>
  <c r="O143" i="15" s="1"/>
  <c r="AR75" i="15"/>
  <c r="AZ75" i="15"/>
  <c r="AV52" i="15"/>
  <c r="L135" i="15" s="1"/>
  <c r="AM54" i="15"/>
  <c r="C137" i="15" s="1"/>
  <c r="AZ68" i="15"/>
  <c r="P151" i="15" s="1"/>
  <c r="AM79" i="15"/>
  <c r="AU79" i="15"/>
  <c r="AP84" i="15"/>
  <c r="AX84" i="15"/>
  <c r="AY90" i="15"/>
  <c r="AS91" i="15"/>
  <c r="BA91" i="15"/>
  <c r="AQ54" i="15"/>
  <c r="G137" i="15" s="1"/>
  <c r="AN79" i="15"/>
  <c r="AV79" i="15"/>
  <c r="AQ84" i="15"/>
  <c r="AY84" i="15"/>
  <c r="AZ90" i="15"/>
  <c r="AT91" i="15"/>
  <c r="AS61" i="15"/>
  <c r="I144" i="15" s="1"/>
  <c r="AR84" i="15"/>
  <c r="AM91" i="15"/>
  <c r="AU91" i="15"/>
  <c r="AT54" i="15"/>
  <c r="AM68" i="15"/>
  <c r="C151" i="15" s="1"/>
  <c r="AP79" i="15"/>
  <c r="AX79" i="15"/>
  <c r="AS84" i="15"/>
  <c r="BA84" i="15"/>
  <c r="AN91" i="15"/>
  <c r="AV91" i="15"/>
  <c r="AO79" i="15"/>
  <c r="AW79" i="15"/>
  <c r="AZ84" i="15"/>
  <c r="AU54" i="15"/>
  <c r="K137" i="15" s="1"/>
  <c r="AN68" i="15"/>
  <c r="D151" i="15" s="1"/>
  <c r="AQ79" i="15"/>
  <c r="AO91" i="15"/>
  <c r="AN54" i="15"/>
  <c r="D137" i="15" s="1"/>
  <c r="AV54" i="15"/>
  <c r="L137" i="15" s="1"/>
  <c r="AO68" i="15"/>
  <c r="E151" i="15" s="1"/>
  <c r="AW68" i="15"/>
  <c r="M151" i="15" s="1"/>
  <c r="AS90" i="15"/>
  <c r="BA90" i="15"/>
  <c r="AO54" i="15"/>
  <c r="E137" i="15" s="1"/>
  <c r="AW54" i="15"/>
  <c r="M137" i="15" s="1"/>
  <c r="AP68" i="15"/>
  <c r="F151" i="15" s="1"/>
  <c r="AX68" i="15"/>
  <c r="N151" i="15" s="1"/>
  <c r="AT90" i="15"/>
  <c r="AP54" i="15"/>
  <c r="F137" i="15" s="1"/>
  <c r="AX54" i="15"/>
  <c r="N137" i="15" s="1"/>
  <c r="AQ68" i="15"/>
  <c r="G151" i="15" s="1"/>
  <c r="AY68" i="15"/>
  <c r="O151" i="15" s="1"/>
  <c r="AM90" i="15"/>
  <c r="AU90" i="15"/>
  <c r="AN90" i="15"/>
  <c r="AV90" i="15"/>
  <c r="AR54" i="15"/>
  <c r="H137" i="15" s="1"/>
  <c r="AS68" i="15"/>
  <c r="I151" i="15" s="1"/>
  <c r="BA68" i="15"/>
  <c r="Q151" i="15" s="1"/>
  <c r="AO90" i="15"/>
  <c r="AW90" i="15"/>
  <c r="AP90" i="15"/>
  <c r="AN56" i="15"/>
  <c r="D139" i="15" s="1"/>
  <c r="AV56" i="15"/>
  <c r="L139" i="15" s="1"/>
  <c r="AO56" i="15"/>
  <c r="E139" i="15" s="1"/>
  <c r="AW56" i="15"/>
  <c r="M139" i="15" s="1"/>
  <c r="AP56" i="15"/>
  <c r="F139" i="15" s="1"/>
  <c r="AX56" i="15"/>
  <c r="N139" i="15" s="1"/>
  <c r="AZ64" i="15"/>
  <c r="P147" i="15" s="1"/>
  <c r="AQ56" i="15"/>
  <c r="G139" i="15" s="1"/>
  <c r="AY56" i="15"/>
  <c r="O139" i="15" s="1"/>
  <c r="AR56" i="15"/>
  <c r="H139" i="15" s="1"/>
  <c r="AS52" i="15"/>
  <c r="I135" i="15" s="1"/>
  <c r="BA52" i="15"/>
  <c r="Q135" i="15" s="1"/>
  <c r="AO60" i="15"/>
  <c r="E143" i="15" s="1"/>
  <c r="AW60" i="15"/>
  <c r="M143" i="15" s="1"/>
  <c r="AT71" i="15"/>
  <c r="J154" i="15" s="1"/>
  <c r="AS65" i="15"/>
  <c r="BA65" i="15"/>
  <c r="AT52" i="15"/>
  <c r="J135" i="15" s="1"/>
  <c r="AP60" i="15"/>
  <c r="F143" i="15" s="1"/>
  <c r="AX60" i="15"/>
  <c r="N143" i="15" s="1"/>
  <c r="AM71" i="15"/>
  <c r="C154" i="15" s="1"/>
  <c r="AU71" i="15"/>
  <c r="K154" i="15" s="1"/>
  <c r="AT65" i="15"/>
  <c r="AN71" i="15"/>
  <c r="D154" i="15" s="1"/>
  <c r="AV71" i="15"/>
  <c r="L154" i="15" s="1"/>
  <c r="AM65" i="15"/>
  <c r="AU65" i="15"/>
  <c r="AR60" i="15"/>
  <c r="H143" i="15" s="1"/>
  <c r="AZ60" i="15"/>
  <c r="P143" i="15" s="1"/>
  <c r="AO71" i="15"/>
  <c r="E154" i="15" s="1"/>
  <c r="AW71" i="15"/>
  <c r="M154" i="15" s="1"/>
  <c r="AN65" i="15"/>
  <c r="AV65" i="15"/>
  <c r="AS60" i="15"/>
  <c r="I143" i="15" s="1"/>
  <c r="BA60" i="15"/>
  <c r="Q143" i="15" s="1"/>
  <c r="AP71" i="15"/>
  <c r="F154" i="15" s="1"/>
  <c r="AX71" i="15"/>
  <c r="N154" i="15" s="1"/>
  <c r="AO65" i="15"/>
  <c r="AW65" i="15"/>
  <c r="AQ71" i="15"/>
  <c r="G154" i="15" s="1"/>
  <c r="AY71" i="15"/>
  <c r="O154" i="15" s="1"/>
  <c r="AP65" i="15"/>
  <c r="AX65" i="15"/>
  <c r="AT60" i="15"/>
  <c r="J143" i="15" s="1"/>
  <c r="AQ52" i="15"/>
  <c r="G135" i="15" s="1"/>
  <c r="AM60" i="15"/>
  <c r="C143" i="15" s="1"/>
  <c r="AR71" i="15"/>
  <c r="H154" i="15" s="1"/>
  <c r="AQ65" i="15"/>
  <c r="AS83" i="15"/>
  <c r="BA83" i="15"/>
  <c r="AN88" i="15"/>
  <c r="AV88" i="15"/>
  <c r="AT75" i="15"/>
  <c r="AT83" i="15"/>
  <c r="AO88" i="15"/>
  <c r="AW88" i="15"/>
  <c r="AM75" i="15"/>
  <c r="AU75" i="15"/>
  <c r="AM83" i="15"/>
  <c r="AU83" i="15"/>
  <c r="AP88" i="15"/>
  <c r="AX88" i="15"/>
  <c r="AS75" i="15"/>
  <c r="BA75" i="15"/>
  <c r="AN75" i="15"/>
  <c r="AV75" i="15"/>
  <c r="AN83" i="15"/>
  <c r="AV83" i="15"/>
  <c r="AQ88" i="15"/>
  <c r="AY88" i="15"/>
  <c r="AO75" i="15"/>
  <c r="AW75" i="15"/>
  <c r="AO83" i="15"/>
  <c r="AW83" i="15"/>
  <c r="AR88" i="15"/>
  <c r="AZ88" i="15"/>
  <c r="AP75" i="15"/>
  <c r="AX75" i="15"/>
  <c r="AP83" i="15"/>
  <c r="AX83" i="15"/>
  <c r="AS88" i="15"/>
  <c r="BA88" i="15"/>
  <c r="AQ75" i="15"/>
  <c r="AQ83" i="15"/>
  <c r="BF69" i="15"/>
  <c r="V152" i="15" s="1"/>
  <c r="BJ55" i="15"/>
  <c r="Z138" i="15" s="1"/>
  <c r="BO69" i="15"/>
  <c r="AE152" i="15" s="1"/>
  <c r="BR55" i="15"/>
  <c r="AH138" i="15" s="1"/>
  <c r="BH89" i="15"/>
  <c r="X172" i="15" s="1"/>
  <c r="BK58" i="15"/>
  <c r="AA141" i="15" s="1"/>
  <c r="BK50" i="15"/>
  <c r="AA133" i="15" s="1"/>
  <c r="BR50" i="15"/>
  <c r="AH133" i="15" s="1"/>
  <c r="BJ50" i="15"/>
  <c r="Z133" i="15" s="1"/>
  <c r="BQ50" i="15"/>
  <c r="AG133" i="15" s="1"/>
  <c r="BI50" i="15"/>
  <c r="Y133" i="15" s="1"/>
  <c r="BF50" i="15"/>
  <c r="V133" i="15" s="1"/>
  <c r="BP50" i="15"/>
  <c r="AF133" i="15" s="1"/>
  <c r="BH50" i="15"/>
  <c r="X133" i="15" s="1"/>
  <c r="BN50" i="15"/>
  <c r="AD133" i="15" s="1"/>
  <c r="BO50" i="15"/>
  <c r="AE133" i="15" s="1"/>
  <c r="BG50" i="15"/>
  <c r="W133" i="15" s="1"/>
  <c r="BM50" i="15"/>
  <c r="AC133" i="15" s="1"/>
  <c r="BE50" i="15"/>
  <c r="U133" i="15" s="1"/>
  <c r="BL50" i="15"/>
  <c r="AB133" i="15" s="1"/>
  <c r="BD50" i="15"/>
  <c r="BH49" i="15"/>
  <c r="X132" i="15" s="1"/>
  <c r="BH55" i="15"/>
  <c r="X138" i="15" s="1"/>
  <c r="BP55" i="15"/>
  <c r="AF138" i="15" s="1"/>
  <c r="BI58" i="15"/>
  <c r="Y141" i="15" s="1"/>
  <c r="BQ58" i="15"/>
  <c r="AG141" i="15" s="1"/>
  <c r="BD69" i="15"/>
  <c r="BM69" i="15"/>
  <c r="AC152" i="15" s="1"/>
  <c r="BN78" i="15"/>
  <c r="AD161" i="15" s="1"/>
  <c r="BJ49" i="15"/>
  <c r="Z132" i="15" s="1"/>
  <c r="BI55" i="15"/>
  <c r="Y138" i="15" s="1"/>
  <c r="BQ55" i="15"/>
  <c r="AG138" i="15" s="1"/>
  <c r="BJ58" i="15"/>
  <c r="Z141" i="15" s="1"/>
  <c r="BR58" i="15"/>
  <c r="AH141" i="15" s="1"/>
  <c r="BE69" i="15"/>
  <c r="U152" i="15" s="1"/>
  <c r="BN69" i="15"/>
  <c r="AD152" i="15" s="1"/>
  <c r="AL50" i="15"/>
  <c r="B133" i="15" s="1"/>
  <c r="AL55" i="15"/>
  <c r="BM49" i="15"/>
  <c r="AC132" i="15" s="1"/>
  <c r="BK55" i="15"/>
  <c r="AA138" i="15" s="1"/>
  <c r="BD58" i="15"/>
  <c r="BL58" i="15"/>
  <c r="AB141" i="15" s="1"/>
  <c r="BG69" i="15"/>
  <c r="W152" i="15" s="1"/>
  <c r="BP69" i="15"/>
  <c r="AF152" i="15" s="1"/>
  <c r="AL69" i="15"/>
  <c r="BP49" i="15"/>
  <c r="AF132" i="15" s="1"/>
  <c r="BD55" i="15"/>
  <c r="BL55" i="15"/>
  <c r="AB138" i="15" s="1"/>
  <c r="BE58" i="15"/>
  <c r="U141" i="15" s="1"/>
  <c r="BM58" i="15"/>
  <c r="AC141" i="15" s="1"/>
  <c r="BH69" i="15"/>
  <c r="X152" i="15" s="1"/>
  <c r="BR69" i="15"/>
  <c r="AH152" i="15" s="1"/>
  <c r="BR49" i="15"/>
  <c r="AH132" i="15" s="1"/>
  <c r="BE55" i="15"/>
  <c r="BM55" i="15"/>
  <c r="AC138" i="15" s="1"/>
  <c r="BF58" i="15"/>
  <c r="V141" i="15" s="1"/>
  <c r="BN58" i="15"/>
  <c r="AD141" i="15" s="1"/>
  <c r="BJ69" i="15"/>
  <c r="Z152" i="15" s="1"/>
  <c r="AL89" i="15"/>
  <c r="BF55" i="15"/>
  <c r="V138" i="15" s="1"/>
  <c r="BN55" i="15"/>
  <c r="AD138" i="15" s="1"/>
  <c r="BG58" i="15"/>
  <c r="W141" i="15" s="1"/>
  <c r="BO58" i="15"/>
  <c r="AE141" i="15" s="1"/>
  <c r="BK69" i="15"/>
  <c r="AA152" i="15" s="1"/>
  <c r="BE49" i="15"/>
  <c r="U132" i="15" s="1"/>
  <c r="BG55" i="15"/>
  <c r="W138" i="15" s="1"/>
  <c r="BH58" i="15"/>
  <c r="X141" i="15" s="1"/>
  <c r="AY66" i="15"/>
  <c r="O149" i="15" s="1"/>
  <c r="AQ66" i="15"/>
  <c r="G149" i="15" s="1"/>
  <c r="AX66" i="15"/>
  <c r="N149" i="15" s="1"/>
  <c r="AP66" i="15"/>
  <c r="F149" i="15" s="1"/>
  <c r="AR66" i="15"/>
  <c r="H149" i="15" s="1"/>
  <c r="AW66" i="15"/>
  <c r="M149" i="15" s="1"/>
  <c r="AO66" i="15"/>
  <c r="E149" i="15" s="1"/>
  <c r="AZ66" i="15"/>
  <c r="P149" i="15" s="1"/>
  <c r="AV66" i="15"/>
  <c r="L149" i="15" s="1"/>
  <c r="AN66" i="15"/>
  <c r="D149" i="15" s="1"/>
  <c r="AU66" i="15"/>
  <c r="K149" i="15" s="1"/>
  <c r="AM66" i="15"/>
  <c r="C149" i="15" s="1"/>
  <c r="AT66" i="15"/>
  <c r="J149" i="15" s="1"/>
  <c r="BA66" i="15"/>
  <c r="Q149" i="15" s="1"/>
  <c r="AS66" i="15"/>
  <c r="I149" i="15" s="1"/>
  <c r="BQ81" i="15"/>
  <c r="AG164" i="15" s="1"/>
  <c r="BI81" i="15"/>
  <c r="Y164" i="15" s="1"/>
  <c r="BP81" i="15"/>
  <c r="AF164" i="15" s="1"/>
  <c r="BH81" i="15"/>
  <c r="X164" i="15" s="1"/>
  <c r="BO81" i="15"/>
  <c r="AE164" i="15" s="1"/>
  <c r="BG81" i="15"/>
  <c r="W164" i="15" s="1"/>
  <c r="BN81" i="15"/>
  <c r="AD164" i="15" s="1"/>
  <c r="BF81" i="15"/>
  <c r="V164" i="15" s="1"/>
  <c r="BM81" i="15"/>
  <c r="AC164" i="15" s="1"/>
  <c r="BE81" i="15"/>
  <c r="U164" i="15" s="1"/>
  <c r="BR81" i="15"/>
  <c r="AH164" i="15" s="1"/>
  <c r="BL81" i="15"/>
  <c r="AB164" i="15" s="1"/>
  <c r="BD81" i="15"/>
  <c r="BK81" i="15"/>
  <c r="AA164" i="15" s="1"/>
  <c r="BJ81" i="15"/>
  <c r="Z164" i="15" s="1"/>
  <c r="BQ86" i="15"/>
  <c r="AG169" i="15" s="1"/>
  <c r="BI86" i="15"/>
  <c r="Y169" i="15" s="1"/>
  <c r="BP86" i="15"/>
  <c r="AF169" i="15" s="1"/>
  <c r="BH86" i="15"/>
  <c r="X169" i="15" s="1"/>
  <c r="BO86" i="15"/>
  <c r="AE169" i="15" s="1"/>
  <c r="BG86" i="15"/>
  <c r="W169" i="15" s="1"/>
  <c r="BN86" i="15"/>
  <c r="AD169" i="15" s="1"/>
  <c r="BF86" i="15"/>
  <c r="V169" i="15" s="1"/>
  <c r="BR86" i="15"/>
  <c r="AH169" i="15" s="1"/>
  <c r="BM86" i="15"/>
  <c r="AC169" i="15" s="1"/>
  <c r="BE86" i="15"/>
  <c r="U169" i="15" s="1"/>
  <c r="BL86" i="15"/>
  <c r="AB169" i="15" s="1"/>
  <c r="BD86" i="15"/>
  <c r="BJ86" i="15"/>
  <c r="Z169" i="15" s="1"/>
  <c r="BK86" i="15"/>
  <c r="AA169" i="15" s="1"/>
  <c r="AL81" i="15"/>
  <c r="B164" i="15" s="1"/>
  <c r="AN67" i="15"/>
  <c r="D150" i="15" s="1"/>
  <c r="AL86" i="15"/>
  <c r="B169" i="15" s="1"/>
  <c r="BC66" i="15"/>
  <c r="S149" i="15" s="1"/>
  <c r="AV67" i="15"/>
  <c r="L150" i="15" s="1"/>
  <c r="BC72" i="15"/>
  <c r="S155" i="15" s="1"/>
  <c r="AR64" i="15"/>
  <c r="H147" i="15" s="1"/>
  <c r="AN74" i="15"/>
  <c r="AR87" i="15"/>
  <c r="AL63" i="15"/>
  <c r="B146" i="15" s="1"/>
  <c r="BC74" i="15"/>
  <c r="AV74" i="15"/>
  <c r="AZ87" i="15"/>
  <c r="AR82" i="15"/>
  <c r="AZ82" i="15"/>
  <c r="BC94" i="15"/>
  <c r="S177" i="15" s="1"/>
  <c r="BM63" i="15"/>
  <c r="AC146" i="15" s="1"/>
  <c r="BE63" i="15"/>
  <c r="U146" i="15" s="1"/>
  <c r="BL63" i="15"/>
  <c r="AB146" i="15" s="1"/>
  <c r="BD63" i="15"/>
  <c r="BK63" i="15"/>
  <c r="AA146" i="15" s="1"/>
  <c r="BR63" i="15"/>
  <c r="AH146" i="15" s="1"/>
  <c r="BJ63" i="15"/>
  <c r="Z146" i="15" s="1"/>
  <c r="BQ63" i="15"/>
  <c r="AG146" i="15" s="1"/>
  <c r="BI63" i="15"/>
  <c r="Y146" i="15" s="1"/>
  <c r="BP63" i="15"/>
  <c r="AF146" i="15" s="1"/>
  <c r="BH63" i="15"/>
  <c r="X146" i="15" s="1"/>
  <c r="BN63" i="15"/>
  <c r="AD146" i="15" s="1"/>
  <c r="BF63" i="15"/>
  <c r="V146" i="15" s="1"/>
  <c r="BO63" i="15"/>
  <c r="AE146" i="15" s="1"/>
  <c r="BG63" i="15"/>
  <c r="W146" i="15" s="1"/>
  <c r="AZ72" i="15"/>
  <c r="AR72" i="15"/>
  <c r="AY72" i="15"/>
  <c r="AQ72" i="15"/>
  <c r="AX72" i="15"/>
  <c r="AP72" i="15"/>
  <c r="AW72" i="15"/>
  <c r="AO72" i="15"/>
  <c r="AV72" i="15"/>
  <c r="AN72" i="15"/>
  <c r="BA72" i="15"/>
  <c r="AU72" i="15"/>
  <c r="AM72" i="15"/>
  <c r="AS72" i="15"/>
  <c r="AT72" i="15"/>
  <c r="AX94" i="15"/>
  <c r="AP94" i="15"/>
  <c r="AW94" i="15"/>
  <c r="AO94" i="15"/>
  <c r="AY94" i="15"/>
  <c r="AQ94" i="15"/>
  <c r="AV94" i="15"/>
  <c r="AN94" i="15"/>
  <c r="AU94" i="15"/>
  <c r="AM94" i="15"/>
  <c r="AT94" i="15"/>
  <c r="BA94" i="15"/>
  <c r="AS94" i="15"/>
  <c r="AZ94" i="15"/>
  <c r="AR94" i="15"/>
  <c r="AU61" i="15"/>
  <c r="K144" i="15" s="1"/>
  <c r="AV61" i="15"/>
  <c r="L144" i="15" s="1"/>
  <c r="AL58" i="15"/>
  <c r="B141" i="15" s="1"/>
  <c r="BC64" i="15"/>
  <c r="AM69" i="15"/>
  <c r="C152" i="15" s="1"/>
  <c r="AW61" i="15"/>
  <c r="M144" i="15" s="1"/>
  <c r="BA61" i="15"/>
  <c r="Q144" i="15" s="1"/>
  <c r="AL49" i="15"/>
  <c r="B132" i="15" s="1"/>
  <c r="AL78" i="15"/>
  <c r="B161" i="15" s="1"/>
  <c r="BC82" i="15"/>
  <c r="AM61" i="15"/>
  <c r="C144" i="15" s="1"/>
  <c r="AN61" i="15"/>
  <c r="D144" i="15" s="1"/>
  <c r="BC67" i="15"/>
  <c r="BC87" i="15"/>
  <c r="AO61" i="15"/>
  <c r="E144" i="15" s="1"/>
  <c r="BA76" i="15"/>
  <c r="Q159" i="15" s="1"/>
  <c r="AS76" i="15"/>
  <c r="I159" i="15" s="1"/>
  <c r="AZ76" i="15"/>
  <c r="P159" i="15" s="1"/>
  <c r="AR76" i="15"/>
  <c r="H159" i="15" s="1"/>
  <c r="AY76" i="15"/>
  <c r="O159" i="15" s="1"/>
  <c r="AQ76" i="15"/>
  <c r="G159" i="15" s="1"/>
  <c r="AX76" i="15"/>
  <c r="N159" i="15" s="1"/>
  <c r="AP76" i="15"/>
  <c r="F159" i="15" s="1"/>
  <c r="AW76" i="15"/>
  <c r="M159" i="15" s="1"/>
  <c r="AO76" i="15"/>
  <c r="E159" i="15" s="1"/>
  <c r="AV76" i="15"/>
  <c r="L159" i="15" s="1"/>
  <c r="AN76" i="15"/>
  <c r="D159" i="15" s="1"/>
  <c r="AU76" i="15"/>
  <c r="K159" i="15" s="1"/>
  <c r="AM76" i="15"/>
  <c r="C159" i="15" s="1"/>
  <c r="AT80" i="15"/>
  <c r="J163" i="15" s="1"/>
  <c r="BA80" i="15"/>
  <c r="Q163" i="15" s="1"/>
  <c r="AS80" i="15"/>
  <c r="I163" i="15" s="1"/>
  <c r="AZ80" i="15"/>
  <c r="P163" i="15" s="1"/>
  <c r="AR80" i="15"/>
  <c r="H163" i="15" s="1"/>
  <c r="AY80" i="15"/>
  <c r="O163" i="15" s="1"/>
  <c r="AQ80" i="15"/>
  <c r="G163" i="15" s="1"/>
  <c r="AX80" i="15"/>
  <c r="N163" i="15" s="1"/>
  <c r="AP80" i="15"/>
  <c r="F163" i="15" s="1"/>
  <c r="AW80" i="15"/>
  <c r="M163" i="15" s="1"/>
  <c r="AO80" i="15"/>
  <c r="E163" i="15" s="1"/>
  <c r="AV80" i="15"/>
  <c r="L163" i="15" s="1"/>
  <c r="AN80" i="15"/>
  <c r="D163" i="15" s="1"/>
  <c r="AV92" i="15"/>
  <c r="AN92" i="15"/>
  <c r="AU92" i="15"/>
  <c r="AM92" i="15"/>
  <c r="AT92" i="15"/>
  <c r="BA92" i="15"/>
  <c r="AS92" i="15"/>
  <c r="AZ92" i="15"/>
  <c r="AR92" i="15"/>
  <c r="AY92" i="15"/>
  <c r="AQ92" i="15"/>
  <c r="AX92" i="15"/>
  <c r="AP92" i="15"/>
  <c r="AT76" i="15"/>
  <c r="J159" i="15" s="1"/>
  <c r="AP61" i="15"/>
  <c r="F144" i="15" s="1"/>
  <c r="AX61" i="15"/>
  <c r="N144" i="15" s="1"/>
  <c r="AQ61" i="15"/>
  <c r="G144" i="15" s="1"/>
  <c r="AY61" i="15"/>
  <c r="O144" i="15" s="1"/>
  <c r="AM80" i="15"/>
  <c r="C163" i="15" s="1"/>
  <c r="AR61" i="15"/>
  <c r="H144" i="15" s="1"/>
  <c r="AZ61" i="15"/>
  <c r="P144" i="15" s="1"/>
  <c r="AU80" i="15"/>
  <c r="K163" i="15" s="1"/>
  <c r="AO92" i="15"/>
  <c r="AW92" i="15"/>
  <c r="AL53" i="15"/>
  <c r="B136" i="15" s="1"/>
  <c r="BC53" i="15"/>
  <c r="S136" i="15" s="1"/>
  <c r="AL62" i="15"/>
  <c r="B145" i="15" s="1"/>
  <c r="BC62" i="15"/>
  <c r="S145" i="15" s="1"/>
  <c r="AL77" i="15"/>
  <c r="B160" i="15" s="1"/>
  <c r="BC77" i="15"/>
  <c r="S160" i="15" s="1"/>
  <c r="AL85" i="15"/>
  <c r="B168" i="15" s="1"/>
  <c r="BC85" i="15"/>
  <c r="S168" i="15" s="1"/>
  <c r="AL93" i="15"/>
  <c r="B176" i="15" s="1"/>
  <c r="BC93" i="15"/>
  <c r="S176" i="15" s="1"/>
  <c r="BQ69" i="15"/>
  <c r="AG152" i="15" s="1"/>
  <c r="BI69" i="15"/>
  <c r="Y152" i="15" s="1"/>
  <c r="BM78" i="15"/>
  <c r="AC161" i="15" s="1"/>
  <c r="BE78" i="15"/>
  <c r="U161" i="15" s="1"/>
  <c r="BL78" i="15"/>
  <c r="AB161" i="15" s="1"/>
  <c r="BD78" i="15"/>
  <c r="BK78" i="15"/>
  <c r="AA161" i="15" s="1"/>
  <c r="BR78" i="15"/>
  <c r="AH161" i="15" s="1"/>
  <c r="BJ78" i="15"/>
  <c r="Z161" i="15" s="1"/>
  <c r="BQ78" i="15"/>
  <c r="AG161" i="15" s="1"/>
  <c r="BI78" i="15"/>
  <c r="Y161" i="15" s="1"/>
  <c r="BP78" i="15"/>
  <c r="AF161" i="15" s="1"/>
  <c r="BH78" i="15"/>
  <c r="X161" i="15" s="1"/>
  <c r="BO78" i="15"/>
  <c r="AE161" i="15" s="1"/>
  <c r="BG78" i="15"/>
  <c r="W161" i="15" s="1"/>
  <c r="BO89" i="15"/>
  <c r="AE172" i="15" s="1"/>
  <c r="BG89" i="15"/>
  <c r="W172" i="15" s="1"/>
  <c r="BN89" i="15"/>
  <c r="AD172" i="15" s="1"/>
  <c r="BF89" i="15"/>
  <c r="V172" i="15" s="1"/>
  <c r="BM89" i="15"/>
  <c r="AC172" i="15" s="1"/>
  <c r="BE89" i="15"/>
  <c r="U172" i="15" s="1"/>
  <c r="BL89" i="15"/>
  <c r="AB172" i="15" s="1"/>
  <c r="BD89" i="15"/>
  <c r="BK89" i="15"/>
  <c r="AA172" i="15" s="1"/>
  <c r="BR89" i="15"/>
  <c r="AH172" i="15" s="1"/>
  <c r="BJ89" i="15"/>
  <c r="Z172" i="15" s="1"/>
  <c r="BQ89" i="15"/>
  <c r="AG172" i="15" s="1"/>
  <c r="BI89" i="15"/>
  <c r="Y172" i="15" s="1"/>
  <c r="BC54" i="15"/>
  <c r="S137" i="15" s="1"/>
  <c r="BC57" i="15"/>
  <c r="S140" i="15" s="1"/>
  <c r="BC68" i="15"/>
  <c r="S151" i="15" s="1"/>
  <c r="BC75" i="15"/>
  <c r="S158" i="15" s="1"/>
  <c r="BC83" i="15"/>
  <c r="S166" i="15" s="1"/>
  <c r="BC88" i="15"/>
  <c r="S171" i="15" s="1"/>
  <c r="BC51" i="15"/>
  <c r="S134" i="15" s="1"/>
  <c r="BC56" i="15"/>
  <c r="S139" i="15" s="1"/>
  <c r="BC59" i="15"/>
  <c r="S142" i="15" s="1"/>
  <c r="BC70" i="15"/>
  <c r="S153" i="15" s="1"/>
  <c r="BC90" i="15"/>
  <c r="S173" i="15" s="1"/>
  <c r="BC52" i="15"/>
  <c r="S135" i="15" s="1"/>
  <c r="BC60" i="15"/>
  <c r="S143" i="15" s="1"/>
  <c r="BC65" i="15"/>
  <c r="S148" i="15" s="1"/>
  <c r="BC71" i="15"/>
  <c r="S154" i="15" s="1"/>
  <c r="BC79" i="15"/>
  <c r="S162" i="15" s="1"/>
  <c r="BC84" i="15"/>
  <c r="S167" i="15" s="1"/>
  <c r="BC91" i="15"/>
  <c r="S174" i="15" s="1"/>
  <c r="BC61" i="15"/>
  <c r="S144" i="15" s="1"/>
  <c r="BC76" i="15"/>
  <c r="S159" i="15" s="1"/>
  <c r="BC80" i="15"/>
  <c r="S163" i="15" s="1"/>
  <c r="BC92" i="15"/>
  <c r="S175" i="15" s="1"/>
  <c r="BF49" i="15"/>
  <c r="V132" i="15" s="1"/>
  <c r="BN49" i="15"/>
  <c r="AD132" i="15" s="1"/>
  <c r="BG49" i="15"/>
  <c r="W132" i="15" s="1"/>
  <c r="BO49" i="15"/>
  <c r="AE132" i="15" s="1"/>
  <c r="BI49" i="15"/>
  <c r="Y132" i="15" s="1"/>
  <c r="BQ49" i="15"/>
  <c r="AG132" i="15" s="1"/>
  <c r="BD49" i="15"/>
  <c r="AS64" i="15"/>
  <c r="I147" i="15" s="1"/>
  <c r="BA64" i="15"/>
  <c r="Q147" i="15" s="1"/>
  <c r="AO67" i="15"/>
  <c r="AW67" i="15"/>
  <c r="M150" i="15" s="1"/>
  <c r="AO74" i="15"/>
  <c r="AW74" i="15"/>
  <c r="AS82" i="15"/>
  <c r="BA82" i="15"/>
  <c r="AS87" i="15"/>
  <c r="BA87" i="15"/>
  <c r="AT64" i="15"/>
  <c r="AP67" i="15"/>
  <c r="F150" i="15" s="1"/>
  <c r="AX67" i="15"/>
  <c r="N150" i="15" s="1"/>
  <c r="AP74" i="15"/>
  <c r="AX74" i="15"/>
  <c r="AT82" i="15"/>
  <c r="AT87" i="15"/>
  <c r="AM82" i="15"/>
  <c r="AU82" i="15"/>
  <c r="AM87" i="15"/>
  <c r="AU87" i="15"/>
  <c r="AM64" i="15"/>
  <c r="C147" i="15" s="1"/>
  <c r="AU64" i="15"/>
  <c r="K147" i="15" s="1"/>
  <c r="AQ67" i="15"/>
  <c r="G150" i="15" s="1"/>
  <c r="AY67" i="15"/>
  <c r="O150" i="15" s="1"/>
  <c r="AQ74" i="15"/>
  <c r="AY74" i="15"/>
  <c r="AN64" i="15"/>
  <c r="D147" i="15" s="1"/>
  <c r="AV64" i="15"/>
  <c r="L147" i="15" s="1"/>
  <c r="AR67" i="15"/>
  <c r="AZ67" i="15"/>
  <c r="P150" i="15" s="1"/>
  <c r="AR74" i="15"/>
  <c r="AZ74" i="15"/>
  <c r="AN82" i="15"/>
  <c r="AV82" i="15"/>
  <c r="AN87" i="15"/>
  <c r="AV87" i="15"/>
  <c r="AO64" i="15"/>
  <c r="AW64" i="15"/>
  <c r="M147" i="15" s="1"/>
  <c r="AS67" i="15"/>
  <c r="I150" i="15" s="1"/>
  <c r="BA67" i="15"/>
  <c r="Q150" i="15" s="1"/>
  <c r="AS74" i="15"/>
  <c r="BA74" i="15"/>
  <c r="AO82" i="15"/>
  <c r="AW82" i="15"/>
  <c r="AO87" i="15"/>
  <c r="AW87" i="15"/>
  <c r="AP64" i="15"/>
  <c r="AX64" i="15"/>
  <c r="N147" i="15" s="1"/>
  <c r="AT67" i="15"/>
  <c r="J150" i="15" s="1"/>
  <c r="AT74" i="15"/>
  <c r="AP82" i="15"/>
  <c r="AX82" i="15"/>
  <c r="AP87" i="15"/>
  <c r="AX87" i="15"/>
  <c r="AQ64" i="15"/>
  <c r="G147" i="15" s="1"/>
  <c r="AM67" i="15"/>
  <c r="C150" i="15" s="1"/>
  <c r="AM74" i="15"/>
  <c r="AQ82" i="15"/>
  <c r="AQ87" i="15"/>
  <c r="K140" i="15"/>
  <c r="I139" i="15"/>
  <c r="P139" i="15"/>
  <c r="M142" i="15"/>
  <c r="F134" i="15"/>
  <c r="H135" i="15"/>
  <c r="K143" i="15"/>
  <c r="O135" i="15"/>
  <c r="O153" i="15"/>
  <c r="J137" i="15"/>
  <c r="P153" i="15"/>
  <c r="L140" i="15"/>
  <c r="M140" i="15"/>
  <c r="N140" i="15"/>
  <c r="J144" i="15"/>
  <c r="J151" i="15"/>
  <c r="K151" i="15"/>
  <c r="N153" i="15"/>
  <c r="P137" i="15"/>
  <c r="J134" i="15"/>
  <c r="O147" i="15"/>
  <c r="K150" i="15"/>
  <c r="D188" i="15"/>
  <c r="T172" i="15" l="1"/>
  <c r="T169" i="15"/>
  <c r="T138" i="15"/>
  <c r="T133" i="15"/>
  <c r="T164" i="15"/>
  <c r="T146" i="15"/>
  <c r="T152" i="15"/>
  <c r="T141" i="15"/>
  <c r="T161" i="15"/>
  <c r="T132" i="15"/>
  <c r="BA69" i="15"/>
  <c r="Q152" i="15" s="1"/>
  <c r="B152" i="15"/>
  <c r="BG87" i="15"/>
  <c r="W170" i="15" s="1"/>
  <c r="S170" i="15"/>
  <c r="BQ74" i="15"/>
  <c r="AH74" i="15" s="1"/>
  <c r="AO89" i="15"/>
  <c r="W89" i="15" s="1"/>
  <c r="B172" i="15"/>
  <c r="BH67" i="15"/>
  <c r="X150" i="15" s="1"/>
  <c r="S150" i="15"/>
  <c r="BE82" i="15"/>
  <c r="U165" i="15" s="1"/>
  <c r="S165" i="15"/>
  <c r="AS55" i="15"/>
  <c r="I138" i="15" s="1"/>
  <c r="B138" i="15"/>
  <c r="BG64" i="15"/>
  <c r="W147" i="15" s="1"/>
  <c r="S147" i="15"/>
  <c r="BN64" i="15"/>
  <c r="AD147" i="15" s="1"/>
  <c r="AS69" i="15"/>
  <c r="I152" i="15" s="1"/>
  <c r="AN69" i="15"/>
  <c r="D152" i="15" s="1"/>
  <c r="BH74" i="15"/>
  <c r="BP74" i="15"/>
  <c r="AG74" i="15" s="1"/>
  <c r="BO74" i="15"/>
  <c r="BA89" i="15"/>
  <c r="AI89" i="15" s="1"/>
  <c r="AP89" i="15"/>
  <c r="X89" i="15" s="1"/>
  <c r="BQ64" i="15"/>
  <c r="AG147" i="15" s="1"/>
  <c r="BQ82" i="15"/>
  <c r="AG165" i="15" s="1"/>
  <c r="BE87" i="15"/>
  <c r="U170" i="15" s="1"/>
  <c r="AX89" i="15"/>
  <c r="AF89" i="15" s="1"/>
  <c r="AS89" i="15"/>
  <c r="AA89" i="15" s="1"/>
  <c r="BH82" i="15"/>
  <c r="X165" i="15" s="1"/>
  <c r="BK82" i="15"/>
  <c r="AA165" i="15" s="1"/>
  <c r="BQ87" i="15"/>
  <c r="AG170" i="15" s="1"/>
  <c r="BM82" i="15"/>
  <c r="AC165" i="15" s="1"/>
  <c r="AW69" i="15"/>
  <c r="M152" i="15" s="1"/>
  <c r="AT69" i="15"/>
  <c r="AT89" i="15"/>
  <c r="AO69" i="15"/>
  <c r="BI82" i="15"/>
  <c r="Y165" i="15" s="1"/>
  <c r="BL82" i="15"/>
  <c r="AB165" i="15" s="1"/>
  <c r="AM89" i="15"/>
  <c r="U89" i="15" s="1"/>
  <c r="AX69" i="15"/>
  <c r="N152" i="15" s="1"/>
  <c r="AQ69" i="15"/>
  <c r="AP69" i="15"/>
  <c r="F152" i="15" s="1"/>
  <c r="AZ89" i="15"/>
  <c r="AH89" i="15" s="1"/>
  <c r="AY89" i="15"/>
  <c r="AG89" i="15" s="1"/>
  <c r="AW89" i="15"/>
  <c r="BD82" i="15"/>
  <c r="BR82" i="15"/>
  <c r="AH165" i="15" s="1"/>
  <c r="BO82" i="15"/>
  <c r="AE165" i="15" s="1"/>
  <c r="BN82" i="15"/>
  <c r="AD165" i="15" s="1"/>
  <c r="AR89" i="15"/>
  <c r="Z89" i="15" s="1"/>
  <c r="AQ89" i="15"/>
  <c r="Y89" i="15" s="1"/>
  <c r="BJ82" i="15"/>
  <c r="Z165" i="15" s="1"/>
  <c r="BP82" i="15"/>
  <c r="AF165" i="15" s="1"/>
  <c r="BG82" i="15"/>
  <c r="W165" i="15" s="1"/>
  <c r="BF82" i="15"/>
  <c r="V165" i="15" s="1"/>
  <c r="AV69" i="15"/>
  <c r="AU69" i="15"/>
  <c r="AU55" i="15"/>
  <c r="AC55" i="15" s="1"/>
  <c r="BD64" i="15"/>
  <c r="BK64" i="15"/>
  <c r="AA147" i="15" s="1"/>
  <c r="BP87" i="15"/>
  <c r="AF170" i="15" s="1"/>
  <c r="BP64" i="15"/>
  <c r="AF147" i="15" s="1"/>
  <c r="BF87" i="15"/>
  <c r="V170" i="15" s="1"/>
  <c r="BL87" i="15"/>
  <c r="AB170" i="15" s="1"/>
  <c r="BI87" i="15"/>
  <c r="Y170" i="15" s="1"/>
  <c r="BI64" i="15"/>
  <c r="Y147" i="15" s="1"/>
  <c r="BM87" i="15"/>
  <c r="AC170" i="15" s="1"/>
  <c r="BK87" i="15"/>
  <c r="AA170" i="15" s="1"/>
  <c r="BR87" i="15"/>
  <c r="AH170" i="15" s="1"/>
  <c r="BR64" i="15"/>
  <c r="AI64" i="15" s="1"/>
  <c r="BH87" i="15"/>
  <c r="X170" i="15" s="1"/>
  <c r="BH64" i="15"/>
  <c r="X147" i="15" s="1"/>
  <c r="BN87" i="15"/>
  <c r="AE87" i="15" s="1"/>
  <c r="BF64" i="15"/>
  <c r="V147" i="15" s="1"/>
  <c r="J147" i="15"/>
  <c r="BD87" i="15"/>
  <c r="BJ87" i="15"/>
  <c r="Z170" i="15" s="1"/>
  <c r="BJ64" i="15"/>
  <c r="Z147" i="15" s="1"/>
  <c r="BO64" i="15"/>
  <c r="BO87" i="15"/>
  <c r="AE170" i="15" s="1"/>
  <c r="AZ55" i="15"/>
  <c r="AH55" i="15" s="1"/>
  <c r="AM55" i="15"/>
  <c r="AT55" i="15"/>
  <c r="J138" i="15" s="1"/>
  <c r="AR55" i="15"/>
  <c r="AX55" i="15"/>
  <c r="N138" i="15" s="1"/>
  <c r="F147" i="15"/>
  <c r="AY55" i="15"/>
  <c r="AG55" i="15" s="1"/>
  <c r="AP55" i="15"/>
  <c r="F138" i="15" s="1"/>
  <c r="AQ55" i="15"/>
  <c r="G138" i="15" s="1"/>
  <c r="AN55" i="15"/>
  <c r="D138" i="15" s="1"/>
  <c r="BA55" i="15"/>
  <c r="Q138" i="15" s="1"/>
  <c r="U138" i="15"/>
  <c r="E147" i="15"/>
  <c r="AV55" i="15"/>
  <c r="AW55" i="15"/>
  <c r="AO55" i="15"/>
  <c r="AV50" i="15"/>
  <c r="AN50" i="15"/>
  <c r="BU50" i="15" s="1"/>
  <c r="AU50" i="15"/>
  <c r="AM50" i="15"/>
  <c r="BA50" i="15"/>
  <c r="AR50" i="15"/>
  <c r="AT50" i="15"/>
  <c r="AS50" i="15"/>
  <c r="AZ50" i="15"/>
  <c r="AQ50" i="15"/>
  <c r="AX50" i="15"/>
  <c r="AP50" i="15"/>
  <c r="AW50" i="15"/>
  <c r="AO50" i="15"/>
  <c r="AY50" i="15"/>
  <c r="U69" i="15"/>
  <c r="AU89" i="15"/>
  <c r="AC89" i="15" s="1"/>
  <c r="AN89" i="15"/>
  <c r="V89" i="15" s="1"/>
  <c r="AV89" i="15"/>
  <c r="AD89" i="15" s="1"/>
  <c r="AY69" i="15"/>
  <c r="AZ69" i="15"/>
  <c r="P152" i="15" s="1"/>
  <c r="AR69" i="15"/>
  <c r="BP66" i="15"/>
  <c r="BH66" i="15"/>
  <c r="BO66" i="15"/>
  <c r="BG66" i="15"/>
  <c r="BN66" i="15"/>
  <c r="BF66" i="15"/>
  <c r="BM66" i="15"/>
  <c r="BE66" i="15"/>
  <c r="BL66" i="15"/>
  <c r="BD66" i="15"/>
  <c r="BI66" i="15"/>
  <c r="BK66" i="15"/>
  <c r="BQ66" i="15"/>
  <c r="BR66" i="15"/>
  <c r="BJ66" i="15"/>
  <c r="AW63" i="15"/>
  <c r="AO63" i="15"/>
  <c r="AV63" i="15"/>
  <c r="L146" i="15" s="1"/>
  <c r="AN63" i="15"/>
  <c r="AU63" i="15"/>
  <c r="AM63" i="15"/>
  <c r="BU63" i="15" s="1"/>
  <c r="AT63" i="15"/>
  <c r="BA63" i="15"/>
  <c r="AS63" i="15"/>
  <c r="AX63" i="15"/>
  <c r="AZ63" i="15"/>
  <c r="AR63" i="15"/>
  <c r="H146" i="15" s="1"/>
  <c r="AY63" i="15"/>
  <c r="AQ63" i="15"/>
  <c r="AP63" i="15"/>
  <c r="BL72" i="15"/>
  <c r="BD72" i="15"/>
  <c r="BK72" i="15"/>
  <c r="BR72" i="15"/>
  <c r="AI72" i="15" s="1"/>
  <c r="BJ72" i="15"/>
  <c r="BQ72" i="15"/>
  <c r="AH72" i="15" s="1"/>
  <c r="BI72" i="15"/>
  <c r="BP72" i="15"/>
  <c r="AG72" i="15" s="1"/>
  <c r="BH72" i="15"/>
  <c r="Y72" i="15" s="1"/>
  <c r="BE72" i="15"/>
  <c r="V72" i="15" s="1"/>
  <c r="BO72" i="15"/>
  <c r="AF72" i="15" s="1"/>
  <c r="BG72" i="15"/>
  <c r="X72" i="15" s="1"/>
  <c r="BM72" i="15"/>
  <c r="BN72" i="15"/>
  <c r="AE72" i="15" s="1"/>
  <c r="BF72" i="15"/>
  <c r="W72" i="15" s="1"/>
  <c r="AW86" i="15"/>
  <c r="AO86" i="15"/>
  <c r="AV86" i="15"/>
  <c r="AN86" i="15"/>
  <c r="AU86" i="15"/>
  <c r="AM86" i="15"/>
  <c r="BU86" i="15" s="1"/>
  <c r="AT86" i="15"/>
  <c r="BA86" i="15"/>
  <c r="AS86" i="15"/>
  <c r="AX86" i="15"/>
  <c r="AP86" i="15"/>
  <c r="AZ86" i="15"/>
  <c r="AR86" i="15"/>
  <c r="AY86" i="15"/>
  <c r="AQ86" i="15"/>
  <c r="BG74" i="15"/>
  <c r="BL74" i="15"/>
  <c r="BK74" i="15"/>
  <c r="AU81" i="15"/>
  <c r="AC81" i="15" s="1"/>
  <c r="AM81" i="15"/>
  <c r="U81" i="15" s="1"/>
  <c r="AT81" i="15"/>
  <c r="AB81" i="15" s="1"/>
  <c r="BA81" i="15"/>
  <c r="AI81" i="15" s="1"/>
  <c r="AS81" i="15"/>
  <c r="AA81" i="15" s="1"/>
  <c r="AZ81" i="15"/>
  <c r="AH81" i="15" s="1"/>
  <c r="AR81" i="15"/>
  <c r="Z81" i="15" s="1"/>
  <c r="AV81" i="15"/>
  <c r="AD81" i="15" s="1"/>
  <c r="AN81" i="15"/>
  <c r="V81" i="15" s="1"/>
  <c r="AY81" i="15"/>
  <c r="AG81" i="15" s="1"/>
  <c r="AQ81" i="15"/>
  <c r="Y81" i="15" s="1"/>
  <c r="AX81" i="15"/>
  <c r="AF81" i="15" s="1"/>
  <c r="AP81" i="15"/>
  <c r="X81" i="15" s="1"/>
  <c r="AW81" i="15"/>
  <c r="AE81" i="15" s="1"/>
  <c r="AO81" i="15"/>
  <c r="W81" i="15" s="1"/>
  <c r="BD74" i="15"/>
  <c r="BR74" i="15"/>
  <c r="BN74" i="15"/>
  <c r="BM74" i="15"/>
  <c r="BJ74" i="15"/>
  <c r="BP94" i="15"/>
  <c r="BH94" i="15"/>
  <c r="BO94" i="15"/>
  <c r="BG94" i="15"/>
  <c r="BN94" i="15"/>
  <c r="BF94" i="15"/>
  <c r="V177" i="15" s="1"/>
  <c r="BM94" i="15"/>
  <c r="BE94" i="15"/>
  <c r="U177" i="15" s="1"/>
  <c r="BL94" i="15"/>
  <c r="BD94" i="15"/>
  <c r="BQ94" i="15"/>
  <c r="BK94" i="15"/>
  <c r="BR94" i="15"/>
  <c r="AH177" i="15" s="1"/>
  <c r="BJ94" i="15"/>
  <c r="BI94" i="15"/>
  <c r="BF74" i="15"/>
  <c r="BE74" i="15"/>
  <c r="BI74" i="15"/>
  <c r="AT58" i="15"/>
  <c r="BA58" i="15"/>
  <c r="AS58" i="15"/>
  <c r="AU58" i="15"/>
  <c r="AZ58" i="15"/>
  <c r="AR58" i="15"/>
  <c r="AY58" i="15"/>
  <c r="AQ58" i="15"/>
  <c r="AX58" i="15"/>
  <c r="AP58" i="15"/>
  <c r="AW58" i="15"/>
  <c r="AO58" i="15"/>
  <c r="AM58" i="15"/>
  <c r="BU58" i="15" s="1"/>
  <c r="AV58" i="15"/>
  <c r="AN58" i="15"/>
  <c r="BP67" i="15"/>
  <c r="BQ67" i="15"/>
  <c r="BI67" i="15"/>
  <c r="Y150" i="15" s="1"/>
  <c r="BN67" i="15"/>
  <c r="BR67" i="15"/>
  <c r="AH150" i="15" s="1"/>
  <c r="BF67" i="15"/>
  <c r="V150" i="15" s="1"/>
  <c r="BJ67" i="15"/>
  <c r="Z150" i="15" s="1"/>
  <c r="E150" i="15"/>
  <c r="BO67" i="15"/>
  <c r="AE150" i="15" s="1"/>
  <c r="BM67" i="15"/>
  <c r="AW78" i="15"/>
  <c r="AE78" i="15" s="1"/>
  <c r="AO78" i="15"/>
  <c r="W78" i="15" s="1"/>
  <c r="AV78" i="15"/>
  <c r="AD78" i="15" s="1"/>
  <c r="AN78" i="15"/>
  <c r="V78" i="15" s="1"/>
  <c r="AU78" i="15"/>
  <c r="AC78" i="15" s="1"/>
  <c r="AM78" i="15"/>
  <c r="U78" i="15" s="1"/>
  <c r="AT78" i="15"/>
  <c r="AB78" i="15" s="1"/>
  <c r="BA78" i="15"/>
  <c r="AI78" i="15" s="1"/>
  <c r="AS78" i="15"/>
  <c r="AA78" i="15" s="1"/>
  <c r="AX78" i="15"/>
  <c r="AF78" i="15" s="1"/>
  <c r="AP78" i="15"/>
  <c r="X78" i="15" s="1"/>
  <c r="AZ78" i="15"/>
  <c r="AH78" i="15" s="1"/>
  <c r="AR78" i="15"/>
  <c r="Z78" i="15" s="1"/>
  <c r="AY78" i="15"/>
  <c r="AG78" i="15" s="1"/>
  <c r="AQ78" i="15"/>
  <c r="Y78" i="15" s="1"/>
  <c r="BG67" i="15"/>
  <c r="BE67" i="15"/>
  <c r="BL67" i="15"/>
  <c r="BD67" i="15"/>
  <c r="AV49" i="15"/>
  <c r="AN49" i="15"/>
  <c r="AU49" i="15"/>
  <c r="AM49" i="15"/>
  <c r="BU49" i="15" s="1"/>
  <c r="AT49" i="15"/>
  <c r="AO49" i="15"/>
  <c r="AW49" i="15"/>
  <c r="BA49" i="15"/>
  <c r="AS49" i="15"/>
  <c r="AZ49" i="15"/>
  <c r="AR49" i="15"/>
  <c r="AY49" i="15"/>
  <c r="AQ49" i="15"/>
  <c r="AX49" i="15"/>
  <c r="N132" i="15" s="1"/>
  <c r="AP49" i="15"/>
  <c r="BL64" i="15"/>
  <c r="BM64" i="15"/>
  <c r="AC147" i="15" s="1"/>
  <c r="BE64" i="15"/>
  <c r="BK67" i="15"/>
  <c r="AA150" i="15" s="1"/>
  <c r="BN88" i="15"/>
  <c r="BF88" i="15"/>
  <c r="BM88" i="15"/>
  <c r="BE88" i="15"/>
  <c r="BL88" i="15"/>
  <c r="BD88" i="15"/>
  <c r="BK88" i="15"/>
  <c r="BR88" i="15"/>
  <c r="BJ88" i="15"/>
  <c r="BQ88" i="15"/>
  <c r="BI88" i="15"/>
  <c r="BP88" i="15"/>
  <c r="BH88" i="15"/>
  <c r="BO88" i="15"/>
  <c r="BG88" i="15"/>
  <c r="BK54" i="15"/>
  <c r="BR54" i="15"/>
  <c r="BJ54" i="15"/>
  <c r="BQ54" i="15"/>
  <c r="BI54" i="15"/>
  <c r="BP54" i="15"/>
  <c r="BH54" i="15"/>
  <c r="BO54" i="15"/>
  <c r="BG54" i="15"/>
  <c r="BN54" i="15"/>
  <c r="BF54" i="15"/>
  <c r="BM54" i="15"/>
  <c r="BE54" i="15"/>
  <c r="BD54" i="15"/>
  <c r="BL54" i="15"/>
  <c r="AT77" i="15"/>
  <c r="BA77" i="15"/>
  <c r="AS77" i="15"/>
  <c r="AZ77" i="15"/>
  <c r="AR77" i="15"/>
  <c r="AY77" i="15"/>
  <c r="AQ77" i="15"/>
  <c r="AX77" i="15"/>
  <c r="AP77" i="15"/>
  <c r="AW77" i="15"/>
  <c r="AO77" i="15"/>
  <c r="AV77" i="15"/>
  <c r="AN77" i="15"/>
  <c r="AU77" i="15"/>
  <c r="AM77" i="15"/>
  <c r="AU62" i="15"/>
  <c r="AM62" i="15"/>
  <c r="AT62" i="15"/>
  <c r="BA62" i="15"/>
  <c r="AS62" i="15"/>
  <c r="AV62" i="15"/>
  <c r="AZ62" i="15"/>
  <c r="AR62" i="15"/>
  <c r="AN62" i="15"/>
  <c r="AY62" i="15"/>
  <c r="AQ62" i="15"/>
  <c r="AX62" i="15"/>
  <c r="AP62" i="15"/>
  <c r="AW62" i="15"/>
  <c r="AO62" i="15"/>
  <c r="BP80" i="15"/>
  <c r="BH80" i="15"/>
  <c r="BO80" i="15"/>
  <c r="BG80" i="15"/>
  <c r="BN80" i="15"/>
  <c r="BF80" i="15"/>
  <c r="BM80" i="15"/>
  <c r="BE80" i="15"/>
  <c r="BL80" i="15"/>
  <c r="BD80" i="15"/>
  <c r="BU80" i="15" s="1"/>
  <c r="BK80" i="15"/>
  <c r="BR80" i="15"/>
  <c r="BJ80" i="15"/>
  <c r="BI80" i="15"/>
  <c r="BQ80" i="15"/>
  <c r="BK60" i="15"/>
  <c r="BR60" i="15"/>
  <c r="BJ60" i="15"/>
  <c r="BQ60" i="15"/>
  <c r="BI60" i="15"/>
  <c r="BP60" i="15"/>
  <c r="BH60" i="15"/>
  <c r="BO60" i="15"/>
  <c r="BG60" i="15"/>
  <c r="BN60" i="15"/>
  <c r="BF60" i="15"/>
  <c r="BM60" i="15"/>
  <c r="BE60" i="15"/>
  <c r="BL60" i="15"/>
  <c r="BD60" i="15"/>
  <c r="BR70" i="15"/>
  <c r="BJ70" i="15"/>
  <c r="BQ70" i="15"/>
  <c r="BH70" i="15"/>
  <c r="BP70" i="15"/>
  <c r="BG70" i="15"/>
  <c r="BO70" i="15"/>
  <c r="BF70" i="15"/>
  <c r="BN70" i="15"/>
  <c r="BE70" i="15"/>
  <c r="BM70" i="15"/>
  <c r="BD70" i="15"/>
  <c r="BU70" i="15" s="1"/>
  <c r="BL70" i="15"/>
  <c r="BK70" i="15"/>
  <c r="BI70" i="15"/>
  <c r="BQ83" i="15"/>
  <c r="BI83" i="15"/>
  <c r="BP83" i="15"/>
  <c r="BH83" i="15"/>
  <c r="BO83" i="15"/>
  <c r="BG83" i="15"/>
  <c r="BN83" i="15"/>
  <c r="BF83" i="15"/>
  <c r="BM83" i="15"/>
  <c r="BE83" i="15"/>
  <c r="BL83" i="15"/>
  <c r="BD83" i="15"/>
  <c r="BK83" i="15"/>
  <c r="BR83" i="15"/>
  <c r="BJ83" i="15"/>
  <c r="BK93" i="15"/>
  <c r="AA176" i="15" s="1"/>
  <c r="BR93" i="15"/>
  <c r="AH176" i="15" s="1"/>
  <c r="BJ93" i="15"/>
  <c r="Z176" i="15" s="1"/>
  <c r="BQ93" i="15"/>
  <c r="AG176" i="15" s="1"/>
  <c r="BI93" i="15"/>
  <c r="Y176" i="15" s="1"/>
  <c r="BP93" i="15"/>
  <c r="AF176" i="15" s="1"/>
  <c r="BH93" i="15"/>
  <c r="X176" i="15" s="1"/>
  <c r="BO93" i="15"/>
  <c r="AE176" i="15" s="1"/>
  <c r="BG93" i="15"/>
  <c r="W176" i="15" s="1"/>
  <c r="BN93" i="15"/>
  <c r="AD176" i="15" s="1"/>
  <c r="BF93" i="15"/>
  <c r="V176" i="15" s="1"/>
  <c r="BM93" i="15"/>
  <c r="AC176" i="15" s="1"/>
  <c r="BE93" i="15"/>
  <c r="U176" i="15" s="1"/>
  <c r="BL93" i="15"/>
  <c r="AB176" i="15" s="1"/>
  <c r="BD93" i="15"/>
  <c r="BO76" i="15"/>
  <c r="BG76" i="15"/>
  <c r="BN76" i="15"/>
  <c r="BF76" i="15"/>
  <c r="BM76" i="15"/>
  <c r="BE76" i="15"/>
  <c r="BL76" i="15"/>
  <c r="BD76" i="15"/>
  <c r="BK76" i="15"/>
  <c r="BR76" i="15"/>
  <c r="BJ76" i="15"/>
  <c r="BQ76" i="15"/>
  <c r="BI76" i="15"/>
  <c r="BP76" i="15"/>
  <c r="BH76" i="15"/>
  <c r="BQ91" i="15"/>
  <c r="BI91" i="15"/>
  <c r="BP91" i="15"/>
  <c r="BH91" i="15"/>
  <c r="BO91" i="15"/>
  <c r="BG91" i="15"/>
  <c r="BN91" i="15"/>
  <c r="BF91" i="15"/>
  <c r="BM91" i="15"/>
  <c r="BE91" i="15"/>
  <c r="BL91" i="15"/>
  <c r="BD91" i="15"/>
  <c r="BK91" i="15"/>
  <c r="BR91" i="15"/>
  <c r="BJ91" i="15"/>
  <c r="AW93" i="15"/>
  <c r="AO93" i="15"/>
  <c r="AV93" i="15"/>
  <c r="AN93" i="15"/>
  <c r="AU93" i="15"/>
  <c r="AM93" i="15"/>
  <c r="AT93" i="15"/>
  <c r="BA93" i="15"/>
  <c r="AS93" i="15"/>
  <c r="AZ93" i="15"/>
  <c r="AR93" i="15"/>
  <c r="AY93" i="15"/>
  <c r="AQ93" i="15"/>
  <c r="AX93" i="15"/>
  <c r="AP93" i="15"/>
  <c r="BL84" i="15"/>
  <c r="BD84" i="15"/>
  <c r="BK84" i="15"/>
  <c r="BR84" i="15"/>
  <c r="BJ84" i="15"/>
  <c r="BQ84" i="15"/>
  <c r="BI84" i="15"/>
  <c r="BP84" i="15"/>
  <c r="BH84" i="15"/>
  <c r="BO84" i="15"/>
  <c r="BG84" i="15"/>
  <c r="BN84" i="15"/>
  <c r="BF84" i="15"/>
  <c r="BM84" i="15"/>
  <c r="BE84" i="15"/>
  <c r="BQ52" i="15"/>
  <c r="BI52" i="15"/>
  <c r="BP52" i="15"/>
  <c r="BH52" i="15"/>
  <c r="BO52" i="15"/>
  <c r="BG52" i="15"/>
  <c r="BN52" i="15"/>
  <c r="BF52" i="15"/>
  <c r="BM52" i="15"/>
  <c r="BE52" i="15"/>
  <c r="BL52" i="15"/>
  <c r="BD52" i="15"/>
  <c r="BK52" i="15"/>
  <c r="BR52" i="15"/>
  <c r="BJ52" i="15"/>
  <c r="BK75" i="15"/>
  <c r="BR75" i="15"/>
  <c r="BJ75" i="15"/>
  <c r="BQ75" i="15"/>
  <c r="BI75" i="15"/>
  <c r="BP75" i="15"/>
  <c r="BH75" i="15"/>
  <c r="BO75" i="15"/>
  <c r="BG75" i="15"/>
  <c r="BN75" i="15"/>
  <c r="BF75" i="15"/>
  <c r="BM75" i="15"/>
  <c r="BE75" i="15"/>
  <c r="BL75" i="15"/>
  <c r="BD75" i="15"/>
  <c r="BN85" i="15"/>
  <c r="AD168" i="15" s="1"/>
  <c r="BF85" i="15"/>
  <c r="V168" i="15" s="1"/>
  <c r="BM85" i="15"/>
  <c r="AC168" i="15" s="1"/>
  <c r="BE85" i="15"/>
  <c r="U168" i="15" s="1"/>
  <c r="BL85" i="15"/>
  <c r="AB168" i="15" s="1"/>
  <c r="BD85" i="15"/>
  <c r="BK85" i="15"/>
  <c r="AA168" i="15" s="1"/>
  <c r="BR85" i="15"/>
  <c r="AH168" i="15" s="1"/>
  <c r="BJ85" i="15"/>
  <c r="Z168" i="15" s="1"/>
  <c r="BQ85" i="15"/>
  <c r="AG168" i="15" s="1"/>
  <c r="BI85" i="15"/>
  <c r="Y168" i="15" s="1"/>
  <c r="BP85" i="15"/>
  <c r="AF168" i="15" s="1"/>
  <c r="BH85" i="15"/>
  <c r="X168" i="15" s="1"/>
  <c r="BO85" i="15"/>
  <c r="AE168" i="15" s="1"/>
  <c r="BG85" i="15"/>
  <c r="W168" i="15" s="1"/>
  <c r="BK53" i="15"/>
  <c r="AA136" i="15" s="1"/>
  <c r="BR53" i="15"/>
  <c r="AH136" i="15" s="1"/>
  <c r="BJ53" i="15"/>
  <c r="Z136" i="15" s="1"/>
  <c r="BQ53" i="15"/>
  <c r="AG136" i="15" s="1"/>
  <c r="BI53" i="15"/>
  <c r="Y136" i="15" s="1"/>
  <c r="BP53" i="15"/>
  <c r="AF136" i="15" s="1"/>
  <c r="BH53" i="15"/>
  <c r="X136" i="15" s="1"/>
  <c r="BO53" i="15"/>
  <c r="AE136" i="15" s="1"/>
  <c r="BG53" i="15"/>
  <c r="W136" i="15" s="1"/>
  <c r="BN53" i="15"/>
  <c r="AD136" i="15" s="1"/>
  <c r="BF53" i="15"/>
  <c r="V136" i="15" s="1"/>
  <c r="BM53" i="15"/>
  <c r="AC136" i="15" s="1"/>
  <c r="BE53" i="15"/>
  <c r="U136" i="15" s="1"/>
  <c r="BL53" i="15"/>
  <c r="AB136" i="15" s="1"/>
  <c r="BD53" i="15"/>
  <c r="BO79" i="15"/>
  <c r="BG79" i="15"/>
  <c r="BN79" i="15"/>
  <c r="BF79" i="15"/>
  <c r="BM79" i="15"/>
  <c r="BE79" i="15"/>
  <c r="BL79" i="15"/>
  <c r="BD79" i="15"/>
  <c r="BK79" i="15"/>
  <c r="BR79" i="15"/>
  <c r="BJ79" i="15"/>
  <c r="BQ79" i="15"/>
  <c r="BI79" i="15"/>
  <c r="BP79" i="15"/>
  <c r="BH79" i="15"/>
  <c r="BR59" i="15"/>
  <c r="BJ59" i="15"/>
  <c r="BQ59" i="15"/>
  <c r="BI59" i="15"/>
  <c r="BP59" i="15"/>
  <c r="BH59" i="15"/>
  <c r="BO59" i="15"/>
  <c r="BG59" i="15"/>
  <c r="BN59" i="15"/>
  <c r="BF59" i="15"/>
  <c r="BM59" i="15"/>
  <c r="BE59" i="15"/>
  <c r="BL59" i="15"/>
  <c r="BD59" i="15"/>
  <c r="BK59" i="15"/>
  <c r="BP68" i="15"/>
  <c r="BK68" i="15"/>
  <c r="BJ68" i="15"/>
  <c r="BR68" i="15"/>
  <c r="BI68" i="15"/>
  <c r="BQ68" i="15"/>
  <c r="BH68" i="15"/>
  <c r="BO68" i="15"/>
  <c r="BG68" i="15"/>
  <c r="BN68" i="15"/>
  <c r="BF68" i="15"/>
  <c r="BM68" i="15"/>
  <c r="BE68" i="15"/>
  <c r="BL68" i="15"/>
  <c r="BD68" i="15"/>
  <c r="AZ85" i="15"/>
  <c r="AR85" i="15"/>
  <c r="AY85" i="15"/>
  <c r="AQ85" i="15"/>
  <c r="AX85" i="15"/>
  <c r="AP85" i="15"/>
  <c r="AW85" i="15"/>
  <c r="AO85" i="15"/>
  <c r="AV85" i="15"/>
  <c r="AN85" i="15"/>
  <c r="AU85" i="15"/>
  <c r="AM85" i="15"/>
  <c r="AT85" i="15"/>
  <c r="AS85" i="15"/>
  <c r="BA85" i="15"/>
  <c r="AU53" i="15"/>
  <c r="AM53" i="15"/>
  <c r="AT53" i="15"/>
  <c r="BA53" i="15"/>
  <c r="AS53" i="15"/>
  <c r="AZ53" i="15"/>
  <c r="AR53" i="15"/>
  <c r="AY53" i="15"/>
  <c r="AQ53" i="15"/>
  <c r="AX53" i="15"/>
  <c r="AP53" i="15"/>
  <c r="AW53" i="15"/>
  <c r="AO53" i="15"/>
  <c r="AV53" i="15"/>
  <c r="AN53" i="15"/>
  <c r="BP90" i="15"/>
  <c r="BH90" i="15"/>
  <c r="BO90" i="15"/>
  <c r="BG90" i="15"/>
  <c r="BN90" i="15"/>
  <c r="BF90" i="15"/>
  <c r="BM90" i="15"/>
  <c r="BE90" i="15"/>
  <c r="BL90" i="15"/>
  <c r="BD90" i="15"/>
  <c r="BK90" i="15"/>
  <c r="BR90" i="15"/>
  <c r="BJ90" i="15"/>
  <c r="BQ90" i="15"/>
  <c r="BI90" i="15"/>
  <c r="BM56" i="15"/>
  <c r="BE56" i="15"/>
  <c r="BL56" i="15"/>
  <c r="BD56" i="15"/>
  <c r="BK56" i="15"/>
  <c r="BR56" i="15"/>
  <c r="BJ56" i="15"/>
  <c r="BQ56" i="15"/>
  <c r="BI56" i="15"/>
  <c r="BP56" i="15"/>
  <c r="BH56" i="15"/>
  <c r="BO56" i="15"/>
  <c r="BG56" i="15"/>
  <c r="BN56" i="15"/>
  <c r="BF56" i="15"/>
  <c r="BL61" i="15"/>
  <c r="BD61" i="15"/>
  <c r="BK61" i="15"/>
  <c r="BR61" i="15"/>
  <c r="BJ61" i="15"/>
  <c r="BQ61" i="15"/>
  <c r="BI61" i="15"/>
  <c r="BP61" i="15"/>
  <c r="BH61" i="15"/>
  <c r="BO61" i="15"/>
  <c r="BG61" i="15"/>
  <c r="BN61" i="15"/>
  <c r="BF61" i="15"/>
  <c r="BM61" i="15"/>
  <c r="BE61" i="15"/>
  <c r="BK71" i="15"/>
  <c r="BL71" i="15"/>
  <c r="BJ71" i="15"/>
  <c r="BR71" i="15"/>
  <c r="BI71" i="15"/>
  <c r="BQ71" i="15"/>
  <c r="BH71" i="15"/>
  <c r="BP71" i="15"/>
  <c r="BG71" i="15"/>
  <c r="BO71" i="15"/>
  <c r="BF71" i="15"/>
  <c r="BN71" i="15"/>
  <c r="BE71" i="15"/>
  <c r="BM71" i="15"/>
  <c r="BD71" i="15"/>
  <c r="BU71" i="15" s="1"/>
  <c r="BP51" i="15"/>
  <c r="BH51" i="15"/>
  <c r="BO51" i="15"/>
  <c r="BG51" i="15"/>
  <c r="BN51" i="15"/>
  <c r="BF51" i="15"/>
  <c r="BM51" i="15"/>
  <c r="BE51" i="15"/>
  <c r="BL51" i="15"/>
  <c r="BD51" i="15"/>
  <c r="BK51" i="15"/>
  <c r="BR51" i="15"/>
  <c r="BJ51" i="15"/>
  <c r="BI51" i="15"/>
  <c r="BQ51" i="15"/>
  <c r="BR92" i="15"/>
  <c r="BJ92" i="15"/>
  <c r="BQ92" i="15"/>
  <c r="BI92" i="15"/>
  <c r="BP92" i="15"/>
  <c r="BH92" i="15"/>
  <c r="BO92" i="15"/>
  <c r="BG92" i="15"/>
  <c r="BN92" i="15"/>
  <c r="BF92" i="15"/>
  <c r="BM92" i="15"/>
  <c r="BE92" i="15"/>
  <c r="BL92" i="15"/>
  <c r="BD92" i="15"/>
  <c r="BK92" i="15"/>
  <c r="BR65" i="15"/>
  <c r="BJ65" i="15"/>
  <c r="BQ65" i="15"/>
  <c r="BI65" i="15"/>
  <c r="BP65" i="15"/>
  <c r="BH65" i="15"/>
  <c r="BO65" i="15"/>
  <c r="BG65" i="15"/>
  <c r="BN65" i="15"/>
  <c r="BF65" i="15"/>
  <c r="BM65" i="15"/>
  <c r="BE65" i="15"/>
  <c r="BL65" i="15"/>
  <c r="BD65" i="15"/>
  <c r="BK65" i="15"/>
  <c r="BP57" i="15"/>
  <c r="BH57" i="15"/>
  <c r="BO57" i="15"/>
  <c r="BG57" i="15"/>
  <c r="BN57" i="15"/>
  <c r="BF57" i="15"/>
  <c r="BM57" i="15"/>
  <c r="BE57" i="15"/>
  <c r="BL57" i="15"/>
  <c r="BD57" i="15"/>
  <c r="BK57" i="15"/>
  <c r="BR57" i="15"/>
  <c r="BJ57" i="15"/>
  <c r="BI57" i="15"/>
  <c r="BQ57" i="15"/>
  <c r="BP77" i="15"/>
  <c r="AF160" i="15" s="1"/>
  <c r="BH77" i="15"/>
  <c r="X160" i="15" s="1"/>
  <c r="BO77" i="15"/>
  <c r="AE160" i="15" s="1"/>
  <c r="BG77" i="15"/>
  <c r="W160" i="15" s="1"/>
  <c r="BN77" i="15"/>
  <c r="AD160" i="15" s="1"/>
  <c r="BF77" i="15"/>
  <c r="V160" i="15" s="1"/>
  <c r="BM77" i="15"/>
  <c r="AC160" i="15" s="1"/>
  <c r="BE77" i="15"/>
  <c r="U160" i="15" s="1"/>
  <c r="BL77" i="15"/>
  <c r="AB160" i="15" s="1"/>
  <c r="BD77" i="15"/>
  <c r="BK77" i="15"/>
  <c r="AA160" i="15" s="1"/>
  <c r="BR77" i="15"/>
  <c r="AH160" i="15" s="1"/>
  <c r="BJ77" i="15"/>
  <c r="Z160" i="15" s="1"/>
  <c r="BI77" i="15"/>
  <c r="Y160" i="15" s="1"/>
  <c r="BQ77" i="15"/>
  <c r="AG160" i="15" s="1"/>
  <c r="BM62" i="15"/>
  <c r="AC145" i="15" s="1"/>
  <c r="BE62" i="15"/>
  <c r="U145" i="15" s="1"/>
  <c r="BL62" i="15"/>
  <c r="AB145" i="15" s="1"/>
  <c r="BD62" i="15"/>
  <c r="BK62" i="15"/>
  <c r="AA145" i="15" s="1"/>
  <c r="BR62" i="15"/>
  <c r="AH145" i="15" s="1"/>
  <c r="BJ62" i="15"/>
  <c r="Z145" i="15" s="1"/>
  <c r="BQ62" i="15"/>
  <c r="AG145" i="15" s="1"/>
  <c r="BI62" i="15"/>
  <c r="Y145" i="15" s="1"/>
  <c r="BP62" i="15"/>
  <c r="AF145" i="15" s="1"/>
  <c r="BH62" i="15"/>
  <c r="X145" i="15" s="1"/>
  <c r="BO62" i="15"/>
  <c r="AE145" i="15" s="1"/>
  <c r="BG62" i="15"/>
  <c r="W145" i="15" s="1"/>
  <c r="BN62" i="15"/>
  <c r="AD145" i="15" s="1"/>
  <c r="BF62" i="15"/>
  <c r="V145" i="15" s="1"/>
  <c r="Y74" i="15"/>
  <c r="X87" i="15"/>
  <c r="H150" i="15"/>
  <c r="BU88" i="15" l="1"/>
  <c r="T147" i="15"/>
  <c r="BU64" i="15"/>
  <c r="T145" i="15"/>
  <c r="BU62" i="15"/>
  <c r="BU57" i="15"/>
  <c r="BU56" i="15"/>
  <c r="BU83" i="15"/>
  <c r="BU54" i="15"/>
  <c r="BU67" i="15"/>
  <c r="BU68" i="15"/>
  <c r="BU66" i="15"/>
  <c r="BU92" i="15"/>
  <c r="BU65" i="15"/>
  <c r="BU61" i="15"/>
  <c r="BU91" i="15"/>
  <c r="BU60" i="15"/>
  <c r="U72" i="15"/>
  <c r="BU72" i="15"/>
  <c r="T160" i="15"/>
  <c r="BU77" i="15"/>
  <c r="BU59" i="15"/>
  <c r="BU69" i="15"/>
  <c r="BU75" i="15"/>
  <c r="BU74" i="15"/>
  <c r="AA55" i="15"/>
  <c r="BU51" i="15"/>
  <c r="BU95" i="15" s="1"/>
  <c r="T165" i="15"/>
  <c r="BU82" i="15"/>
  <c r="BU78" i="15"/>
  <c r="BU81" i="15"/>
  <c r="BU89" i="15"/>
  <c r="BU84" i="15"/>
  <c r="BU90" i="15"/>
  <c r="BU55" i="15"/>
  <c r="BU79" i="15"/>
  <c r="T136" i="15"/>
  <c r="BU53" i="15"/>
  <c r="T168" i="15"/>
  <c r="BU85" i="15"/>
  <c r="BU52" i="15"/>
  <c r="BU76" i="15"/>
  <c r="T176" i="15"/>
  <c r="BU93" i="15"/>
  <c r="BU94" i="15"/>
  <c r="T170" i="15"/>
  <c r="BU87" i="15"/>
  <c r="V82" i="15"/>
  <c r="AA69" i="15"/>
  <c r="Y67" i="15"/>
  <c r="AE64" i="15"/>
  <c r="W82" i="15"/>
  <c r="AI82" i="15"/>
  <c r="X64" i="15"/>
  <c r="V69" i="15"/>
  <c r="AI69" i="15"/>
  <c r="AH64" i="15"/>
  <c r="AB82" i="15"/>
  <c r="AF74" i="15"/>
  <c r="AD82" i="15"/>
  <c r="AI74" i="15"/>
  <c r="AH82" i="15"/>
  <c r="V87" i="15"/>
  <c r="Y64" i="15"/>
  <c r="AD63" i="15"/>
  <c r="Y82" i="15"/>
  <c r="AD87" i="15"/>
  <c r="AB89" i="15"/>
  <c r="AH87" i="15"/>
  <c r="AD170" i="15"/>
  <c r="X69" i="15"/>
  <c r="AA74" i="15"/>
  <c r="AI87" i="15"/>
  <c r="AI85" i="15"/>
  <c r="AF69" i="15"/>
  <c r="AE93" i="15"/>
  <c r="AI93" i="15"/>
  <c r="AC87" i="15"/>
  <c r="P138" i="15"/>
  <c r="AG82" i="15"/>
  <c r="AE89" i="15"/>
  <c r="Y55" i="15"/>
  <c r="Z82" i="15"/>
  <c r="AF85" i="15"/>
  <c r="X82" i="15"/>
  <c r="U82" i="15"/>
  <c r="Y87" i="15"/>
  <c r="X85" i="15"/>
  <c r="Y85" i="15"/>
  <c r="W93" i="15"/>
  <c r="Z85" i="15"/>
  <c r="AA82" i="15"/>
  <c r="AI67" i="15"/>
  <c r="AA64" i="15"/>
  <c r="U64" i="15"/>
  <c r="Z64" i="15"/>
  <c r="AA87" i="15"/>
  <c r="AH93" i="15"/>
  <c r="L152" i="15"/>
  <c r="AD69" i="15"/>
  <c r="AB69" i="15"/>
  <c r="J152" i="15"/>
  <c r="AE69" i="15"/>
  <c r="AC69" i="15"/>
  <c r="K152" i="15"/>
  <c r="AG64" i="15"/>
  <c r="AF82" i="15"/>
  <c r="G152" i="15"/>
  <c r="Y69" i="15"/>
  <c r="AE74" i="15"/>
  <c r="X93" i="15"/>
  <c r="AB93" i="15"/>
  <c r="X55" i="15"/>
  <c r="Z72" i="15"/>
  <c r="W69" i="15"/>
  <c r="E152" i="15"/>
  <c r="AF87" i="15"/>
  <c r="AE82" i="15"/>
  <c r="AG87" i="15"/>
  <c r="AC82" i="15"/>
  <c r="V55" i="15"/>
  <c r="V93" i="15"/>
  <c r="AB55" i="15"/>
  <c r="W74" i="15"/>
  <c r="K138" i="15"/>
  <c r="AB87" i="15"/>
  <c r="Z87" i="15"/>
  <c r="W64" i="15"/>
  <c r="U87" i="15"/>
  <c r="AD93" i="15"/>
  <c r="AE147" i="15"/>
  <c r="AF64" i="15"/>
  <c r="W87" i="15"/>
  <c r="AH147" i="15"/>
  <c r="U93" i="15"/>
  <c r="AB74" i="15"/>
  <c r="AB64" i="15"/>
  <c r="AF55" i="15"/>
  <c r="AA85" i="15"/>
  <c r="O138" i="15"/>
  <c r="H138" i="15"/>
  <c r="Z55" i="15"/>
  <c r="AI55" i="15"/>
  <c r="AC93" i="15"/>
  <c r="C138" i="15"/>
  <c r="U55" i="15"/>
  <c r="AA93" i="15"/>
  <c r="AH69" i="15"/>
  <c r="AB85" i="15"/>
  <c r="AF93" i="15"/>
  <c r="Z63" i="15"/>
  <c r="AA50" i="15"/>
  <c r="I133" i="15"/>
  <c r="V94" i="15"/>
  <c r="O133" i="15"/>
  <c r="AG50" i="15"/>
  <c r="J133" i="15"/>
  <c r="AB50" i="15"/>
  <c r="M138" i="15"/>
  <c r="AE55" i="15"/>
  <c r="AG69" i="15"/>
  <c r="O152" i="15"/>
  <c r="E138" i="15"/>
  <c r="W55" i="15"/>
  <c r="AJ81" i="15"/>
  <c r="E133" i="15"/>
  <c r="W50" i="15"/>
  <c r="Z50" i="15"/>
  <c r="H133" i="15"/>
  <c r="L138" i="15"/>
  <c r="AD55" i="15"/>
  <c r="AE50" i="15"/>
  <c r="M133" i="15"/>
  <c r="AI50" i="15"/>
  <c r="Q133" i="15"/>
  <c r="AE85" i="15"/>
  <c r="F133" i="15"/>
  <c r="X50" i="15"/>
  <c r="C133" i="15"/>
  <c r="U50" i="15"/>
  <c r="N133" i="15"/>
  <c r="AF50" i="15"/>
  <c r="AC50" i="15"/>
  <c r="K133" i="15"/>
  <c r="H152" i="15"/>
  <c r="Z69" i="15"/>
  <c r="G133" i="15"/>
  <c r="Y50" i="15"/>
  <c r="D133" i="15"/>
  <c r="V50" i="15"/>
  <c r="AH50" i="15"/>
  <c r="P133" i="15"/>
  <c r="AD50" i="15"/>
  <c r="L133" i="15"/>
  <c r="AD74" i="15"/>
  <c r="AI63" i="15"/>
  <c r="Q146" i="15"/>
  <c r="AA67" i="15"/>
  <c r="AD177" i="15"/>
  <c r="AE94" i="15"/>
  <c r="AI94" i="15"/>
  <c r="AH86" i="15"/>
  <c r="V86" i="15"/>
  <c r="AB72" i="15"/>
  <c r="N146" i="15"/>
  <c r="AF63" i="15"/>
  <c r="E146" i="15"/>
  <c r="W63" i="15"/>
  <c r="AB149" i="15"/>
  <c r="AC66" i="15"/>
  <c r="AF149" i="15"/>
  <c r="AG66" i="15"/>
  <c r="AA177" i="15"/>
  <c r="AB94" i="15"/>
  <c r="W177" i="15"/>
  <c r="X94" i="15"/>
  <c r="X86" i="15"/>
  <c r="AD86" i="15"/>
  <c r="AA63" i="15"/>
  <c r="I146" i="15"/>
  <c r="AE63" i="15"/>
  <c r="M146" i="15"/>
  <c r="U149" i="15"/>
  <c r="V66" i="15"/>
  <c r="Z149" i="15"/>
  <c r="AA66" i="15"/>
  <c r="U85" i="15"/>
  <c r="Y93" i="15"/>
  <c r="T177" i="15"/>
  <c r="U94" i="15"/>
  <c r="X177" i="15"/>
  <c r="Y94" i="15"/>
  <c r="AA86" i="15"/>
  <c r="AE86" i="15"/>
  <c r="F146" i="15"/>
  <c r="X63" i="15"/>
  <c r="J146" i="15"/>
  <c r="AB63" i="15"/>
  <c r="AH149" i="15"/>
  <c r="AI66" i="15"/>
  <c r="W66" i="15"/>
  <c r="V149" i="15"/>
  <c r="U74" i="15"/>
  <c r="AC72" i="15"/>
  <c r="AC149" i="15"/>
  <c r="AD66" i="15"/>
  <c r="Z74" i="15"/>
  <c r="AJ78" i="15"/>
  <c r="V74" i="15"/>
  <c r="AB177" i="15"/>
  <c r="AC94" i="15"/>
  <c r="AF177" i="15"/>
  <c r="AG94" i="15"/>
  <c r="X74" i="15"/>
  <c r="AI86" i="15"/>
  <c r="G146" i="15"/>
  <c r="Y63" i="15"/>
  <c r="C146" i="15"/>
  <c r="U63" i="15"/>
  <c r="AG149" i="15"/>
  <c r="AH66" i="15"/>
  <c r="AD149" i="15"/>
  <c r="AE66" i="15"/>
  <c r="AE177" i="15"/>
  <c r="AF94" i="15"/>
  <c r="W86" i="15"/>
  <c r="Y86" i="15"/>
  <c r="AB86" i="15"/>
  <c r="AG63" i="15"/>
  <c r="O146" i="15"/>
  <c r="K146" i="15"/>
  <c r="AC63" i="15"/>
  <c r="AA149" i="15"/>
  <c r="AB66" i="15"/>
  <c r="W149" i="15"/>
  <c r="X66" i="15"/>
  <c r="AD85" i="15"/>
  <c r="Y177" i="15"/>
  <c r="Z94" i="15"/>
  <c r="AC177" i="15"/>
  <c r="AD94" i="15"/>
  <c r="AG86" i="15"/>
  <c r="U86" i="15"/>
  <c r="AD72" i="15"/>
  <c r="AA72" i="15"/>
  <c r="D146" i="15"/>
  <c r="V63" i="15"/>
  <c r="Z66" i="15"/>
  <c r="Y149" i="15"/>
  <c r="AE149" i="15"/>
  <c r="AF66" i="15"/>
  <c r="AG177" i="15"/>
  <c r="AH94" i="15"/>
  <c r="AF86" i="15"/>
  <c r="Z67" i="15"/>
  <c r="Z177" i="15"/>
  <c r="AA94" i="15"/>
  <c r="W94" i="15"/>
  <c r="AC74" i="15"/>
  <c r="Z86" i="15"/>
  <c r="AC86" i="15"/>
  <c r="AH63" i="15"/>
  <c r="P146" i="15"/>
  <c r="T149" i="15"/>
  <c r="U66" i="15"/>
  <c r="X149" i="15"/>
  <c r="Y66" i="15"/>
  <c r="AC85" i="15"/>
  <c r="AG93" i="15"/>
  <c r="Y49" i="15"/>
  <c r="G132" i="15"/>
  <c r="AB49" i="15"/>
  <c r="J132" i="15"/>
  <c r="U150" i="15"/>
  <c r="V67" i="15"/>
  <c r="W58" i="15"/>
  <c r="E141" i="15"/>
  <c r="AC58" i="15"/>
  <c r="K141" i="15"/>
  <c r="AH58" i="15"/>
  <c r="P141" i="15"/>
  <c r="O132" i="15"/>
  <c r="AG49" i="15"/>
  <c r="C132" i="15"/>
  <c r="U49" i="15"/>
  <c r="W150" i="15"/>
  <c r="X67" i="15"/>
  <c r="M141" i="15"/>
  <c r="AE58" i="15"/>
  <c r="I141" i="15"/>
  <c r="AA58" i="15"/>
  <c r="E132" i="15"/>
  <c r="W49" i="15"/>
  <c r="AF150" i="15"/>
  <c r="AG67" i="15"/>
  <c r="H132" i="15"/>
  <c r="Z49" i="15"/>
  <c r="K132" i="15"/>
  <c r="AC49" i="15"/>
  <c r="F141" i="15"/>
  <c r="X58" i="15"/>
  <c r="AI58" i="15"/>
  <c r="Q141" i="15"/>
  <c r="AB150" i="15"/>
  <c r="AC67" i="15"/>
  <c r="C141" i="15"/>
  <c r="U58" i="15"/>
  <c r="AF49" i="15"/>
  <c r="W85" i="15"/>
  <c r="U147" i="15"/>
  <c r="V64" i="15"/>
  <c r="AH49" i="15"/>
  <c r="P132" i="15"/>
  <c r="V49" i="15"/>
  <c r="D132" i="15"/>
  <c r="AC150" i="15"/>
  <c r="AD67" i="15"/>
  <c r="AF67" i="15"/>
  <c r="N141" i="15"/>
  <c r="AF58" i="15"/>
  <c r="AB58" i="15"/>
  <c r="J141" i="15"/>
  <c r="I132" i="15"/>
  <c r="AA49" i="15"/>
  <c r="L132" i="15"/>
  <c r="AD49" i="15"/>
  <c r="AD64" i="15"/>
  <c r="G141" i="15"/>
  <c r="Y58" i="15"/>
  <c r="AB67" i="15"/>
  <c r="AB147" i="15"/>
  <c r="AC64" i="15"/>
  <c r="AI49" i="15"/>
  <c r="Q132" i="15"/>
  <c r="T150" i="15"/>
  <c r="U67" i="15"/>
  <c r="AD150" i="15"/>
  <c r="AE67" i="15"/>
  <c r="V58" i="15"/>
  <c r="D141" i="15"/>
  <c r="AG58" i="15"/>
  <c r="O141" i="15"/>
  <c r="W67" i="15"/>
  <c r="F132" i="15"/>
  <c r="X49" i="15"/>
  <c r="AE49" i="15"/>
  <c r="M132" i="15"/>
  <c r="AG150" i="15"/>
  <c r="AH67" i="15"/>
  <c r="L141" i="15"/>
  <c r="AD58" i="15"/>
  <c r="H141" i="15"/>
  <c r="Z58" i="15"/>
  <c r="W140" i="15"/>
  <c r="X57" i="15"/>
  <c r="U144" i="15"/>
  <c r="V61" i="15"/>
  <c r="AB173" i="15"/>
  <c r="AC90" i="15"/>
  <c r="AH53" i="15"/>
  <c r="P136" i="15"/>
  <c r="AC135" i="15"/>
  <c r="AD52" i="15"/>
  <c r="AB166" i="15"/>
  <c r="AC83" i="15"/>
  <c r="U153" i="15"/>
  <c r="V70" i="15"/>
  <c r="AA143" i="15"/>
  <c r="AB60" i="15"/>
  <c r="AC163" i="15"/>
  <c r="AD80" i="15"/>
  <c r="P145" i="15"/>
  <c r="AH62" i="15"/>
  <c r="U137" i="15"/>
  <c r="V54" i="15"/>
  <c r="U171" i="15"/>
  <c r="V88" i="15"/>
  <c r="AA140" i="15"/>
  <c r="AB57" i="15"/>
  <c r="T175" i="15"/>
  <c r="U92" i="15"/>
  <c r="X175" i="15"/>
  <c r="Y92" i="15"/>
  <c r="AB134" i="15"/>
  <c r="AC51" i="15"/>
  <c r="AF134" i="15"/>
  <c r="AG51" i="15"/>
  <c r="T154" i="15"/>
  <c r="U71" i="15"/>
  <c r="X154" i="15"/>
  <c r="Y71" i="15"/>
  <c r="AC144" i="15"/>
  <c r="AD61" i="15"/>
  <c r="AG144" i="15"/>
  <c r="AH61" i="15"/>
  <c r="Y139" i="15"/>
  <c r="Z56" i="15"/>
  <c r="AC139" i="15"/>
  <c r="AD56" i="15"/>
  <c r="U173" i="15"/>
  <c r="V90" i="15"/>
  <c r="E136" i="15"/>
  <c r="W53" i="15"/>
  <c r="I136" i="15"/>
  <c r="AA53" i="15"/>
  <c r="AG85" i="15"/>
  <c r="AD151" i="15"/>
  <c r="AE68" i="15"/>
  <c r="AA151" i="15"/>
  <c r="AB68" i="15"/>
  <c r="AD142" i="15"/>
  <c r="AE59" i="15"/>
  <c r="AH142" i="15"/>
  <c r="AI59" i="15"/>
  <c r="X162" i="15"/>
  <c r="Y79" i="15"/>
  <c r="AB162" i="15"/>
  <c r="AC79" i="15"/>
  <c r="AD158" i="15"/>
  <c r="AE75" i="15"/>
  <c r="AH158" i="15"/>
  <c r="AI75" i="15"/>
  <c r="V135" i="15"/>
  <c r="W52" i="15"/>
  <c r="U167" i="15"/>
  <c r="V84" i="15"/>
  <c r="Y167" i="15"/>
  <c r="Z84" i="15"/>
  <c r="Z93" i="15"/>
  <c r="Z174" i="15"/>
  <c r="AA91" i="15"/>
  <c r="AD174" i="15"/>
  <c r="AE91" i="15"/>
  <c r="AF159" i="15"/>
  <c r="AG76" i="15"/>
  <c r="U159" i="15"/>
  <c r="V76" i="15"/>
  <c r="U166" i="15"/>
  <c r="V83" i="15"/>
  <c r="Y166" i="15"/>
  <c r="Z83" i="15"/>
  <c r="AD153" i="15"/>
  <c r="AE70" i="15"/>
  <c r="AH153" i="15"/>
  <c r="AI70" i="15"/>
  <c r="AF60" i="15"/>
  <c r="AE143" i="15"/>
  <c r="Y163" i="15"/>
  <c r="Z80" i="15"/>
  <c r="V163" i="15"/>
  <c r="W80" i="15"/>
  <c r="M145" i="15"/>
  <c r="AE62" i="15"/>
  <c r="L145" i="15"/>
  <c r="AD62" i="15"/>
  <c r="D160" i="15"/>
  <c r="V77" i="15"/>
  <c r="H160" i="15"/>
  <c r="Z77" i="15"/>
  <c r="AC137" i="15"/>
  <c r="AD54" i="15"/>
  <c r="AG137" i="15"/>
  <c r="AH54" i="15"/>
  <c r="Y171" i="15"/>
  <c r="Z88" i="15"/>
  <c r="AC171" i="15"/>
  <c r="AD88" i="15"/>
  <c r="AH148" i="15"/>
  <c r="AI65" i="15"/>
  <c r="X134" i="15"/>
  <c r="Y51" i="15"/>
  <c r="U139" i="15"/>
  <c r="V56" i="15"/>
  <c r="AD53" i="15"/>
  <c r="L136" i="15"/>
  <c r="Z151" i="15"/>
  <c r="AA68" i="15"/>
  <c r="AB159" i="15"/>
  <c r="AC76" i="15"/>
  <c r="Z153" i="15"/>
  <c r="AA70" i="15"/>
  <c r="W143" i="15"/>
  <c r="X60" i="15"/>
  <c r="AG163" i="15"/>
  <c r="AH80" i="15"/>
  <c r="O160" i="15"/>
  <c r="AG77" i="15"/>
  <c r="AF171" i="15"/>
  <c r="AG88" i="15"/>
  <c r="W148" i="15"/>
  <c r="X65" i="15"/>
  <c r="T140" i="15"/>
  <c r="U57" i="15"/>
  <c r="X140" i="15"/>
  <c r="Y57" i="15"/>
  <c r="AB175" i="15"/>
  <c r="AC92" i="15"/>
  <c r="AF175" i="15"/>
  <c r="AG92" i="15"/>
  <c r="U134" i="15"/>
  <c r="V51" i="15"/>
  <c r="AC154" i="15"/>
  <c r="AD71" i="15"/>
  <c r="AG154" i="15"/>
  <c r="AH71" i="15"/>
  <c r="V144" i="15"/>
  <c r="W61" i="15"/>
  <c r="Z144" i="15"/>
  <c r="AA61" i="15"/>
  <c r="AG139" i="15"/>
  <c r="AH56" i="15"/>
  <c r="Z90" i="15"/>
  <c r="Y173" i="15"/>
  <c r="AC173" i="15"/>
  <c r="AD90" i="15"/>
  <c r="M136" i="15"/>
  <c r="AE53" i="15"/>
  <c r="Q136" i="15"/>
  <c r="AI53" i="15"/>
  <c r="V85" i="15"/>
  <c r="W151" i="15"/>
  <c r="X68" i="15"/>
  <c r="AF151" i="15"/>
  <c r="AG68" i="15"/>
  <c r="W142" i="15"/>
  <c r="X59" i="15"/>
  <c r="AF162" i="15"/>
  <c r="AG79" i="15"/>
  <c r="U162" i="15"/>
  <c r="V79" i="15"/>
  <c r="W158" i="15"/>
  <c r="X75" i="15"/>
  <c r="AA158" i="15"/>
  <c r="AB75" i="15"/>
  <c r="Z135" i="15"/>
  <c r="AA52" i="15"/>
  <c r="AD135" i="15"/>
  <c r="AE52" i="15"/>
  <c r="AC167" i="15"/>
  <c r="AD84" i="15"/>
  <c r="AG167" i="15"/>
  <c r="AH84" i="15"/>
  <c r="AH174" i="15"/>
  <c r="AI91" i="15"/>
  <c r="W174" i="15"/>
  <c r="X91" i="15"/>
  <c r="Y159" i="15"/>
  <c r="Z76" i="15"/>
  <c r="AC159" i="15"/>
  <c r="AD76" i="15"/>
  <c r="AC166" i="15"/>
  <c r="AD83" i="15"/>
  <c r="AG166" i="15"/>
  <c r="AH83" i="15"/>
  <c r="V153" i="15"/>
  <c r="W70" i="15"/>
  <c r="T143" i="15"/>
  <c r="U60" i="15"/>
  <c r="X143" i="15"/>
  <c r="Y60" i="15"/>
  <c r="Z163" i="15"/>
  <c r="AA80" i="15"/>
  <c r="AD163" i="15"/>
  <c r="AE80" i="15"/>
  <c r="F145" i="15"/>
  <c r="X62" i="15"/>
  <c r="I145" i="15"/>
  <c r="AA62" i="15"/>
  <c r="L160" i="15"/>
  <c r="AD77" i="15"/>
  <c r="P160" i="15"/>
  <c r="AH77" i="15"/>
  <c r="V137" i="15"/>
  <c r="W54" i="15"/>
  <c r="Z137" i="15"/>
  <c r="AA54" i="15"/>
  <c r="AG171" i="15"/>
  <c r="AH88" i="15"/>
  <c r="V171" i="15"/>
  <c r="W88" i="15"/>
  <c r="AH140" i="15"/>
  <c r="AI57" i="15"/>
  <c r="AD148" i="15"/>
  <c r="AE65" i="15"/>
  <c r="AA175" i="15"/>
  <c r="AB92" i="15"/>
  <c r="T134" i="15"/>
  <c r="U51" i="15"/>
  <c r="AF173" i="15"/>
  <c r="AG90" i="15"/>
  <c r="V158" i="15"/>
  <c r="W75" i="15"/>
  <c r="AG135" i="15"/>
  <c r="AH52" i="15"/>
  <c r="AF167" i="15"/>
  <c r="AG84" i="15"/>
  <c r="AF166" i="15"/>
  <c r="AG83" i="15"/>
  <c r="E145" i="15"/>
  <c r="W62" i="15"/>
  <c r="K160" i="15"/>
  <c r="AC77" i="15"/>
  <c r="Y137" i="15"/>
  <c r="Z54" i="15"/>
  <c r="AE140" i="15"/>
  <c r="AF57" i="15"/>
  <c r="AA148" i="15"/>
  <c r="AB65" i="15"/>
  <c r="AE148" i="15"/>
  <c r="AF65" i="15"/>
  <c r="AB140" i="15"/>
  <c r="AC57" i="15"/>
  <c r="AF140" i="15"/>
  <c r="AG57" i="15"/>
  <c r="T148" i="15"/>
  <c r="U65" i="15"/>
  <c r="X148" i="15"/>
  <c r="Y65" i="15"/>
  <c r="U175" i="15"/>
  <c r="V92" i="15"/>
  <c r="Y175" i="15"/>
  <c r="Z92" i="15"/>
  <c r="AG134" i="15"/>
  <c r="AH51" i="15"/>
  <c r="AC134" i="15"/>
  <c r="AD51" i="15"/>
  <c r="U154" i="15"/>
  <c r="V71" i="15"/>
  <c r="Y154" i="15"/>
  <c r="Z71" i="15"/>
  <c r="AD144" i="15"/>
  <c r="AE61" i="15"/>
  <c r="AH144" i="15"/>
  <c r="AI61" i="15"/>
  <c r="W56" i="15"/>
  <c r="V139" i="15"/>
  <c r="Z139" i="15"/>
  <c r="AA56" i="15"/>
  <c r="AH90" i="15"/>
  <c r="AG173" i="15"/>
  <c r="V173" i="15"/>
  <c r="W90" i="15"/>
  <c r="X53" i="15"/>
  <c r="F136" i="15"/>
  <c r="J136" i="15"/>
  <c r="AB53" i="15"/>
  <c r="AH85" i="15"/>
  <c r="AF68" i="15"/>
  <c r="AE151" i="15"/>
  <c r="AA142" i="15"/>
  <c r="AB59" i="15"/>
  <c r="AE142" i="15"/>
  <c r="AF59" i="15"/>
  <c r="Y162" i="15"/>
  <c r="Z79" i="15"/>
  <c r="AC162" i="15"/>
  <c r="AD79" i="15"/>
  <c r="AF75" i="15"/>
  <c r="AE158" i="15"/>
  <c r="AH135" i="15"/>
  <c r="AI52" i="15"/>
  <c r="W135" i="15"/>
  <c r="X52" i="15"/>
  <c r="V167" i="15"/>
  <c r="W84" i="15"/>
  <c r="Z167" i="15"/>
  <c r="AA84" i="15"/>
  <c r="AA174" i="15"/>
  <c r="AB91" i="15"/>
  <c r="AE174" i="15"/>
  <c r="AF91" i="15"/>
  <c r="AG159" i="15"/>
  <c r="AH76" i="15"/>
  <c r="V159" i="15"/>
  <c r="W76" i="15"/>
  <c r="V166" i="15"/>
  <c r="W83" i="15"/>
  <c r="Y153" i="15"/>
  <c r="Z70" i="15"/>
  <c r="AE153" i="15"/>
  <c r="AF70" i="15"/>
  <c r="AB143" i="15"/>
  <c r="AC60" i="15"/>
  <c r="AF143" i="15"/>
  <c r="AG60" i="15"/>
  <c r="AH163" i="15"/>
  <c r="AI80" i="15"/>
  <c r="W163" i="15"/>
  <c r="X80" i="15"/>
  <c r="AF62" i="15"/>
  <c r="N145" i="15"/>
  <c r="Q145" i="15"/>
  <c r="AI62" i="15"/>
  <c r="E160" i="15"/>
  <c r="W77" i="15"/>
  <c r="I160" i="15"/>
  <c r="AA77" i="15"/>
  <c r="AD137" i="15"/>
  <c r="AE54" i="15"/>
  <c r="AH137" i="15"/>
  <c r="AI54" i="15"/>
  <c r="Z171" i="15"/>
  <c r="AA88" i="15"/>
  <c r="AD171" i="15"/>
  <c r="AE88" i="15"/>
  <c r="Y144" i="15"/>
  <c r="Z61" i="15"/>
  <c r="V151" i="15"/>
  <c r="W68" i="15"/>
  <c r="Z142" i="15"/>
  <c r="AA59" i="15"/>
  <c r="X159" i="15"/>
  <c r="Y76" i="15"/>
  <c r="U140" i="15"/>
  <c r="V57" i="15"/>
  <c r="AB148" i="15"/>
  <c r="AC65" i="15"/>
  <c r="AF148" i="15"/>
  <c r="AG65" i="15"/>
  <c r="AC175" i="15"/>
  <c r="AD92" i="15"/>
  <c r="AG175" i="15"/>
  <c r="AH92" i="15"/>
  <c r="Y134" i="15"/>
  <c r="Z51" i="15"/>
  <c r="V134" i="15"/>
  <c r="W51" i="15"/>
  <c r="AD154" i="15"/>
  <c r="AE71" i="15"/>
  <c r="AH154" i="15"/>
  <c r="AI71" i="15"/>
  <c r="W144" i="15"/>
  <c r="X61" i="15"/>
  <c r="AA144" i="15"/>
  <c r="AB61" i="15"/>
  <c r="AD139" i="15"/>
  <c r="AE56" i="15"/>
  <c r="AH139" i="15"/>
  <c r="AI56" i="15"/>
  <c r="Z173" i="15"/>
  <c r="AA90" i="15"/>
  <c r="AD173" i="15"/>
  <c r="AE90" i="15"/>
  <c r="AF53" i="15"/>
  <c r="N136" i="15"/>
  <c r="C136" i="15"/>
  <c r="U53" i="15"/>
  <c r="T151" i="15"/>
  <c r="U68" i="15"/>
  <c r="X151" i="15"/>
  <c r="Y68" i="15"/>
  <c r="T142" i="15"/>
  <c r="U59" i="15"/>
  <c r="X142" i="15"/>
  <c r="Y59" i="15"/>
  <c r="AG162" i="15"/>
  <c r="AH79" i="15"/>
  <c r="V162" i="15"/>
  <c r="W79" i="15"/>
  <c r="T158" i="15"/>
  <c r="U75" i="15"/>
  <c r="X158" i="15"/>
  <c r="Y75" i="15"/>
  <c r="AA135" i="15"/>
  <c r="AB52" i="15"/>
  <c r="AE135" i="15"/>
  <c r="AF52" i="15"/>
  <c r="AD167" i="15"/>
  <c r="AE84" i="15"/>
  <c r="AH167" i="15"/>
  <c r="AI84" i="15"/>
  <c r="T174" i="15"/>
  <c r="U91" i="15"/>
  <c r="X174" i="15"/>
  <c r="Y91" i="15"/>
  <c r="Z159" i="15"/>
  <c r="AA76" i="15"/>
  <c r="AD159" i="15"/>
  <c r="AE76" i="15"/>
  <c r="Z166" i="15"/>
  <c r="AA83" i="15"/>
  <c r="AD166" i="15"/>
  <c r="AE83" i="15"/>
  <c r="AA153" i="15"/>
  <c r="AB70" i="15"/>
  <c r="W153" i="15"/>
  <c r="X70" i="15"/>
  <c r="U143" i="15"/>
  <c r="V60" i="15"/>
  <c r="Y143" i="15"/>
  <c r="Z60" i="15"/>
  <c r="AB80" i="15"/>
  <c r="AA163" i="15"/>
  <c r="AE163" i="15"/>
  <c r="AF80" i="15"/>
  <c r="G145" i="15"/>
  <c r="Y62" i="15"/>
  <c r="J145" i="15"/>
  <c r="AB62" i="15"/>
  <c r="M160" i="15"/>
  <c r="AE77" i="15"/>
  <c r="Q160" i="15"/>
  <c r="AI77" i="15"/>
  <c r="W137" i="15"/>
  <c r="X54" i="15"/>
  <c r="AA137" i="15"/>
  <c r="AB54" i="15"/>
  <c r="AH171" i="15"/>
  <c r="AI88" i="15"/>
  <c r="AG140" i="15"/>
  <c r="AH57" i="15"/>
  <c r="AC140" i="15"/>
  <c r="AD57" i="15"/>
  <c r="U148" i="15"/>
  <c r="V65" i="15"/>
  <c r="Y148" i="15"/>
  <c r="Z65" i="15"/>
  <c r="V175" i="15"/>
  <c r="W92" i="15"/>
  <c r="Z175" i="15"/>
  <c r="AA92" i="15"/>
  <c r="Z134" i="15"/>
  <c r="AA51" i="15"/>
  <c r="AD134" i="15"/>
  <c r="AE51" i="15"/>
  <c r="V154" i="15"/>
  <c r="W71" i="15"/>
  <c r="Z154" i="15"/>
  <c r="AA71" i="15"/>
  <c r="AE144" i="15"/>
  <c r="AF61" i="15"/>
  <c r="T144" i="15"/>
  <c r="U61" i="15"/>
  <c r="W139" i="15"/>
  <c r="X56" i="15"/>
  <c r="AA139" i="15"/>
  <c r="AB56" i="15"/>
  <c r="AH173" i="15"/>
  <c r="AI90" i="15"/>
  <c r="W173" i="15"/>
  <c r="X90" i="15"/>
  <c r="G136" i="15"/>
  <c r="Y53" i="15"/>
  <c r="K136" i="15"/>
  <c r="AC53" i="15"/>
  <c r="AB151" i="15"/>
  <c r="AC68" i="15"/>
  <c r="AG151" i="15"/>
  <c r="AH68" i="15"/>
  <c r="AB142" i="15"/>
  <c r="AC59" i="15"/>
  <c r="AF142" i="15"/>
  <c r="AG59" i="15"/>
  <c r="AA79" i="15"/>
  <c r="Z162" i="15"/>
  <c r="AD162" i="15"/>
  <c r="AE79" i="15"/>
  <c r="AB158" i="15"/>
  <c r="AC75" i="15"/>
  <c r="AF158" i="15"/>
  <c r="AG75" i="15"/>
  <c r="T135" i="15"/>
  <c r="U52" i="15"/>
  <c r="X135" i="15"/>
  <c r="Y52" i="15"/>
  <c r="W167" i="15"/>
  <c r="X84" i="15"/>
  <c r="AA167" i="15"/>
  <c r="AB84" i="15"/>
  <c r="AB174" i="15"/>
  <c r="AC91" i="15"/>
  <c r="AF174" i="15"/>
  <c r="AG91" i="15"/>
  <c r="AH159" i="15"/>
  <c r="AI76" i="15"/>
  <c r="W159" i="15"/>
  <c r="X76" i="15"/>
  <c r="AH166" i="15"/>
  <c r="AI83" i="15"/>
  <c r="W166" i="15"/>
  <c r="X83" i="15"/>
  <c r="AB153" i="15"/>
  <c r="AC70" i="15"/>
  <c r="AF153" i="15"/>
  <c r="AG70" i="15"/>
  <c r="AC143" i="15"/>
  <c r="AD60" i="15"/>
  <c r="AG143" i="15"/>
  <c r="AH60" i="15"/>
  <c r="T163" i="15"/>
  <c r="U80" i="15"/>
  <c r="X163" i="15"/>
  <c r="Y80" i="15"/>
  <c r="O145" i="15"/>
  <c r="AG62" i="15"/>
  <c r="C145" i="15"/>
  <c r="U62" i="15"/>
  <c r="F160" i="15"/>
  <c r="X77" i="15"/>
  <c r="J160" i="15"/>
  <c r="AB77" i="15"/>
  <c r="AE137" i="15"/>
  <c r="AF54" i="15"/>
  <c r="W171" i="15"/>
  <c r="X88" i="15"/>
  <c r="AA171" i="15"/>
  <c r="AB88" i="15"/>
  <c r="AF154" i="15"/>
  <c r="AG71" i="15"/>
  <c r="Z158" i="15"/>
  <c r="AA75" i="15"/>
  <c r="V174" i="15"/>
  <c r="W91" i="15"/>
  <c r="Y140" i="15"/>
  <c r="Z57" i="15"/>
  <c r="V140" i="15"/>
  <c r="W57" i="15"/>
  <c r="AD65" i="15"/>
  <c r="AC148" i="15"/>
  <c r="AG148" i="15"/>
  <c r="AH65" i="15"/>
  <c r="AD175" i="15"/>
  <c r="AE92" i="15"/>
  <c r="AH175" i="15"/>
  <c r="AI92" i="15"/>
  <c r="AH134" i="15"/>
  <c r="AI51" i="15"/>
  <c r="W134" i="15"/>
  <c r="X51" i="15"/>
  <c r="AE154" i="15"/>
  <c r="AF71" i="15"/>
  <c r="AB154" i="15"/>
  <c r="AC71" i="15"/>
  <c r="X144" i="15"/>
  <c r="Y61" i="15"/>
  <c r="AB144" i="15"/>
  <c r="AC61" i="15"/>
  <c r="AE139" i="15"/>
  <c r="AF56" i="15"/>
  <c r="T139" i="15"/>
  <c r="U56" i="15"/>
  <c r="AA173" i="15"/>
  <c r="AB90" i="15"/>
  <c r="AE173" i="15"/>
  <c r="AF90" i="15"/>
  <c r="O136" i="15"/>
  <c r="AG53" i="15"/>
  <c r="U151" i="15"/>
  <c r="V68" i="15"/>
  <c r="Y151" i="15"/>
  <c r="Z68" i="15"/>
  <c r="U142" i="15"/>
  <c r="V59" i="15"/>
  <c r="Y142" i="15"/>
  <c r="Z59" i="15"/>
  <c r="AH162" i="15"/>
  <c r="AI79" i="15"/>
  <c r="W162" i="15"/>
  <c r="X79" i="15"/>
  <c r="U158" i="15"/>
  <c r="V75" i="15"/>
  <c r="Y158" i="15"/>
  <c r="Z75" i="15"/>
  <c r="AB135" i="15"/>
  <c r="AC52" i="15"/>
  <c r="AF135" i="15"/>
  <c r="AG52" i="15"/>
  <c r="AE167" i="15"/>
  <c r="AF84" i="15"/>
  <c r="T167" i="15"/>
  <c r="U84" i="15"/>
  <c r="U174" i="15"/>
  <c r="V91" i="15"/>
  <c r="Y174" i="15"/>
  <c r="Z91" i="15"/>
  <c r="AA159" i="15"/>
  <c r="AB76" i="15"/>
  <c r="AE159" i="15"/>
  <c r="AF76" i="15"/>
  <c r="AA166" i="15"/>
  <c r="AB83" i="15"/>
  <c r="AF83" i="15"/>
  <c r="AE166" i="15"/>
  <c r="T153" i="15"/>
  <c r="U70" i="15"/>
  <c r="X153" i="15"/>
  <c r="Y70" i="15"/>
  <c r="W60" i="15"/>
  <c r="V143" i="15"/>
  <c r="Z143" i="15"/>
  <c r="AA60" i="15"/>
  <c r="AB163" i="15"/>
  <c r="AC80" i="15"/>
  <c r="AF163" i="15"/>
  <c r="AG80" i="15"/>
  <c r="D145" i="15"/>
  <c r="V62" i="15"/>
  <c r="K145" i="15"/>
  <c r="AC62" i="15"/>
  <c r="N160" i="15"/>
  <c r="AF77" i="15"/>
  <c r="AB137" i="15"/>
  <c r="AC54" i="15"/>
  <c r="X137" i="15"/>
  <c r="Y54" i="15"/>
  <c r="AE171" i="15"/>
  <c r="AF88" i="15"/>
  <c r="T171" i="15"/>
  <c r="U88" i="15"/>
  <c r="AE175" i="15"/>
  <c r="AF92" i="15"/>
  <c r="AF139" i="15"/>
  <c r="AG56" i="15"/>
  <c r="W59" i="15"/>
  <c r="V142" i="15"/>
  <c r="T162" i="15"/>
  <c r="U79" i="15"/>
  <c r="Z140" i="15"/>
  <c r="AA57" i="15"/>
  <c r="AD140" i="15"/>
  <c r="AE57" i="15"/>
  <c r="V148" i="15"/>
  <c r="W65" i="15"/>
  <c r="Z148" i="15"/>
  <c r="AA65" i="15"/>
  <c r="W175" i="15"/>
  <c r="X92" i="15"/>
  <c r="AA134" i="15"/>
  <c r="AB51" i="15"/>
  <c r="AE134" i="15"/>
  <c r="AF51" i="15"/>
  <c r="W154" i="15"/>
  <c r="X71" i="15"/>
  <c r="AA154" i="15"/>
  <c r="AB71" i="15"/>
  <c r="AF144" i="15"/>
  <c r="AG61" i="15"/>
  <c r="X139" i="15"/>
  <c r="Y56" i="15"/>
  <c r="AB139" i="15"/>
  <c r="AC56" i="15"/>
  <c r="T173" i="15"/>
  <c r="U90" i="15"/>
  <c r="X173" i="15"/>
  <c r="Y90" i="15"/>
  <c r="D136" i="15"/>
  <c r="V53" i="15"/>
  <c r="H136" i="15"/>
  <c r="Z53" i="15"/>
  <c r="AC151" i="15"/>
  <c r="AD68" i="15"/>
  <c r="AH151" i="15"/>
  <c r="AI68" i="15"/>
  <c r="AC142" i="15"/>
  <c r="AD59" i="15"/>
  <c r="AG142" i="15"/>
  <c r="AH59" i="15"/>
  <c r="AA162" i="15"/>
  <c r="AB79" i="15"/>
  <c r="AE162" i="15"/>
  <c r="AF79" i="15"/>
  <c r="AC158" i="15"/>
  <c r="AD75" i="15"/>
  <c r="AG158" i="15"/>
  <c r="AH75" i="15"/>
  <c r="U135" i="15"/>
  <c r="V52" i="15"/>
  <c r="Y135" i="15"/>
  <c r="Z52" i="15"/>
  <c r="X167" i="15"/>
  <c r="Y84" i="15"/>
  <c r="AB167" i="15"/>
  <c r="AC84" i="15"/>
  <c r="AC174" i="15"/>
  <c r="AD91" i="15"/>
  <c r="AG174" i="15"/>
  <c r="AH91" i="15"/>
  <c r="T159" i="15"/>
  <c r="U76" i="15"/>
  <c r="T166" i="15"/>
  <c r="U83" i="15"/>
  <c r="X166" i="15"/>
  <c r="Y83" i="15"/>
  <c r="AC153" i="15"/>
  <c r="AD70" i="15"/>
  <c r="AG153" i="15"/>
  <c r="AH70" i="15"/>
  <c r="AD143" i="15"/>
  <c r="AE60" i="15"/>
  <c r="AH143" i="15"/>
  <c r="AI60" i="15"/>
  <c r="U163" i="15"/>
  <c r="V80" i="15"/>
  <c r="H145" i="15"/>
  <c r="Z62" i="15"/>
  <c r="C160" i="15"/>
  <c r="U77" i="15"/>
  <c r="G160" i="15"/>
  <c r="Y77" i="15"/>
  <c r="U54" i="15"/>
  <c r="T137" i="15"/>
  <c r="AG54" i="15"/>
  <c r="AF137" i="15"/>
  <c r="X171" i="15"/>
  <c r="Y88" i="15"/>
  <c r="AB171" i="15"/>
  <c r="AC88" i="15"/>
  <c r="BX89" i="15" l="1"/>
  <c r="BX94" i="15"/>
  <c r="BX75" i="15"/>
  <c r="BX80" i="15"/>
  <c r="BX69" i="15"/>
  <c r="BX63" i="15"/>
  <c r="BX81" i="15"/>
  <c r="BX86" i="15"/>
  <c r="BX67" i="15"/>
  <c r="BX72" i="15"/>
  <c r="BX61" i="15"/>
  <c r="BX55" i="15"/>
  <c r="BX73" i="15"/>
  <c r="BX65" i="15"/>
  <c r="BX70" i="15"/>
  <c r="BX51" i="15"/>
  <c r="BX56" i="15"/>
  <c r="BX90" i="15"/>
  <c r="BX84" i="15"/>
  <c r="BX78" i="15"/>
  <c r="BX59" i="15"/>
  <c r="BX64" i="15"/>
  <c r="BX92" i="15"/>
  <c r="BX57" i="15"/>
  <c r="BX54" i="15"/>
  <c r="BX82" i="15"/>
  <c r="BX68" i="15"/>
  <c r="BX66" i="15"/>
  <c r="BX76" i="15"/>
  <c r="BX49" i="15"/>
  <c r="BX60" i="15"/>
  <c r="BX74" i="15"/>
  <c r="BX93" i="15"/>
  <c r="BX87" i="15"/>
  <c r="BX52" i="15"/>
  <c r="BX91" i="15"/>
  <c r="BX58" i="15"/>
  <c r="BX85" i="15"/>
  <c r="BX79" i="15"/>
  <c r="BX53" i="15"/>
  <c r="BX62" i="15"/>
  <c r="BX50" i="15"/>
  <c r="BX83" i="15"/>
  <c r="BX88" i="15"/>
  <c r="BX77" i="15"/>
  <c r="BX71" i="15"/>
  <c r="AJ89" i="15"/>
  <c r="AJ82" i="15"/>
  <c r="AJ87" i="15"/>
  <c r="AJ74" i="15"/>
  <c r="AJ69" i="15"/>
  <c r="AJ55" i="15"/>
  <c r="AJ72" i="15"/>
  <c r="AJ63" i="15"/>
  <c r="AJ50" i="15"/>
  <c r="AJ66" i="15"/>
  <c r="AJ86" i="15"/>
  <c r="Z95" i="15"/>
  <c r="H73" i="15" s="1"/>
  <c r="AJ94" i="15"/>
  <c r="AF95" i="15"/>
  <c r="N73" i="15" s="1"/>
  <c r="AJ64" i="15"/>
  <c r="AI95" i="15"/>
  <c r="Q73" i="15" s="1"/>
  <c r="AB95" i="15"/>
  <c r="J73" i="15" s="1"/>
  <c r="AJ67" i="15"/>
  <c r="AJ53" i="15"/>
  <c r="AJ58" i="15"/>
  <c r="AJ85" i="15"/>
  <c r="AJ93" i="15"/>
  <c r="AJ49" i="15"/>
  <c r="Y95" i="15"/>
  <c r="G73" i="15" s="1"/>
  <c r="W95" i="15"/>
  <c r="E73" i="15" s="1"/>
  <c r="AJ65" i="15"/>
  <c r="AA95" i="15"/>
  <c r="I73" i="15" s="1"/>
  <c r="AG95" i="15"/>
  <c r="O73" i="15" s="1"/>
  <c r="AJ92" i="15"/>
  <c r="AJ79" i="15"/>
  <c r="AJ91" i="15"/>
  <c r="AJ75" i="15"/>
  <c r="AJ59" i="15"/>
  <c r="AJ54" i="15"/>
  <c r="AJ56" i="15"/>
  <c r="AJ71" i="15"/>
  <c r="AJ83" i="15"/>
  <c r="AJ84" i="15"/>
  <c r="AC95" i="15"/>
  <c r="K73" i="15" s="1"/>
  <c r="AE95" i="15"/>
  <c r="M73" i="15" s="1"/>
  <c r="AJ57" i="15"/>
  <c r="AJ90" i="15"/>
  <c r="AJ70" i="15"/>
  <c r="AJ77" i="15"/>
  <c r="AH95" i="15"/>
  <c r="P73" i="15" s="1"/>
  <c r="AJ88" i="15"/>
  <c r="AD95" i="15"/>
  <c r="L73" i="15" s="1"/>
  <c r="AJ80" i="15"/>
  <c r="AJ61" i="15"/>
  <c r="X95" i="15"/>
  <c r="F73" i="15" s="1"/>
  <c r="AJ68" i="15"/>
  <c r="U95" i="15"/>
  <c r="C73" i="15" s="1"/>
  <c r="AJ51" i="15"/>
  <c r="AJ60" i="15"/>
  <c r="AJ76" i="15"/>
  <c r="AJ62" i="15"/>
  <c r="AJ52" i="15"/>
  <c r="V95" i="15"/>
  <c r="D73" i="15" s="1"/>
  <c r="U35" i="15"/>
  <c r="AC35" i="15"/>
  <c r="AB30" i="15"/>
  <c r="AB29" i="15"/>
  <c r="V35" i="15"/>
  <c r="AD35" i="15"/>
  <c r="U30" i="15"/>
  <c r="AC30" i="15"/>
  <c r="U21" i="15"/>
  <c r="AC21" i="15"/>
  <c r="W21" i="15"/>
  <c r="AE21" i="15"/>
  <c r="AC29" i="15"/>
  <c r="W35" i="15"/>
  <c r="AE35" i="15"/>
  <c r="V30" i="15"/>
  <c r="AD30" i="15"/>
  <c r="AA21" i="15"/>
  <c r="AI21" i="15"/>
  <c r="V21" i="15"/>
  <c r="AD21" i="15"/>
  <c r="Y21" i="15"/>
  <c r="Y35" i="15"/>
  <c r="AG35" i="15"/>
  <c r="X30" i="15"/>
  <c r="AF30" i="15"/>
  <c r="AG21" i="15"/>
  <c r="X21" i="15"/>
  <c r="AF21" i="15"/>
  <c r="Z26" i="15"/>
  <c r="AH26" i="15"/>
  <c r="AE22" i="15"/>
  <c r="V29" i="15"/>
  <c r="X35" i="15"/>
  <c r="AF35" i="15"/>
  <c r="AA36" i="15"/>
  <c r="W30" i="15"/>
  <c r="AE30" i="15"/>
  <c r="AA35" i="15"/>
  <c r="AI35" i="15"/>
  <c r="Z30" i="15"/>
  <c r="AH30" i="15"/>
  <c r="AA38" i="15"/>
  <c r="Z21" i="15"/>
  <c r="AB26" i="15"/>
  <c r="AH21" i="15"/>
  <c r="X29" i="15"/>
  <c r="AF29" i="15"/>
  <c r="Z35" i="15"/>
  <c r="AH35" i="15"/>
  <c r="AI37" i="15"/>
  <c r="U36" i="15"/>
  <c r="AC36" i="15"/>
  <c r="AE37" i="15"/>
  <c r="Y30" i="15"/>
  <c r="AG30" i="15"/>
  <c r="AB21" i="15"/>
  <c r="V26" i="15"/>
  <c r="AA22" i="15"/>
  <c r="AI22" i="15"/>
  <c r="Y23" i="15"/>
  <c r="AA29" i="15"/>
  <c r="AI29" i="15"/>
  <c r="AB35" i="15"/>
  <c r="V37" i="15"/>
  <c r="AE36" i="15"/>
  <c r="X36" i="15"/>
  <c r="AF36" i="15"/>
  <c r="AA30" i="15"/>
  <c r="AI30" i="15"/>
  <c r="AJ95" i="15" l="1"/>
  <c r="R73" i="15" s="1"/>
  <c r="W31" i="15"/>
  <c r="V31" i="15"/>
  <c r="AD26" i="15"/>
  <c r="AG22" i="15"/>
  <c r="Z36" i="15"/>
  <c r="U25" i="15"/>
  <c r="AD37" i="15"/>
  <c r="AA25" i="15"/>
  <c r="AE31" i="15"/>
  <c r="AC20" i="15"/>
  <c r="AG33" i="15"/>
  <c r="W25" i="15"/>
  <c r="AF31" i="15"/>
  <c r="AD31" i="15"/>
  <c r="AA37" i="15"/>
  <c r="X31" i="15"/>
  <c r="W37" i="15"/>
  <c r="AG36" i="15"/>
  <c r="AH36" i="15"/>
  <c r="Y36" i="15"/>
  <c r="AC25" i="15"/>
  <c r="V34" i="15"/>
  <c r="AI25" i="15"/>
  <c r="AA20" i="15"/>
  <c r="U22" i="15"/>
  <c r="AB24" i="15"/>
  <c r="AI38" i="15"/>
  <c r="U29" i="15"/>
  <c r="Z24" i="15"/>
  <c r="AI28" i="15"/>
  <c r="AF25" i="15"/>
  <c r="X22" i="15"/>
  <c r="AC26" i="15"/>
  <c r="AD25" i="15"/>
  <c r="W36" i="15"/>
  <c r="AE25" i="15"/>
  <c r="V25" i="15"/>
  <c r="AD34" i="15"/>
  <c r="X38" i="15"/>
  <c r="AG38" i="15"/>
  <c r="Y29" i="15"/>
  <c r="X28" i="15"/>
  <c r="U28" i="15"/>
  <c r="AE33" i="15"/>
  <c r="AI20" i="15"/>
  <c r="AE29" i="15"/>
  <c r="AD28" i="15"/>
  <c r="AH33" i="15"/>
  <c r="AC33" i="15"/>
  <c r="W23" i="15"/>
  <c r="AA28" i="15"/>
  <c r="AH29" i="15"/>
  <c r="Y33" i="15"/>
  <c r="AC31" i="15"/>
  <c r="Y38" i="15"/>
  <c r="V38" i="15"/>
  <c r="AE38" i="15"/>
  <c r="W29" i="15"/>
  <c r="AC22" i="15"/>
  <c r="AB23" i="15"/>
  <c r="U33" i="15"/>
  <c r="Z28" i="15"/>
  <c r="AE20" i="15"/>
  <c r="AC23" i="15"/>
  <c r="U26" i="15"/>
  <c r="AE34" i="15"/>
  <c r="AG28" i="15"/>
  <c r="W20" i="15"/>
  <c r="AG25" i="15"/>
  <c r="AH28" i="15"/>
  <c r="V23" i="15"/>
  <c r="Z37" i="15"/>
  <c r="X23" i="15"/>
  <c r="Y32" i="15"/>
  <c r="AH23" i="15"/>
  <c r="V27" i="15"/>
  <c r="W32" i="15"/>
  <c r="AB38" i="15"/>
  <c r="Z29" i="15"/>
  <c r="W34" i="15"/>
  <c r="AF24" i="15"/>
  <c r="U19" i="15"/>
  <c r="AG20" i="15"/>
  <c r="AD22" i="15"/>
  <c r="AG23" i="15"/>
  <c r="Y28" i="15"/>
  <c r="U20" i="15"/>
  <c r="W19" i="15"/>
  <c r="AI27" i="15"/>
  <c r="Y22" i="15"/>
  <c r="U31" i="15"/>
  <c r="AB37" i="15"/>
  <c r="Y37" i="15"/>
  <c r="U23" i="15"/>
  <c r="V24" i="15"/>
  <c r="AA31" i="15"/>
  <c r="W38" i="15"/>
  <c r="AH37" i="15"/>
  <c r="X33" i="15"/>
  <c r="AF22" i="15"/>
  <c r="Y24" i="15"/>
  <c r="AF23" i="15"/>
  <c r="AE27" i="15"/>
  <c r="AB33" i="15"/>
  <c r="AI24" i="15"/>
  <c r="AD27" i="15"/>
  <c r="AB27" i="15"/>
  <c r="AH20" i="15"/>
  <c r="AB32" i="15"/>
  <c r="Z20" i="15"/>
  <c r="Z23" i="15"/>
  <c r="X19" i="15"/>
  <c r="AE32" i="15"/>
  <c r="Y25" i="15"/>
  <c r="AE23" i="15"/>
  <c r="AI36" i="15"/>
  <c r="AB20" i="15"/>
  <c r="X25" i="15"/>
  <c r="AD23" i="15"/>
  <c r="AH22" i="15"/>
  <c r="AA23" i="15"/>
  <c r="AF26" i="15"/>
  <c r="AF34" i="15"/>
  <c r="AH32" i="15"/>
  <c r="V22" i="15"/>
  <c r="AG26" i="15"/>
  <c r="AA24" i="15"/>
  <c r="AB19" i="15"/>
  <c r="U34" i="15"/>
  <c r="AI33" i="15"/>
  <c r="AH38" i="15"/>
  <c r="AC27" i="15"/>
  <c r="AI34" i="15"/>
  <c r="AE28" i="15"/>
  <c r="X24" i="15"/>
  <c r="AD36" i="15"/>
  <c r="AI19" i="15"/>
  <c r="Y27" i="15"/>
  <c r="AI32" i="15"/>
  <c r="W22" i="15"/>
  <c r="AA26" i="15"/>
  <c r="W24" i="15"/>
  <c r="AI26" i="15"/>
  <c r="Z22" i="15"/>
  <c r="W27" i="15"/>
  <c r="AD19" i="15"/>
  <c r="AG31" i="15"/>
  <c r="AC38" i="15"/>
  <c r="AB28" i="15"/>
  <c r="Z32" i="15"/>
  <c r="Y26" i="15"/>
  <c r="AF20" i="15"/>
  <c r="AF19" i="15"/>
  <c r="Z38" i="15"/>
  <c r="AC37" i="15"/>
  <c r="AA33" i="15"/>
  <c r="AH24" i="15"/>
  <c r="AC34" i="15"/>
  <c r="U27" i="15"/>
  <c r="AF38" i="15"/>
  <c r="AA34" i="15"/>
  <c r="W28" i="15"/>
  <c r="AC32" i="15"/>
  <c r="AA27" i="15"/>
  <c r="V36" i="15"/>
  <c r="AG29" i="15"/>
  <c r="AF28" i="15"/>
  <c r="AD29" i="15"/>
  <c r="AG34" i="15"/>
  <c r="AC28" i="15"/>
  <c r="AA19" i="15"/>
  <c r="AA32" i="15"/>
  <c r="AH27" i="15"/>
  <c r="AB36" i="15"/>
  <c r="Z27" i="15"/>
  <c r="AH25" i="15"/>
  <c r="AD32" i="15"/>
  <c r="AI23" i="15"/>
  <c r="Y19" i="15"/>
  <c r="AD20" i="15"/>
  <c r="V19" i="15"/>
  <c r="Y31" i="15"/>
  <c r="U38" i="15"/>
  <c r="AF37" i="15"/>
  <c r="X34" i="15"/>
  <c r="AD33" i="15"/>
  <c r="AF27" i="15"/>
  <c r="AB22" i="15"/>
  <c r="X20" i="15"/>
  <c r="U37" i="15"/>
  <c r="AB31" i="15"/>
  <c r="U32" i="15"/>
  <c r="AB34" i="15"/>
  <c r="AH31" i="15"/>
  <c r="AD38" i="15"/>
  <c r="Y34" i="15"/>
  <c r="AH34" i="15"/>
  <c r="Z25" i="15"/>
  <c r="V32" i="15"/>
  <c r="X26" i="15"/>
  <c r="V20" i="15"/>
  <c r="Z19" i="15"/>
  <c r="X37" i="15"/>
  <c r="V33" i="15"/>
  <c r="AC24" i="15"/>
  <c r="X27" i="15"/>
  <c r="AF32" i="15"/>
  <c r="AE26" i="15"/>
  <c r="AE19" i="15"/>
  <c r="AC19" i="15"/>
  <c r="Z31" i="15"/>
  <c r="AG37" i="15"/>
  <c r="W33" i="15"/>
  <c r="AD24" i="15"/>
  <c r="AG27" i="15"/>
  <c r="AE24" i="15"/>
  <c r="AI31" i="15"/>
  <c r="Z34" i="15"/>
  <c r="V28" i="15"/>
  <c r="AF33" i="15"/>
  <c r="Z33" i="15"/>
  <c r="AG24" i="15"/>
  <c r="Y20" i="15"/>
  <c r="AG32" i="15"/>
  <c r="AG19" i="15"/>
  <c r="AH19" i="15"/>
  <c r="U24" i="15"/>
  <c r="AB25" i="15"/>
  <c r="X32" i="15"/>
  <c r="W26" i="15"/>
  <c r="AJ21" i="15"/>
  <c r="AJ35" i="15"/>
  <c r="AJ30" i="15"/>
  <c r="G72" i="15"/>
  <c r="P51" i="15"/>
  <c r="H81" i="15"/>
  <c r="D62" i="15"/>
  <c r="J61" i="15"/>
  <c r="I63" i="15"/>
  <c r="X40" i="15" l="1"/>
  <c r="AA40" i="15"/>
  <c r="AF40" i="15"/>
  <c r="Z40" i="15"/>
  <c r="AC40" i="15"/>
  <c r="AB40" i="15"/>
  <c r="V40" i="15"/>
  <c r="AH39" i="15"/>
  <c r="AG39" i="15"/>
  <c r="AI40" i="15"/>
  <c r="AE39" i="15"/>
  <c r="AF39" i="15"/>
  <c r="AI39" i="15"/>
  <c r="Y40" i="15"/>
  <c r="AD40" i="15"/>
  <c r="AB39" i="15"/>
  <c r="X39" i="15"/>
  <c r="W39" i="15"/>
  <c r="AG40" i="15"/>
  <c r="AE40" i="15"/>
  <c r="V39" i="15"/>
  <c r="AH40" i="15"/>
  <c r="U40" i="15"/>
  <c r="Y39" i="15"/>
  <c r="AA39" i="15"/>
  <c r="AC39" i="15"/>
  <c r="Z39" i="15"/>
  <c r="AD39" i="15"/>
  <c r="U39" i="15"/>
  <c r="W40" i="15"/>
  <c r="AJ37" i="15"/>
  <c r="AJ34" i="15"/>
  <c r="AJ20" i="15"/>
  <c r="AJ25" i="15"/>
  <c r="AJ36" i="15"/>
  <c r="AJ31" i="15"/>
  <c r="AJ27" i="15"/>
  <c r="AJ26" i="15"/>
  <c r="AJ33" i="15"/>
  <c r="AJ32" i="15"/>
  <c r="AJ19" i="15"/>
  <c r="AJ38" i="15"/>
  <c r="AJ28" i="15"/>
  <c r="AJ22" i="15"/>
  <c r="AJ24" i="15"/>
  <c r="AJ23" i="15"/>
  <c r="AJ29" i="15"/>
  <c r="H56" i="15"/>
  <c r="L62" i="15"/>
  <c r="L69" i="15"/>
  <c r="O50" i="15"/>
  <c r="O91" i="15"/>
  <c r="H55" i="15"/>
  <c r="C64" i="15"/>
  <c r="R78" i="15"/>
  <c r="Q68" i="15"/>
  <c r="Q82" i="15"/>
  <c r="I60" i="15"/>
  <c r="M49" i="15"/>
  <c r="K89" i="15"/>
  <c r="N58" i="15"/>
  <c r="K78" i="15"/>
  <c r="H65" i="15"/>
  <c r="K64" i="15"/>
  <c r="M84" i="15"/>
  <c r="M87" i="15"/>
  <c r="F80" i="15"/>
  <c r="L75" i="15"/>
  <c r="F94" i="15"/>
  <c r="P81" i="15"/>
  <c r="I82" i="15"/>
  <c r="D69" i="15"/>
  <c r="C70" i="15"/>
  <c r="C93" i="15"/>
  <c r="C61" i="15"/>
  <c r="C76" i="15"/>
  <c r="C51" i="15"/>
  <c r="C77" i="15"/>
  <c r="C54" i="15"/>
  <c r="C58" i="15"/>
  <c r="C83" i="15"/>
  <c r="C66" i="15"/>
  <c r="C82" i="15"/>
  <c r="C74" i="15"/>
  <c r="C79" i="15"/>
  <c r="C75" i="15"/>
  <c r="C49" i="15"/>
  <c r="C85" i="15"/>
  <c r="C81" i="15"/>
  <c r="C91" i="15"/>
  <c r="C94" i="15"/>
  <c r="C62" i="15"/>
  <c r="C60" i="15"/>
  <c r="C84" i="15"/>
  <c r="C52" i="15"/>
  <c r="C50" i="15"/>
  <c r="C68" i="15"/>
  <c r="C55" i="15"/>
  <c r="C56" i="15"/>
  <c r="C92" i="15"/>
  <c r="C53" i="15"/>
  <c r="C65" i="15"/>
  <c r="C88" i="15"/>
  <c r="C69" i="15"/>
  <c r="C90" i="15"/>
  <c r="C72" i="15"/>
  <c r="C63" i="15"/>
  <c r="C87" i="15"/>
  <c r="C59" i="15"/>
  <c r="C80" i="15"/>
  <c r="C67" i="15"/>
  <c r="C57" i="15"/>
  <c r="C86" i="15"/>
  <c r="P57" i="15"/>
  <c r="C89" i="15"/>
  <c r="I76" i="15"/>
  <c r="N94" i="15"/>
  <c r="K72" i="15"/>
  <c r="K63" i="15"/>
  <c r="K56" i="15"/>
  <c r="K59" i="15"/>
  <c r="K80" i="15"/>
  <c r="K67" i="15"/>
  <c r="K57" i="15"/>
  <c r="K61" i="15"/>
  <c r="K60" i="15"/>
  <c r="K51" i="15"/>
  <c r="K90" i="15"/>
  <c r="K86" i="15"/>
  <c r="K92" i="15"/>
  <c r="K69" i="15"/>
  <c r="K79" i="15"/>
  <c r="K77" i="15"/>
  <c r="K58" i="15"/>
  <c r="K83" i="15"/>
  <c r="K66" i="15"/>
  <c r="K74" i="15"/>
  <c r="K75" i="15"/>
  <c r="K76" i="15"/>
  <c r="K53" i="15"/>
  <c r="K49" i="15"/>
  <c r="K70" i="15"/>
  <c r="K93" i="15"/>
  <c r="K85" i="15"/>
  <c r="K81" i="15"/>
  <c r="K91" i="15"/>
  <c r="K94" i="15"/>
  <c r="K84" i="15"/>
  <c r="K65" i="15"/>
  <c r="K88" i="15"/>
  <c r="K54" i="15"/>
  <c r="K50" i="15"/>
  <c r="K68" i="15"/>
  <c r="K55" i="15"/>
  <c r="K87" i="15"/>
  <c r="K62" i="15"/>
  <c r="K82" i="15"/>
  <c r="K52" i="15"/>
  <c r="C78" i="15"/>
  <c r="H57" i="15"/>
  <c r="N88" i="15"/>
  <c r="P56" i="15"/>
  <c r="E84" i="15"/>
  <c r="J53" i="15"/>
  <c r="M59" i="15"/>
  <c r="M67" i="15"/>
  <c r="M57" i="15"/>
  <c r="M80" i="15"/>
  <c r="M83" i="15"/>
  <c r="M86" i="15"/>
  <c r="M68" i="15"/>
  <c r="M56" i="15"/>
  <c r="M75" i="15"/>
  <c r="M78" i="15"/>
  <c r="M51" i="15"/>
  <c r="M85" i="15"/>
  <c r="M62" i="15"/>
  <c r="M66" i="15"/>
  <c r="M58" i="15"/>
  <c r="M71" i="15"/>
  <c r="M61" i="15"/>
  <c r="M60" i="15"/>
  <c r="M50" i="15"/>
  <c r="M74" i="15"/>
  <c r="M64" i="15"/>
  <c r="M53" i="15"/>
  <c r="M90" i="15"/>
  <c r="M93" i="15"/>
  <c r="M94" i="15"/>
  <c r="M54" i="15"/>
  <c r="M55" i="15"/>
  <c r="M52" i="15"/>
  <c r="M82" i="15"/>
  <c r="M92" i="15"/>
  <c r="M88" i="15"/>
  <c r="M91" i="15"/>
  <c r="M63" i="15"/>
  <c r="M81" i="15"/>
  <c r="M89" i="15"/>
  <c r="M77" i="15"/>
  <c r="M72" i="15"/>
  <c r="M76" i="15"/>
  <c r="M65" i="15"/>
  <c r="M69" i="15"/>
  <c r="P66" i="15"/>
  <c r="H92" i="15"/>
  <c r="F58" i="15"/>
  <c r="H51" i="15"/>
  <c r="D90" i="15"/>
  <c r="I54" i="15"/>
  <c r="O59" i="15"/>
  <c r="K71" i="15"/>
  <c r="Q57" i="15"/>
  <c r="Q83" i="15"/>
  <c r="Q81" i="15"/>
  <c r="Q70" i="15"/>
  <c r="Q53" i="15"/>
  <c r="Q56" i="15"/>
  <c r="Q72" i="15"/>
  <c r="Q78" i="15"/>
  <c r="Q52" i="15"/>
  <c r="Q79" i="15"/>
  <c r="Q90" i="15"/>
  <c r="Q75" i="15"/>
  <c r="Q89" i="15"/>
  <c r="Q51" i="15"/>
  <c r="Q61" i="15"/>
  <c r="Q62" i="15"/>
  <c r="Q50" i="15"/>
  <c r="Q77" i="15"/>
  <c r="Q92" i="15"/>
  <c r="Q94" i="15"/>
  <c r="Q88" i="15"/>
  <c r="Q71" i="15"/>
  <c r="Q65" i="15"/>
  <c r="Q55" i="15"/>
  <c r="Q84" i="15"/>
  <c r="Q80" i="15"/>
  <c r="Q87" i="15"/>
  <c r="Q69" i="15"/>
  <c r="Q93" i="15"/>
  <c r="Q64" i="15"/>
  <c r="Q59" i="15"/>
  <c r="Q91" i="15"/>
  <c r="Q58" i="15"/>
  <c r="Q85" i="15"/>
  <c r="Q74" i="15"/>
  <c r="Q86" i="15"/>
  <c r="Q66" i="15"/>
  <c r="Q49" i="15"/>
  <c r="Q67" i="15"/>
  <c r="E49" i="15"/>
  <c r="N80" i="15"/>
  <c r="E87" i="15"/>
  <c r="Q63" i="15"/>
  <c r="E70" i="15"/>
  <c r="Q54" i="15"/>
  <c r="P92" i="15"/>
  <c r="M79" i="15"/>
  <c r="G49" i="15"/>
  <c r="G94" i="15"/>
  <c r="G57" i="15"/>
  <c r="G75" i="15"/>
  <c r="G64" i="15"/>
  <c r="G76" i="15"/>
  <c r="G56" i="15"/>
  <c r="G58" i="15"/>
  <c r="G62" i="15"/>
  <c r="G61" i="15"/>
  <c r="G66" i="15"/>
  <c r="G92" i="15"/>
  <c r="G60" i="15"/>
  <c r="G74" i="15"/>
  <c r="G89" i="15"/>
  <c r="G77" i="15"/>
  <c r="G81" i="15"/>
  <c r="G80" i="15"/>
  <c r="G90" i="15"/>
  <c r="G71" i="15"/>
  <c r="G68" i="15"/>
  <c r="G51" i="15"/>
  <c r="G84" i="15"/>
  <c r="G53" i="15"/>
  <c r="G67" i="15"/>
  <c r="G86" i="15"/>
  <c r="G55" i="15"/>
  <c r="G70" i="15"/>
  <c r="G54" i="15"/>
  <c r="G83" i="15"/>
  <c r="G87" i="15"/>
  <c r="G52" i="15"/>
  <c r="G82" i="15"/>
  <c r="G88" i="15"/>
  <c r="G65" i="15"/>
  <c r="G79" i="15"/>
  <c r="G63" i="15"/>
  <c r="G69" i="15"/>
  <c r="G93" i="15"/>
  <c r="G78" i="15"/>
  <c r="Q76" i="15"/>
  <c r="I53" i="15"/>
  <c r="I64" i="15"/>
  <c r="I56" i="15"/>
  <c r="I72" i="15"/>
  <c r="I84" i="15"/>
  <c r="I65" i="15"/>
  <c r="I80" i="15"/>
  <c r="I87" i="15"/>
  <c r="I69" i="15"/>
  <c r="I78" i="15"/>
  <c r="I52" i="15"/>
  <c r="I75" i="15"/>
  <c r="I89" i="15"/>
  <c r="I49" i="15"/>
  <c r="I51" i="15"/>
  <c r="I90" i="15"/>
  <c r="I61" i="15"/>
  <c r="I62" i="15"/>
  <c r="I50" i="15"/>
  <c r="I91" i="15"/>
  <c r="I58" i="15"/>
  <c r="I59" i="15"/>
  <c r="I55" i="15"/>
  <c r="I86" i="15"/>
  <c r="I66" i="15"/>
  <c r="I88" i="15"/>
  <c r="I71" i="15"/>
  <c r="I93" i="15"/>
  <c r="I70" i="15"/>
  <c r="I57" i="15"/>
  <c r="I79" i="15"/>
  <c r="I85" i="15"/>
  <c r="I74" i="15"/>
  <c r="I92" i="15"/>
  <c r="I77" i="15"/>
  <c r="I83" i="15"/>
  <c r="I81" i="15"/>
  <c r="I94" i="15"/>
  <c r="D75" i="15"/>
  <c r="G50" i="15"/>
  <c r="E79" i="15"/>
  <c r="G85" i="15"/>
  <c r="P55" i="15"/>
  <c r="O52" i="15"/>
  <c r="O82" i="15"/>
  <c r="O76" i="15"/>
  <c r="O83" i="15"/>
  <c r="O87" i="15"/>
  <c r="O63" i="15"/>
  <c r="O57" i="15"/>
  <c r="O49" i="15"/>
  <c r="O75" i="15"/>
  <c r="O88" i="15"/>
  <c r="O69" i="15"/>
  <c r="O64" i="15"/>
  <c r="O56" i="15"/>
  <c r="O58" i="15"/>
  <c r="O62" i="15"/>
  <c r="O61" i="15"/>
  <c r="O66" i="15"/>
  <c r="O92" i="15"/>
  <c r="O74" i="15"/>
  <c r="O54" i="15"/>
  <c r="O79" i="15"/>
  <c r="O60" i="15"/>
  <c r="O78" i="15"/>
  <c r="O51" i="15"/>
  <c r="O84" i="15"/>
  <c r="O86" i="15"/>
  <c r="O70" i="15"/>
  <c r="O94" i="15"/>
  <c r="O77" i="15"/>
  <c r="O81" i="15"/>
  <c r="O80" i="15"/>
  <c r="O65" i="15"/>
  <c r="O55" i="15"/>
  <c r="O53" i="15"/>
  <c r="O67" i="15"/>
  <c r="O89" i="15"/>
  <c r="O90" i="15"/>
  <c r="O71" i="15"/>
  <c r="O68" i="15"/>
  <c r="O93" i="15"/>
  <c r="Q60" i="15"/>
  <c r="C71" i="15"/>
  <c r="I67" i="15"/>
  <c r="O72" i="15"/>
  <c r="J63" i="15"/>
  <c r="J62" i="15"/>
  <c r="J89" i="15"/>
  <c r="J67" i="15"/>
  <c r="J91" i="15"/>
  <c r="J69" i="15"/>
  <c r="J71" i="15"/>
  <c r="J76" i="15"/>
  <c r="J60" i="15"/>
  <c r="J51" i="15"/>
  <c r="J78" i="15"/>
  <c r="J88" i="15"/>
  <c r="J70" i="15"/>
  <c r="J64" i="15"/>
  <c r="J75" i="15"/>
  <c r="J54" i="15"/>
  <c r="J56" i="15"/>
  <c r="J57" i="15"/>
  <c r="J81" i="15"/>
  <c r="J80" i="15"/>
  <c r="J87" i="15"/>
  <c r="J90" i="15"/>
  <c r="J65" i="15"/>
  <c r="J49" i="15"/>
  <c r="J55" i="15"/>
  <c r="J72" i="15"/>
  <c r="J58" i="15"/>
  <c r="J79" i="15"/>
  <c r="J66" i="15"/>
  <c r="J85" i="15"/>
  <c r="J94" i="15"/>
  <c r="J50" i="15"/>
  <c r="J84" i="15"/>
  <c r="J92" i="15"/>
  <c r="J59" i="15"/>
  <c r="J82" i="15"/>
  <c r="J68" i="15"/>
  <c r="J74" i="15"/>
  <c r="J93" i="15"/>
  <c r="F52" i="15"/>
  <c r="F72" i="15"/>
  <c r="F62" i="15"/>
  <c r="F75" i="15"/>
  <c r="F64" i="15"/>
  <c r="F63" i="15"/>
  <c r="F85" i="15"/>
  <c r="F84" i="15"/>
  <c r="F91" i="15"/>
  <c r="F57" i="15"/>
  <c r="F60" i="15"/>
  <c r="F51" i="15"/>
  <c r="F83" i="15"/>
  <c r="F78" i="15"/>
  <c r="F68" i="15"/>
  <c r="F92" i="15"/>
  <c r="F54" i="15"/>
  <c r="F56" i="15"/>
  <c r="F50" i="15"/>
  <c r="F66" i="15"/>
  <c r="F65" i="15"/>
  <c r="F55" i="15"/>
  <c r="F81" i="15"/>
  <c r="F77" i="15"/>
  <c r="F70" i="15"/>
  <c r="F87" i="15"/>
  <c r="F76" i="15"/>
  <c r="F79" i="15"/>
  <c r="F93" i="15"/>
  <c r="F59" i="15"/>
  <c r="F89" i="15"/>
  <c r="F49" i="15"/>
  <c r="F71" i="15"/>
  <c r="F53" i="15"/>
  <c r="F86" i="15"/>
  <c r="F67" i="15"/>
  <c r="F69" i="15"/>
  <c r="F61" i="15"/>
  <c r="F82" i="15"/>
  <c r="F90" i="15"/>
  <c r="H86" i="15"/>
  <c r="H61" i="15"/>
  <c r="H52" i="15"/>
  <c r="H89" i="15"/>
  <c r="H63" i="15"/>
  <c r="H94" i="15"/>
  <c r="H64" i="15"/>
  <c r="H83" i="15"/>
  <c r="H74" i="15"/>
  <c r="H58" i="15"/>
  <c r="H78" i="15"/>
  <c r="H75" i="15"/>
  <c r="H77" i="15"/>
  <c r="H76" i="15"/>
  <c r="H50" i="15"/>
  <c r="H91" i="15"/>
  <c r="H70" i="15"/>
  <c r="H62" i="15"/>
  <c r="H60" i="15"/>
  <c r="H59" i="15"/>
  <c r="H72" i="15"/>
  <c r="H79" i="15"/>
  <c r="H71" i="15"/>
  <c r="H88" i="15"/>
  <c r="H68" i="15"/>
  <c r="H67" i="15"/>
  <c r="H85" i="15"/>
  <c r="H84" i="15"/>
  <c r="H53" i="15"/>
  <c r="H82" i="15"/>
  <c r="H87" i="15"/>
  <c r="H54" i="15"/>
  <c r="H80" i="15"/>
  <c r="H49" i="15"/>
  <c r="H93" i="15"/>
  <c r="H90" i="15"/>
  <c r="H69" i="15"/>
  <c r="J83" i="15"/>
  <c r="M70" i="15"/>
  <c r="G91" i="15"/>
  <c r="L49" i="15"/>
  <c r="L65" i="15"/>
  <c r="L64" i="15"/>
  <c r="L74" i="15"/>
  <c r="L56" i="15"/>
  <c r="L61" i="15"/>
  <c r="L60" i="15"/>
  <c r="L55" i="15"/>
  <c r="L86" i="15"/>
  <c r="L76" i="15"/>
  <c r="L94" i="15"/>
  <c r="L53" i="15"/>
  <c r="L54" i="15"/>
  <c r="L57" i="15"/>
  <c r="L71" i="15"/>
  <c r="L51" i="15"/>
  <c r="L80" i="15"/>
  <c r="L66" i="15"/>
  <c r="L79" i="15"/>
  <c r="L78" i="15"/>
  <c r="L82" i="15"/>
  <c r="L92" i="15"/>
  <c r="L77" i="15"/>
  <c r="L85" i="15"/>
  <c r="L63" i="15"/>
  <c r="L68" i="15"/>
  <c r="L72" i="15"/>
  <c r="L58" i="15"/>
  <c r="L67" i="15"/>
  <c r="L70" i="15"/>
  <c r="L93" i="15"/>
  <c r="L52" i="15"/>
  <c r="L81" i="15"/>
  <c r="L91" i="15"/>
  <c r="L88" i="15"/>
  <c r="L87" i="15"/>
  <c r="L50" i="15"/>
  <c r="L89" i="15"/>
  <c r="L83" i="15"/>
  <c r="L59" i="15"/>
  <c r="L84" i="15"/>
  <c r="F74" i="15"/>
  <c r="O85" i="15"/>
  <c r="P80" i="15"/>
  <c r="P86" i="15"/>
  <c r="P77" i="15"/>
  <c r="P64" i="15"/>
  <c r="P83" i="15"/>
  <c r="P53" i="15"/>
  <c r="P88" i="15"/>
  <c r="P61" i="15"/>
  <c r="P58" i="15"/>
  <c r="P78" i="15"/>
  <c r="P75" i="15"/>
  <c r="P52" i="15"/>
  <c r="P76" i="15"/>
  <c r="P50" i="15"/>
  <c r="P54" i="15"/>
  <c r="P49" i="15"/>
  <c r="P82" i="15"/>
  <c r="P84" i="15"/>
  <c r="P87" i="15"/>
  <c r="P69" i="15"/>
  <c r="P60" i="15"/>
  <c r="P59" i="15"/>
  <c r="P79" i="15"/>
  <c r="P90" i="15"/>
  <c r="P71" i="15"/>
  <c r="P68" i="15"/>
  <c r="P72" i="15"/>
  <c r="P89" i="15"/>
  <c r="P94" i="15"/>
  <c r="P63" i="15"/>
  <c r="P62" i="15"/>
  <c r="P91" i="15"/>
  <c r="P67" i="15"/>
  <c r="P85" i="15"/>
  <c r="P74" i="15"/>
  <c r="P93" i="15"/>
  <c r="P70" i="15"/>
  <c r="E56" i="15"/>
  <c r="E82" i="15"/>
  <c r="E92" i="15"/>
  <c r="E91" i="15"/>
  <c r="E75" i="15"/>
  <c r="E78" i="15"/>
  <c r="E51" i="15"/>
  <c r="E85" i="15"/>
  <c r="E62" i="15"/>
  <c r="E66" i="15"/>
  <c r="E71" i="15"/>
  <c r="E61" i="15"/>
  <c r="E60" i="15"/>
  <c r="E63" i="15"/>
  <c r="E81" i="15"/>
  <c r="E89" i="15"/>
  <c r="E77" i="15"/>
  <c r="E54" i="15"/>
  <c r="E58" i="15"/>
  <c r="E52" i="15"/>
  <c r="E55" i="15"/>
  <c r="E88" i="15"/>
  <c r="E57" i="15"/>
  <c r="E80" i="15"/>
  <c r="E72" i="15"/>
  <c r="E64" i="15"/>
  <c r="E74" i="15"/>
  <c r="E93" i="15"/>
  <c r="E59" i="15"/>
  <c r="E67" i="15"/>
  <c r="E83" i="15"/>
  <c r="E86" i="15"/>
  <c r="E68" i="15"/>
  <c r="E94" i="15"/>
  <c r="E50" i="15"/>
  <c r="E53" i="15"/>
  <c r="E76" i="15"/>
  <c r="E65" i="15"/>
  <c r="E69" i="15"/>
  <c r="E90" i="15"/>
  <c r="G59" i="15"/>
  <c r="J52" i="15"/>
  <c r="D64" i="15"/>
  <c r="D85" i="15"/>
  <c r="D93" i="15"/>
  <c r="D63" i="15"/>
  <c r="D56" i="15"/>
  <c r="D94" i="15"/>
  <c r="D61" i="15"/>
  <c r="D77" i="15"/>
  <c r="D54" i="15"/>
  <c r="D57" i="15"/>
  <c r="D71" i="15"/>
  <c r="D51" i="15"/>
  <c r="D50" i="15"/>
  <c r="D89" i="15"/>
  <c r="D68" i="15"/>
  <c r="D70" i="15"/>
  <c r="D58" i="15"/>
  <c r="D80" i="15"/>
  <c r="D72" i="15"/>
  <c r="D52" i="15"/>
  <c r="D53" i="15"/>
  <c r="D83" i="15"/>
  <c r="D81" i="15"/>
  <c r="D91" i="15"/>
  <c r="D88" i="15"/>
  <c r="D86" i="15"/>
  <c r="D60" i="15"/>
  <c r="D74" i="15"/>
  <c r="D67" i="15"/>
  <c r="D76" i="15"/>
  <c r="D49" i="15"/>
  <c r="D66" i="15"/>
  <c r="D82" i="15"/>
  <c r="D92" i="15"/>
  <c r="D87" i="15"/>
  <c r="D65" i="15"/>
  <c r="D55" i="15"/>
  <c r="D59" i="15"/>
  <c r="D84" i="15"/>
  <c r="D79" i="15"/>
  <c r="D78" i="15"/>
  <c r="N53" i="15"/>
  <c r="N87" i="15"/>
  <c r="N71" i="15"/>
  <c r="N52" i="15"/>
  <c r="N51" i="15"/>
  <c r="N55" i="15"/>
  <c r="N72" i="15"/>
  <c r="N64" i="15"/>
  <c r="N86" i="15"/>
  <c r="N76" i="15"/>
  <c r="N79" i="15"/>
  <c r="N89" i="15"/>
  <c r="N93" i="15"/>
  <c r="N60" i="15"/>
  <c r="N83" i="15"/>
  <c r="N78" i="15"/>
  <c r="N68" i="15"/>
  <c r="N54" i="15"/>
  <c r="N56" i="15"/>
  <c r="N81" i="15"/>
  <c r="N92" i="15"/>
  <c r="N49" i="15"/>
  <c r="N75" i="15"/>
  <c r="N61" i="15"/>
  <c r="N82" i="15"/>
  <c r="N90" i="15"/>
  <c r="N77" i="15"/>
  <c r="N70" i="15"/>
  <c r="N65" i="15"/>
  <c r="N63" i="15"/>
  <c r="N85" i="15"/>
  <c r="N84" i="15"/>
  <c r="N50" i="15"/>
  <c r="N57" i="15"/>
  <c r="N59" i="15"/>
  <c r="N66" i="15"/>
  <c r="N62" i="15"/>
  <c r="N91" i="15"/>
  <c r="N67" i="15"/>
  <c r="N69" i="15"/>
  <c r="N74" i="15"/>
  <c r="H66" i="15"/>
  <c r="I68" i="15"/>
  <c r="P65" i="15"/>
  <c r="F88" i="15"/>
  <c r="J77" i="15"/>
  <c r="L90" i="15"/>
  <c r="J86" i="15"/>
  <c r="AE43" i="15" l="1"/>
  <c r="M185" i="15" s="1"/>
  <c r="M192" i="15" s="1"/>
  <c r="AJ39" i="15"/>
  <c r="AJ40" i="15"/>
  <c r="AF43" i="15"/>
  <c r="N185" i="15" s="1"/>
  <c r="N192" i="15" s="1"/>
  <c r="AA43" i="15"/>
  <c r="I185" i="15" s="1"/>
  <c r="I192" i="15" s="1"/>
  <c r="AH43" i="15"/>
  <c r="P185" i="15" s="1"/>
  <c r="P192" i="15" s="1"/>
  <c r="W43" i="15"/>
  <c r="E185" i="15" s="1"/>
  <c r="E192" i="15" s="1"/>
  <c r="Y43" i="15"/>
  <c r="G185" i="15" s="1"/>
  <c r="G192" i="15" s="1"/>
  <c r="X43" i="15"/>
  <c r="F185" i="15" s="1"/>
  <c r="F192" i="15" s="1"/>
  <c r="AC43" i="15"/>
  <c r="K185" i="15" s="1"/>
  <c r="K192" i="15" s="1"/>
  <c r="AI43" i="15"/>
  <c r="Q185" i="15" s="1"/>
  <c r="Q192" i="15" s="1"/>
  <c r="U43" i="15"/>
  <c r="C185" i="15" s="1"/>
  <c r="Z43" i="15"/>
  <c r="H185" i="15" s="1"/>
  <c r="H192" i="15" s="1"/>
  <c r="V43" i="15"/>
  <c r="D185" i="15" s="1"/>
  <c r="D192" i="15" s="1"/>
  <c r="AG43" i="15"/>
  <c r="O185" i="15" s="1"/>
  <c r="O192" i="15" s="1"/>
  <c r="AB43" i="15"/>
  <c r="J185" i="15" s="1"/>
  <c r="J192" i="15" s="1"/>
  <c r="AD43" i="15"/>
  <c r="L185" i="15" s="1"/>
  <c r="L192" i="15" s="1"/>
  <c r="R92" i="15"/>
  <c r="R61" i="15"/>
  <c r="R63" i="15"/>
  <c r="R60" i="15"/>
  <c r="R82" i="15"/>
  <c r="R57" i="15"/>
  <c r="D30" i="15"/>
  <c r="O30" i="15"/>
  <c r="Q30" i="15"/>
  <c r="E30" i="15"/>
  <c r="P30" i="15"/>
  <c r="O28" i="15"/>
  <c r="G30" i="15"/>
  <c r="M30" i="15"/>
  <c r="K30" i="15"/>
  <c r="L30" i="15"/>
  <c r="R87" i="15"/>
  <c r="R85" i="15"/>
  <c r="I30" i="15"/>
  <c r="H30" i="15"/>
  <c r="G28" i="15"/>
  <c r="M37" i="15"/>
  <c r="R66" i="15"/>
  <c r="R77" i="15"/>
  <c r="N30" i="15"/>
  <c r="F30" i="15"/>
  <c r="J30" i="15"/>
  <c r="C21" i="15"/>
  <c r="R56" i="15"/>
  <c r="R64" i="15"/>
  <c r="R91" i="15"/>
  <c r="R93" i="15"/>
  <c r="R65" i="15"/>
  <c r="R54" i="15"/>
  <c r="P20" i="15"/>
  <c r="R53" i="15"/>
  <c r="R67" i="15"/>
  <c r="R90" i="15"/>
  <c r="R76" i="15"/>
  <c r="R55" i="15"/>
  <c r="R58" i="15"/>
  <c r="R50" i="15"/>
  <c r="R72" i="15"/>
  <c r="R80" i="15"/>
  <c r="R89" i="15"/>
  <c r="R49" i="15"/>
  <c r="R51" i="15"/>
  <c r="R83" i="15"/>
  <c r="R75" i="15"/>
  <c r="R71" i="15"/>
  <c r="R81" i="15"/>
  <c r="R52" i="15"/>
  <c r="R21" i="15" s="1"/>
  <c r="R79" i="15"/>
  <c r="R59" i="15"/>
  <c r="R62" i="15"/>
  <c r="R69" i="15"/>
  <c r="R84" i="15"/>
  <c r="R86" i="15"/>
  <c r="R35" i="15" s="1"/>
  <c r="R68" i="15"/>
  <c r="R30" i="15" s="1"/>
  <c r="R94" i="15"/>
  <c r="R70" i="15"/>
  <c r="R74" i="15"/>
  <c r="R88" i="15"/>
  <c r="D28" i="15"/>
  <c r="F35" i="15"/>
  <c r="F29" i="15"/>
  <c r="O26" i="15"/>
  <c r="I26" i="15"/>
  <c r="N38" i="15"/>
  <c r="N35" i="15"/>
  <c r="D36" i="15"/>
  <c r="D21" i="15"/>
  <c r="D22" i="15"/>
  <c r="E33" i="15"/>
  <c r="E232" i="15" s="1"/>
  <c r="E26" i="15"/>
  <c r="E38" i="15"/>
  <c r="P33" i="15"/>
  <c r="P232" i="15" s="1"/>
  <c r="P32" i="15"/>
  <c r="L32" i="15"/>
  <c r="L24" i="15"/>
  <c r="H19" i="15"/>
  <c r="H22" i="15"/>
  <c r="H35" i="15"/>
  <c r="F22" i="15"/>
  <c r="O37" i="15"/>
  <c r="G21" i="15"/>
  <c r="G24" i="15"/>
  <c r="Q38" i="15"/>
  <c r="P29" i="15"/>
  <c r="M21" i="15"/>
  <c r="M28" i="15"/>
  <c r="M23" i="15"/>
  <c r="K32" i="15"/>
  <c r="K25" i="15"/>
  <c r="K23" i="15"/>
  <c r="K34" i="15"/>
  <c r="O23" i="15"/>
  <c r="N19" i="15"/>
  <c r="D32" i="15"/>
  <c r="E35" i="15"/>
  <c r="H34" i="15"/>
  <c r="J26" i="15"/>
  <c r="I33" i="15"/>
  <c r="I232" i="15" s="1"/>
  <c r="H29" i="15"/>
  <c r="N25" i="15"/>
  <c r="N21" i="15"/>
  <c r="D38" i="15"/>
  <c r="D24" i="15"/>
  <c r="E24" i="15"/>
  <c r="P21" i="15"/>
  <c r="L21" i="15"/>
  <c r="L38" i="15"/>
  <c r="L28" i="15"/>
  <c r="L33" i="15"/>
  <c r="L232" i="15" s="1"/>
  <c r="H23" i="15"/>
  <c r="H32" i="15"/>
  <c r="H37" i="15"/>
  <c r="F38" i="15"/>
  <c r="F32" i="15"/>
  <c r="F21" i="15"/>
  <c r="J31" i="15"/>
  <c r="O34" i="15"/>
  <c r="O24" i="15"/>
  <c r="O22" i="15"/>
  <c r="I21" i="15"/>
  <c r="Q33" i="15"/>
  <c r="Q232" i="15" s="1"/>
  <c r="G31" i="15"/>
  <c r="G38" i="15"/>
  <c r="G33" i="15"/>
  <c r="G232" i="15" s="1"/>
  <c r="M38" i="15"/>
  <c r="K33" i="15"/>
  <c r="K232" i="15" s="1"/>
  <c r="C38" i="15"/>
  <c r="M36" i="15"/>
  <c r="I25" i="15"/>
  <c r="L26" i="15"/>
  <c r="N33" i="15"/>
  <c r="N232" i="15" s="1"/>
  <c r="D27" i="15"/>
  <c r="H20" i="15"/>
  <c r="F36" i="15"/>
  <c r="F24" i="15"/>
  <c r="J25" i="15"/>
  <c r="O32" i="15"/>
  <c r="G25" i="15"/>
  <c r="M35" i="15"/>
  <c r="L31" i="15"/>
  <c r="N24" i="15"/>
  <c r="N34" i="15"/>
  <c r="N23" i="15"/>
  <c r="D20" i="15"/>
  <c r="J21" i="15"/>
  <c r="E25" i="15"/>
  <c r="P37" i="15"/>
  <c r="L22" i="15"/>
  <c r="L35" i="15"/>
  <c r="H33" i="15"/>
  <c r="H232" i="15" s="1"/>
  <c r="M20" i="15"/>
  <c r="J19" i="15"/>
  <c r="J36" i="15"/>
  <c r="J24" i="15"/>
  <c r="O35" i="15"/>
  <c r="O27" i="15"/>
  <c r="O36" i="15"/>
  <c r="O33" i="15"/>
  <c r="O232" i="15" s="1"/>
  <c r="I20" i="15"/>
  <c r="I19" i="15"/>
  <c r="G34" i="15"/>
  <c r="G36" i="15"/>
  <c r="G35" i="15"/>
  <c r="G27" i="15"/>
  <c r="Q19" i="15"/>
  <c r="Q27" i="15"/>
  <c r="Q28" i="15"/>
  <c r="E32" i="15"/>
  <c r="M31" i="15"/>
  <c r="M29" i="15"/>
  <c r="K31" i="15"/>
  <c r="K37" i="15"/>
  <c r="H24" i="15"/>
  <c r="N20" i="15"/>
  <c r="D33" i="15"/>
  <c r="D232" i="15" s="1"/>
  <c r="P36" i="15"/>
  <c r="J32" i="15"/>
  <c r="G22" i="15"/>
  <c r="N26" i="15"/>
  <c r="N37" i="15"/>
  <c r="N27" i="15"/>
  <c r="N36" i="15"/>
  <c r="D34" i="15"/>
  <c r="D29" i="15"/>
  <c r="E28" i="15"/>
  <c r="E22" i="15"/>
  <c r="E37" i="15"/>
  <c r="E34" i="15"/>
  <c r="L34" i="15"/>
  <c r="L27" i="15"/>
  <c r="H25" i="15"/>
  <c r="F19" i="15"/>
  <c r="F34" i="15"/>
  <c r="F25" i="15"/>
  <c r="F27" i="15"/>
  <c r="J23" i="15"/>
  <c r="J28" i="15"/>
  <c r="O25" i="15"/>
  <c r="O38" i="15"/>
  <c r="O31" i="15"/>
  <c r="I37" i="15"/>
  <c r="G29" i="15"/>
  <c r="Q32" i="15"/>
  <c r="Q23" i="15"/>
  <c r="M22" i="15"/>
  <c r="P24" i="15"/>
  <c r="K26" i="15"/>
  <c r="K28" i="15"/>
  <c r="K22" i="15"/>
  <c r="K38" i="15"/>
  <c r="K27" i="15"/>
  <c r="E23" i="15"/>
  <c r="Q25" i="15"/>
  <c r="N31" i="15"/>
  <c r="N28" i="15"/>
  <c r="D25" i="15"/>
  <c r="P19" i="15"/>
  <c r="L20" i="15"/>
  <c r="L36" i="15"/>
  <c r="L19" i="15"/>
  <c r="H31" i="15"/>
  <c r="H28" i="15"/>
  <c r="H26" i="15"/>
  <c r="H27" i="15"/>
  <c r="H21" i="15"/>
  <c r="F31" i="15"/>
  <c r="J29" i="15"/>
  <c r="J34" i="15"/>
  <c r="J37" i="15"/>
  <c r="I29" i="15"/>
  <c r="I23" i="15"/>
  <c r="I34" i="15"/>
  <c r="G32" i="15"/>
  <c r="E36" i="15"/>
  <c r="Q29" i="15"/>
  <c r="Q20" i="15"/>
  <c r="Q24" i="15"/>
  <c r="M33" i="15"/>
  <c r="M232" i="15" s="1"/>
  <c r="M27" i="15"/>
  <c r="K36" i="15"/>
  <c r="K19" i="15"/>
  <c r="K35" i="15"/>
  <c r="G23" i="15"/>
  <c r="M19" i="15"/>
  <c r="N32" i="15"/>
  <c r="P27" i="15"/>
  <c r="O19" i="15"/>
  <c r="I36" i="15"/>
  <c r="E19" i="15"/>
  <c r="D31" i="15"/>
  <c r="J35" i="15"/>
  <c r="N29" i="15"/>
  <c r="D35" i="15"/>
  <c r="E29" i="15"/>
  <c r="P28" i="15"/>
  <c r="P22" i="15"/>
  <c r="P25" i="15"/>
  <c r="P35" i="15"/>
  <c r="L37" i="15"/>
  <c r="L25" i="15"/>
  <c r="L23" i="15"/>
  <c r="F37" i="15"/>
  <c r="F33" i="15"/>
  <c r="F232" i="15" s="1"/>
  <c r="F20" i="15"/>
  <c r="F28" i="15"/>
  <c r="F23" i="15"/>
  <c r="F26" i="15"/>
  <c r="J27" i="15"/>
  <c r="J33" i="15"/>
  <c r="J232" i="15" s="1"/>
  <c r="O29" i="15"/>
  <c r="O21" i="15"/>
  <c r="I38" i="15"/>
  <c r="I35" i="15"/>
  <c r="I24" i="15"/>
  <c r="G37" i="15"/>
  <c r="G26" i="15"/>
  <c r="G20" i="15"/>
  <c r="G19" i="15"/>
  <c r="M32" i="15"/>
  <c r="Q35" i="15"/>
  <c r="Q31" i="15"/>
  <c r="Q26" i="15"/>
  <c r="Q37" i="15"/>
  <c r="Q21" i="15"/>
  <c r="H38" i="15"/>
  <c r="M26" i="15"/>
  <c r="M34" i="15"/>
  <c r="M24" i="15"/>
  <c r="E20" i="15"/>
  <c r="K20" i="15"/>
  <c r="K24" i="15"/>
  <c r="Q22" i="15"/>
  <c r="D26" i="15"/>
  <c r="E21" i="15"/>
  <c r="N22" i="15"/>
  <c r="D23" i="15"/>
  <c r="D19" i="15"/>
  <c r="D37" i="15"/>
  <c r="E31" i="15"/>
  <c r="E27" i="15"/>
  <c r="P26" i="15"/>
  <c r="P31" i="15"/>
  <c r="P34" i="15"/>
  <c r="P23" i="15"/>
  <c r="L29" i="15"/>
  <c r="H36" i="15"/>
  <c r="J38" i="15"/>
  <c r="J20" i="15"/>
  <c r="J22" i="15"/>
  <c r="O20" i="15"/>
  <c r="I32" i="15"/>
  <c r="I28" i="15"/>
  <c r="I31" i="15"/>
  <c r="I27" i="15"/>
  <c r="P38" i="15"/>
  <c r="Q36" i="15"/>
  <c r="Q34" i="15"/>
  <c r="M25" i="15"/>
  <c r="K21" i="15"/>
  <c r="K29" i="15"/>
  <c r="I22" i="15"/>
  <c r="C28" i="15"/>
  <c r="C31" i="15"/>
  <c r="C37" i="15"/>
  <c r="C36" i="15"/>
  <c r="C35" i="15"/>
  <c r="C33" i="15"/>
  <c r="C232" i="15" s="1"/>
  <c r="C32" i="15"/>
  <c r="C27" i="15"/>
  <c r="C26" i="15"/>
  <c r="C25" i="15"/>
  <c r="C24" i="15"/>
  <c r="C23" i="15"/>
  <c r="C22" i="15"/>
  <c r="C19" i="15"/>
  <c r="C30" i="15"/>
  <c r="C20" i="15"/>
  <c r="C29" i="15"/>
  <c r="C34" i="15"/>
  <c r="F95" i="15"/>
  <c r="M95" i="15"/>
  <c r="C95" i="15"/>
  <c r="N95" i="15"/>
  <c r="L95" i="15"/>
  <c r="J95" i="15"/>
  <c r="I95" i="15"/>
  <c r="Q95" i="15"/>
  <c r="E95" i="15"/>
  <c r="G95" i="15"/>
  <c r="D95" i="15"/>
  <c r="P95" i="15"/>
  <c r="H95" i="15"/>
  <c r="O95" i="15"/>
  <c r="K95" i="15"/>
  <c r="M41" i="15" l="1"/>
  <c r="H41" i="15"/>
  <c r="L41" i="15"/>
  <c r="L42" i="15"/>
  <c r="G42" i="15"/>
  <c r="J42" i="15"/>
  <c r="O42" i="15"/>
  <c r="P42" i="15"/>
  <c r="E41" i="15"/>
  <c r="F41" i="15"/>
  <c r="K42" i="15"/>
  <c r="D41" i="15"/>
  <c r="K41" i="15"/>
  <c r="C41" i="15"/>
  <c r="I42" i="15"/>
  <c r="M42" i="15"/>
  <c r="O41" i="15"/>
  <c r="H42" i="15"/>
  <c r="Q42" i="15"/>
  <c r="F42" i="15"/>
  <c r="I41" i="15"/>
  <c r="G41" i="15"/>
  <c r="D42" i="15"/>
  <c r="P41" i="15"/>
  <c r="C42" i="15"/>
  <c r="E42" i="15"/>
  <c r="J41" i="15"/>
  <c r="N42" i="15"/>
  <c r="Q41" i="15"/>
  <c r="N41" i="15"/>
  <c r="D40" i="15"/>
  <c r="E40" i="15"/>
  <c r="I40" i="15"/>
  <c r="K40" i="15"/>
  <c r="L40" i="15"/>
  <c r="C40" i="15"/>
  <c r="F40" i="15"/>
  <c r="P40" i="15"/>
  <c r="N40" i="15"/>
  <c r="Q40" i="15"/>
  <c r="G40" i="15"/>
  <c r="H40" i="15"/>
  <c r="M40" i="15"/>
  <c r="O40" i="15"/>
  <c r="J40" i="15"/>
  <c r="C192" i="15"/>
  <c r="B185" i="15"/>
  <c r="B192" i="15" s="1"/>
  <c r="AJ43" i="15"/>
  <c r="AG117" i="15"/>
  <c r="T117" i="15"/>
  <c r="W117" i="15"/>
  <c r="U117" i="15"/>
  <c r="AH117" i="15"/>
  <c r="AD117" i="15"/>
  <c r="AF117" i="15"/>
  <c r="Y117" i="15"/>
  <c r="AB117" i="15"/>
  <c r="AA117" i="15"/>
  <c r="AC117" i="15"/>
  <c r="V117" i="15"/>
  <c r="X117" i="15"/>
  <c r="AE117" i="15"/>
  <c r="Z117" i="15"/>
  <c r="C102" i="15"/>
  <c r="G103" i="15"/>
  <c r="H114" i="15"/>
  <c r="Q102" i="15"/>
  <c r="N107" i="15"/>
  <c r="L117" i="15"/>
  <c r="N104" i="15"/>
  <c r="N102" i="15"/>
  <c r="M104" i="15"/>
  <c r="H105" i="15"/>
  <c r="M113" i="15"/>
  <c r="E113" i="15"/>
  <c r="C107" i="15"/>
  <c r="J103" i="15"/>
  <c r="E110" i="15"/>
  <c r="Q105" i="15"/>
  <c r="Q104" i="15"/>
  <c r="G109" i="15"/>
  <c r="J110" i="15"/>
  <c r="L108" i="15"/>
  <c r="N112" i="15"/>
  <c r="M102" i="15"/>
  <c r="Q103" i="15"/>
  <c r="L102" i="15"/>
  <c r="E106" i="15"/>
  <c r="Q106" i="15"/>
  <c r="J106" i="15"/>
  <c r="G110" i="15"/>
  <c r="O110" i="15"/>
  <c r="L105" i="15"/>
  <c r="L114" i="15"/>
  <c r="D110" i="15"/>
  <c r="G117" i="15"/>
  <c r="J114" i="15"/>
  <c r="N108" i="15"/>
  <c r="O106" i="15"/>
  <c r="P112" i="15"/>
  <c r="H102" i="15"/>
  <c r="D105" i="15"/>
  <c r="N113" i="15"/>
  <c r="C112" i="15"/>
  <c r="C108" i="15"/>
  <c r="C114" i="15"/>
  <c r="E114" i="15"/>
  <c r="K107" i="15"/>
  <c r="F109" i="15"/>
  <c r="G106" i="15"/>
  <c r="Q112" i="15"/>
  <c r="J112" i="15"/>
  <c r="K110" i="15"/>
  <c r="F110" i="15"/>
  <c r="N109" i="15"/>
  <c r="K114" i="15"/>
  <c r="N117" i="15"/>
  <c r="F104" i="15"/>
  <c r="H112" i="15"/>
  <c r="L107" i="15"/>
  <c r="D104" i="15"/>
  <c r="G113" i="15"/>
  <c r="Q113" i="15"/>
  <c r="C106" i="15"/>
  <c r="J105" i="15"/>
  <c r="D109" i="15"/>
  <c r="J117" i="15"/>
  <c r="M105" i="15"/>
  <c r="N110" i="15"/>
  <c r="H103" i="15"/>
  <c r="E117" i="15"/>
  <c r="C103" i="15"/>
  <c r="K103" i="15"/>
  <c r="I107" i="15"/>
  <c r="L103" i="15"/>
  <c r="G112" i="15"/>
  <c r="E105" i="15"/>
  <c r="M112" i="15"/>
  <c r="J107" i="15"/>
  <c r="G108" i="15"/>
  <c r="I117" i="15"/>
  <c r="G107" i="15"/>
  <c r="C104" i="15"/>
  <c r="C113" i="15"/>
  <c r="C110" i="15"/>
  <c r="I105" i="15"/>
  <c r="I114" i="15"/>
  <c r="L112" i="15"/>
  <c r="D102" i="15"/>
  <c r="E103" i="15"/>
  <c r="Q114" i="15"/>
  <c r="P108" i="15"/>
  <c r="E102" i="15"/>
  <c r="K102" i="15"/>
  <c r="H104" i="15"/>
  <c r="P102" i="15"/>
  <c r="K105" i="15"/>
  <c r="M114" i="15"/>
  <c r="J104" i="15"/>
  <c r="I108" i="15"/>
  <c r="Q117" i="15"/>
  <c r="P104" i="15"/>
  <c r="J109" i="15"/>
  <c r="K108" i="15"/>
  <c r="G104" i="15"/>
  <c r="L113" i="15"/>
  <c r="O113" i="15"/>
  <c r="K112" i="15"/>
  <c r="P106" i="15"/>
  <c r="D106" i="15"/>
  <c r="M107" i="15"/>
  <c r="F103" i="15"/>
  <c r="P105" i="15"/>
  <c r="H110" i="15"/>
  <c r="D108" i="15"/>
  <c r="O114" i="15"/>
  <c r="F102" i="15"/>
  <c r="D112" i="15"/>
  <c r="I102" i="15"/>
  <c r="J102" i="15"/>
  <c r="D103" i="15"/>
  <c r="J108" i="15"/>
  <c r="I104" i="15"/>
  <c r="E107" i="15"/>
  <c r="P117" i="15"/>
  <c r="J113" i="15"/>
  <c r="H113" i="15"/>
  <c r="P109" i="15"/>
  <c r="L106" i="15"/>
  <c r="Q107" i="15"/>
  <c r="Q108" i="15"/>
  <c r="H107" i="15"/>
  <c r="F112" i="15"/>
  <c r="C109" i="15"/>
  <c r="I110" i="15"/>
  <c r="Q109" i="15"/>
  <c r="F106" i="15"/>
  <c r="D114" i="15"/>
  <c r="F114" i="15"/>
  <c r="F108" i="15"/>
  <c r="G105" i="15"/>
  <c r="E108" i="15"/>
  <c r="L109" i="15"/>
  <c r="G114" i="15"/>
  <c r="L104" i="15"/>
  <c r="K106" i="15"/>
  <c r="P103" i="15"/>
  <c r="C117" i="15"/>
  <c r="K104" i="15"/>
  <c r="N105" i="15"/>
  <c r="O104" i="15"/>
  <c r="F117" i="15"/>
  <c r="O102" i="15"/>
  <c r="M110" i="15"/>
  <c r="I106" i="15"/>
  <c r="H109" i="15"/>
  <c r="K109" i="15"/>
  <c r="H108" i="15"/>
  <c r="D117" i="15"/>
  <c r="I103" i="15"/>
  <c r="M103" i="15"/>
  <c r="N106" i="15"/>
  <c r="F107" i="15"/>
  <c r="O105" i="15"/>
  <c r="D107" i="15"/>
  <c r="M106" i="15"/>
  <c r="F105" i="15"/>
  <c r="I109" i="15"/>
  <c r="K113" i="15"/>
  <c r="P113" i="15"/>
  <c r="D113" i="15"/>
  <c r="C105" i="15"/>
  <c r="M108" i="15"/>
  <c r="O103" i="15"/>
  <c r="P114" i="15"/>
  <c r="E104" i="15"/>
  <c r="M109" i="15"/>
  <c r="G102" i="15"/>
  <c r="O112" i="15"/>
  <c r="E112" i="15"/>
  <c r="P110" i="15"/>
  <c r="M117" i="15"/>
  <c r="I112" i="15"/>
  <c r="N114" i="15"/>
  <c r="P107" i="15"/>
  <c r="O108" i="15"/>
  <c r="L110" i="15"/>
  <c r="N103" i="15"/>
  <c r="Q110" i="15"/>
  <c r="O117" i="15"/>
  <c r="H117" i="15"/>
  <c r="K117" i="15"/>
  <c r="O107" i="15"/>
  <c r="H106" i="15"/>
  <c r="E109" i="15"/>
  <c r="O109" i="15"/>
  <c r="F113" i="15"/>
  <c r="I113" i="15"/>
  <c r="R29" i="15"/>
  <c r="R31" i="15"/>
  <c r="R26" i="15"/>
  <c r="R25" i="15"/>
  <c r="R36" i="15"/>
  <c r="R22" i="15"/>
  <c r="R34" i="15"/>
  <c r="R38" i="15"/>
  <c r="R24" i="15"/>
  <c r="R33" i="15"/>
  <c r="R23" i="15"/>
  <c r="R95" i="15"/>
  <c r="R19" i="15"/>
  <c r="R27" i="15"/>
  <c r="R20" i="15"/>
  <c r="R28" i="15"/>
  <c r="R37" i="15"/>
  <c r="R32" i="15"/>
  <c r="F39" i="15"/>
  <c r="P39" i="15"/>
  <c r="G39" i="15"/>
  <c r="E39" i="15"/>
  <c r="K39" i="15"/>
  <c r="L39" i="15"/>
  <c r="N39" i="15"/>
  <c r="M39" i="15"/>
  <c r="Q39" i="15"/>
  <c r="H39" i="15"/>
  <c r="D39" i="15"/>
  <c r="O39" i="15"/>
  <c r="I39" i="15"/>
  <c r="J39" i="15"/>
  <c r="C39" i="15"/>
  <c r="R41" i="15" l="1"/>
  <c r="R42" i="15"/>
  <c r="R40" i="15"/>
  <c r="F43" i="15"/>
  <c r="M43" i="15"/>
  <c r="N43" i="15"/>
  <c r="C43" i="15"/>
  <c r="L43" i="15"/>
  <c r="E43" i="15"/>
  <c r="J43" i="15"/>
  <c r="D43" i="15"/>
  <c r="H43" i="15"/>
  <c r="I43" i="15"/>
  <c r="P43" i="15"/>
  <c r="Q43" i="15"/>
  <c r="G43" i="15"/>
  <c r="K43" i="15"/>
  <c r="O43" i="15"/>
  <c r="C123" i="15"/>
  <c r="H123" i="15"/>
  <c r="Q123" i="15"/>
  <c r="J123" i="15"/>
  <c r="D123" i="15"/>
  <c r="P123" i="15"/>
  <c r="E123" i="15"/>
  <c r="L123" i="15"/>
  <c r="N123" i="15"/>
  <c r="O123" i="15"/>
  <c r="G123" i="15"/>
  <c r="I123" i="15"/>
  <c r="F123" i="15"/>
  <c r="K123" i="15"/>
  <c r="M123" i="15"/>
  <c r="R39" i="15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K34" i="7"/>
  <c r="K21" i="7"/>
  <c r="C196" i="15" l="1" a="1"/>
  <c r="B4" i="8"/>
  <c r="R43" i="15"/>
  <c r="G14" i="8"/>
  <c r="G13" i="8"/>
  <c r="G12" i="8"/>
  <c r="G15" i="8"/>
  <c r="G8" i="8"/>
  <c r="G11" i="8"/>
  <c r="G9" i="8"/>
  <c r="G10" i="8"/>
  <c r="E196" i="15" l="1"/>
  <c r="E200" i="15" s="1"/>
  <c r="J196" i="15"/>
  <c r="J200" i="15" s="1"/>
  <c r="Q196" i="15"/>
  <c r="Q200" i="15" s="1"/>
  <c r="M196" i="15"/>
  <c r="M200" i="15" s="1"/>
  <c r="D196" i="15"/>
  <c r="D200" i="15" s="1"/>
  <c r="P196" i="15"/>
  <c r="P200" i="15" s="1"/>
  <c r="H196" i="15"/>
  <c r="H200" i="15" s="1"/>
  <c r="K196" i="15"/>
  <c r="K200" i="15" s="1"/>
  <c r="O196" i="15"/>
  <c r="O200" i="15" s="1"/>
  <c r="G196" i="15"/>
  <c r="G200" i="15" s="1"/>
  <c r="N196" i="15"/>
  <c r="N200" i="15" s="1"/>
  <c r="F196" i="15"/>
  <c r="F200" i="15" s="1"/>
  <c r="L196" i="15"/>
  <c r="L200" i="15" s="1"/>
  <c r="C196" i="15"/>
  <c r="I196" i="15"/>
  <c r="I200" i="15" s="1"/>
  <c r="G7" i="8"/>
  <c r="H7" i="8" s="1"/>
  <c r="H203" i="15" l="1"/>
  <c r="H207" i="15"/>
  <c r="O203" i="15"/>
  <c r="O207" i="15"/>
  <c r="P207" i="15"/>
  <c r="P203" i="15"/>
  <c r="D207" i="15"/>
  <c r="D203" i="15"/>
  <c r="M203" i="15"/>
  <c r="M207" i="15"/>
  <c r="E203" i="15"/>
  <c r="E207" i="15"/>
  <c r="K203" i="15"/>
  <c r="K207" i="15"/>
  <c r="B196" i="15"/>
  <c r="B200" i="15" s="1"/>
  <c r="C200" i="15"/>
  <c r="F207" i="15"/>
  <c r="F203" i="15"/>
  <c r="N203" i="15"/>
  <c r="N207" i="15"/>
  <c r="Q203" i="15"/>
  <c r="Q207" i="15"/>
  <c r="I207" i="15"/>
  <c r="I203" i="15"/>
  <c r="L203" i="15"/>
  <c r="L207" i="15"/>
  <c r="G203" i="15"/>
  <c r="G207" i="15"/>
  <c r="J203" i="15"/>
  <c r="J207" i="15"/>
  <c r="H13" i="8"/>
  <c r="H12" i="8"/>
  <c r="H15" i="8"/>
  <c r="H8" i="8"/>
  <c r="H10" i="8"/>
  <c r="H11" i="8"/>
  <c r="H14" i="8"/>
  <c r="H9" i="8"/>
  <c r="L210" i="15" l="1"/>
  <c r="L211" i="15" s="1"/>
  <c r="L222" i="15"/>
  <c r="L218" i="15"/>
  <c r="L226" i="15"/>
  <c r="L224" i="15"/>
  <c r="L223" i="15"/>
  <c r="L228" i="15"/>
  <c r="L230" i="15"/>
  <c r="L225" i="15"/>
  <c r="L229" i="15"/>
  <c r="L219" i="15"/>
  <c r="L221" i="15"/>
  <c r="L220" i="15"/>
  <c r="L238" i="15"/>
  <c r="H210" i="15"/>
  <c r="H211" i="15" s="1"/>
  <c r="H223" i="15"/>
  <c r="H222" i="15"/>
  <c r="H219" i="15"/>
  <c r="H230" i="15"/>
  <c r="H218" i="15"/>
  <c r="H229" i="15"/>
  <c r="H226" i="15"/>
  <c r="H224" i="15"/>
  <c r="H228" i="15"/>
  <c r="H220" i="15"/>
  <c r="H221" i="15"/>
  <c r="H225" i="15"/>
  <c r="H238" i="15"/>
  <c r="B207" i="15"/>
  <c r="B203" i="15"/>
  <c r="B210" i="15" s="1"/>
  <c r="B211" i="15" s="1"/>
  <c r="C203" i="15"/>
  <c r="C207" i="15"/>
  <c r="J210" i="15"/>
  <c r="J211" i="15" s="1"/>
  <c r="J226" i="15"/>
  <c r="J225" i="15"/>
  <c r="J220" i="15"/>
  <c r="J221" i="15"/>
  <c r="J228" i="15"/>
  <c r="J223" i="15"/>
  <c r="J230" i="15"/>
  <c r="J229" i="15"/>
  <c r="J224" i="15"/>
  <c r="J218" i="15"/>
  <c r="J219" i="15"/>
  <c r="J222" i="15"/>
  <c r="J238" i="15"/>
  <c r="Q210" i="15"/>
  <c r="Q211" i="15" s="1"/>
  <c r="Q226" i="15"/>
  <c r="Q230" i="15"/>
  <c r="Q221" i="15"/>
  <c r="Q225" i="15"/>
  <c r="Q219" i="15"/>
  <c r="Q224" i="15"/>
  <c r="Q218" i="15"/>
  <c r="Q220" i="15"/>
  <c r="Q222" i="15"/>
  <c r="Q223" i="15"/>
  <c r="Q229" i="15"/>
  <c r="Q228" i="15"/>
  <c r="Q238" i="15"/>
  <c r="K210" i="15"/>
  <c r="K211" i="15" s="1"/>
  <c r="K223" i="15"/>
  <c r="K229" i="15"/>
  <c r="K221" i="15"/>
  <c r="K228" i="15"/>
  <c r="K219" i="15"/>
  <c r="K218" i="15"/>
  <c r="K222" i="15"/>
  <c r="K226" i="15"/>
  <c r="K224" i="15"/>
  <c r="K225" i="15"/>
  <c r="K230" i="15"/>
  <c r="K220" i="15"/>
  <c r="K238" i="15"/>
  <c r="I210" i="15"/>
  <c r="I211" i="15" s="1"/>
  <c r="I225" i="15"/>
  <c r="I229" i="15"/>
  <c r="I219" i="15"/>
  <c r="I228" i="15"/>
  <c r="I221" i="15"/>
  <c r="I222" i="15"/>
  <c r="I224" i="15"/>
  <c r="I223" i="15"/>
  <c r="I226" i="15"/>
  <c r="I218" i="15"/>
  <c r="I230" i="15"/>
  <c r="I220" i="15"/>
  <c r="I238" i="15"/>
  <c r="D210" i="15"/>
  <c r="D211" i="15" s="1"/>
  <c r="D219" i="15"/>
  <c r="D218" i="15"/>
  <c r="D226" i="15"/>
  <c r="D228" i="15"/>
  <c r="D222" i="15"/>
  <c r="D220" i="15"/>
  <c r="D230" i="15"/>
  <c r="D225" i="15"/>
  <c r="D223" i="15"/>
  <c r="D229" i="15"/>
  <c r="D221" i="15"/>
  <c r="D224" i="15"/>
  <c r="D238" i="15"/>
  <c r="G210" i="15"/>
  <c r="G211" i="15" s="1"/>
  <c r="G220" i="15"/>
  <c r="G223" i="15"/>
  <c r="G222" i="15"/>
  <c r="G229" i="15"/>
  <c r="G230" i="15"/>
  <c r="G226" i="15"/>
  <c r="G228" i="15"/>
  <c r="G221" i="15"/>
  <c r="G218" i="15"/>
  <c r="G219" i="15"/>
  <c r="G224" i="15"/>
  <c r="G225" i="15"/>
  <c r="G238" i="15"/>
  <c r="N210" i="15"/>
  <c r="N211" i="15" s="1"/>
  <c r="N226" i="15"/>
  <c r="N222" i="15"/>
  <c r="N225" i="15"/>
  <c r="N218" i="15"/>
  <c r="N228" i="15"/>
  <c r="N221" i="15"/>
  <c r="N220" i="15"/>
  <c r="N223" i="15"/>
  <c r="N230" i="15"/>
  <c r="N224" i="15"/>
  <c r="N219" i="15"/>
  <c r="N229" i="15"/>
  <c r="N238" i="15"/>
  <c r="E210" i="15"/>
  <c r="E211" i="15" s="1"/>
  <c r="E225" i="15"/>
  <c r="E219" i="15"/>
  <c r="E230" i="15"/>
  <c r="E224" i="15"/>
  <c r="E220" i="15"/>
  <c r="E223" i="15"/>
  <c r="E218" i="15"/>
  <c r="E229" i="15"/>
  <c r="E221" i="15"/>
  <c r="E226" i="15"/>
  <c r="E228" i="15"/>
  <c r="E222" i="15"/>
  <c r="E238" i="15"/>
  <c r="O210" i="15"/>
  <c r="O211" i="15" s="1"/>
  <c r="O225" i="15"/>
  <c r="O221" i="15"/>
  <c r="O219" i="15"/>
  <c r="O228" i="15"/>
  <c r="O222" i="15"/>
  <c r="O230" i="15"/>
  <c r="O224" i="15"/>
  <c r="O223" i="15"/>
  <c r="O229" i="15"/>
  <c r="O226" i="15"/>
  <c r="O220" i="15"/>
  <c r="O218" i="15"/>
  <c r="O238" i="15"/>
  <c r="M210" i="15"/>
  <c r="M211" i="15" s="1"/>
  <c r="M225" i="15"/>
  <c r="M222" i="15"/>
  <c r="M228" i="15"/>
  <c r="M226" i="15"/>
  <c r="M218" i="15"/>
  <c r="M221" i="15"/>
  <c r="M229" i="15"/>
  <c r="M219" i="15"/>
  <c r="M224" i="15"/>
  <c r="M223" i="15"/>
  <c r="M230" i="15"/>
  <c r="M220" i="15"/>
  <c r="M238" i="15"/>
  <c r="P210" i="15"/>
  <c r="P211" i="15" s="1"/>
  <c r="P224" i="15"/>
  <c r="P221" i="15"/>
  <c r="P225" i="15"/>
  <c r="P218" i="15"/>
  <c r="P229" i="15"/>
  <c r="P228" i="15"/>
  <c r="P219" i="15"/>
  <c r="P220" i="15"/>
  <c r="P223" i="15"/>
  <c r="P230" i="15"/>
  <c r="P226" i="15"/>
  <c r="P222" i="15"/>
  <c r="P238" i="15"/>
  <c r="F210" i="15"/>
  <c r="F211" i="15" s="1"/>
  <c r="F228" i="15"/>
  <c r="F226" i="15"/>
  <c r="F225" i="15"/>
  <c r="F218" i="15"/>
  <c r="F223" i="15"/>
  <c r="F221" i="15"/>
  <c r="F219" i="15"/>
  <c r="F229" i="15"/>
  <c r="F222" i="15"/>
  <c r="F230" i="15"/>
  <c r="F220" i="15"/>
  <c r="F224" i="15"/>
  <c r="F238" i="15"/>
  <c r="J30" i="9"/>
  <c r="K31" i="9"/>
  <c r="J34" i="9"/>
  <c r="I41" i="9"/>
  <c r="J41" i="9"/>
  <c r="K32" i="9"/>
  <c r="C210" i="15" l="1"/>
  <c r="C211" i="15" s="1"/>
  <c r="C222" i="15"/>
  <c r="C230" i="15"/>
  <c r="C229" i="15"/>
  <c r="C225" i="15"/>
  <c r="C223" i="15"/>
  <c r="C219" i="15"/>
  <c r="C238" i="15"/>
  <c r="C220" i="15"/>
  <c r="C224" i="15"/>
  <c r="C228" i="15"/>
  <c r="C221" i="15"/>
  <c r="C218" i="15"/>
  <c r="C226" i="15"/>
  <c r="I22" i="9"/>
  <c r="I28" i="9"/>
  <c r="I23" i="9"/>
  <c r="I29" i="9"/>
  <c r="I24" i="9"/>
  <c r="I30" i="9"/>
  <c r="I20" i="9"/>
  <c r="I25" i="9"/>
  <c r="K26" i="9"/>
  <c r="I36" i="9"/>
  <c r="K33" i="9"/>
  <c r="I33" i="9"/>
  <c r="K35" i="9"/>
  <c r="J31" i="9"/>
  <c r="K41" i="9"/>
  <c r="K29" i="9"/>
  <c r="K21" i="9"/>
  <c r="J37" i="9"/>
  <c r="K25" i="9"/>
  <c r="J27" i="9"/>
  <c r="K23" i="9"/>
  <c r="J36" i="9"/>
  <c r="J32" i="9"/>
  <c r="K24" i="9"/>
  <c r="J25" i="9"/>
  <c r="J28" i="9"/>
  <c r="K34" i="9"/>
  <c r="J21" i="9"/>
  <c r="I34" i="9"/>
  <c r="K27" i="9"/>
  <c r="K20" i="9"/>
  <c r="J29" i="9"/>
  <c r="I31" i="9"/>
  <c r="K28" i="9"/>
  <c r="K30" i="9"/>
  <c r="J24" i="9"/>
  <c r="I32" i="9"/>
  <c r="I26" i="9"/>
  <c r="J33" i="9"/>
  <c r="K37" i="9"/>
  <c r="J20" i="9"/>
  <c r="J26" i="9"/>
  <c r="J23" i="9"/>
  <c r="I37" i="9"/>
  <c r="I21" i="9"/>
  <c r="J35" i="9"/>
  <c r="I35" i="9"/>
  <c r="K22" i="9"/>
  <c r="J22" i="9"/>
  <c r="K36" i="9"/>
  <c r="I27" i="9"/>
  <c r="I9" i="9" l="1"/>
  <c r="I15" i="9"/>
  <c r="I10" i="9"/>
  <c r="J8" i="9"/>
  <c r="I16" i="9"/>
  <c r="J14" i="9"/>
  <c r="I11" i="9"/>
  <c r="J9" i="9"/>
  <c r="K18" i="9"/>
  <c r="I17" i="9"/>
  <c r="J10" i="9"/>
  <c r="J16" i="9"/>
  <c r="K38" i="9"/>
  <c r="K13" i="9"/>
  <c r="I18" i="9"/>
  <c r="J11" i="9"/>
  <c r="K39" i="9"/>
  <c r="I7" i="9"/>
  <c r="J17" i="9"/>
  <c r="K40" i="9"/>
  <c r="K7" i="9"/>
  <c r="J12" i="9"/>
  <c r="K16" i="9"/>
  <c r="J18" i="9"/>
  <c r="K17" i="9"/>
  <c r="K19" i="9"/>
  <c r="J7" i="9"/>
  <c r="H41" i="9"/>
  <c r="J15" i="9"/>
  <c r="J13" i="9"/>
  <c r="J19" i="9"/>
  <c r="H36" i="9"/>
  <c r="K11" i="9"/>
  <c r="I13" i="9"/>
  <c r="K10" i="9"/>
  <c r="H20" i="9"/>
  <c r="I38" i="9"/>
  <c r="K12" i="9"/>
  <c r="J38" i="9"/>
  <c r="H30" i="9"/>
  <c r="I12" i="9"/>
  <c r="J40" i="9"/>
  <c r="I39" i="9"/>
  <c r="K8" i="9"/>
  <c r="H31" i="9"/>
  <c r="J39" i="9"/>
  <c r="I40" i="9"/>
  <c r="H37" i="9"/>
  <c r="K14" i="9"/>
  <c r="H34" i="9"/>
  <c r="K9" i="9"/>
  <c r="I8" i="9"/>
  <c r="H32" i="9"/>
  <c r="I19" i="9"/>
  <c r="K15" i="9"/>
  <c r="I14" i="9"/>
  <c r="H25" i="9" l="1"/>
  <c r="H29" i="9"/>
  <c r="H8" i="9"/>
  <c r="H9" i="9"/>
  <c r="H15" i="9"/>
  <c r="H10" i="9"/>
  <c r="H16" i="9"/>
  <c r="H11" i="9"/>
  <c r="H17" i="9"/>
  <c r="H12" i="9"/>
  <c r="H18" i="9"/>
  <c r="H24" i="9"/>
  <c r="H26" i="9"/>
  <c r="H33" i="9"/>
  <c r="H7" i="9"/>
  <c r="H14" i="9"/>
  <c r="H21" i="9"/>
  <c r="H35" i="9"/>
  <c r="H13" i="9"/>
  <c r="H27" i="9"/>
  <c r="H19" i="9"/>
  <c r="H22" i="9"/>
  <c r="H28" i="9"/>
  <c r="H23" i="9"/>
  <c r="H38" i="9" l="1"/>
  <c r="H39" i="9"/>
  <c r="H40" i="9"/>
  <c r="K40" i="7" l="1"/>
  <c r="K39" i="7"/>
  <c r="K38" i="7"/>
  <c r="K37" i="7"/>
  <c r="K36" i="7"/>
  <c r="K35" i="7"/>
  <c r="K33" i="7"/>
  <c r="K32" i="7"/>
  <c r="K31" i="7"/>
  <c r="K30" i="7"/>
  <c r="K29" i="7"/>
  <c r="K28" i="7"/>
  <c r="K22" i="7"/>
  <c r="K27" i="7"/>
  <c r="K23" i="7"/>
  <c r="K24" i="7"/>
  <c r="K26" i="7"/>
  <c r="K25" i="7"/>
  <c r="K20" i="7"/>
  <c r="K19" i="7"/>
  <c r="K18" i="7"/>
  <c r="K17" i="7"/>
  <c r="K16" i="7"/>
  <c r="K15" i="7"/>
  <c r="K13" i="7"/>
  <c r="K12" i="7"/>
  <c r="K11" i="7"/>
  <c r="K10" i="7"/>
  <c r="K9" i="7"/>
  <c r="K8" i="7"/>
  <c r="A1" i="1" l="1"/>
  <c r="C148" i="15" l="1"/>
  <c r="C111" i="15"/>
  <c r="C227" i="15" s="1"/>
  <c r="T115" i="15"/>
  <c r="T116" i="15" s="1"/>
  <c r="C156" i="15" l="1"/>
  <c r="T156" i="15"/>
  <c r="C158" i="15"/>
  <c r="T157" i="15"/>
  <c r="T119" i="15"/>
  <c r="T118" i="15"/>
  <c r="C161" i="15" s="1"/>
  <c r="T155" i="15"/>
  <c r="C155" i="15"/>
  <c r="C125" i="15"/>
  <c r="C240" i="15" s="1"/>
  <c r="T121" i="15"/>
  <c r="T122" i="15"/>
  <c r="C116" i="15"/>
  <c r="T120" i="15"/>
  <c r="C157" i="15"/>
  <c r="C119" i="15" l="1"/>
  <c r="C234" i="15" s="1"/>
  <c r="C169" i="15"/>
  <c r="C165" i="15"/>
  <c r="C166" i="15"/>
  <c r="C162" i="15"/>
  <c r="C118" i="15"/>
  <c r="C233" i="15" s="1"/>
  <c r="C168" i="15"/>
  <c r="C167" i="15"/>
  <c r="C164" i="15"/>
  <c r="C120" i="15"/>
  <c r="C235" i="15" s="1"/>
  <c r="C170" i="15"/>
  <c r="C171" i="15"/>
  <c r="C176" i="15"/>
  <c r="C177" i="15"/>
  <c r="C122" i="15"/>
  <c r="C237" i="15" s="1"/>
  <c r="C175" i="15"/>
  <c r="C231" i="15"/>
  <c r="C174" i="15"/>
  <c r="C173" i="15"/>
  <c r="C121" i="15"/>
  <c r="C236" i="15" s="1"/>
  <c r="C172" i="15"/>
  <c r="C124" i="15" l="1"/>
  <c r="C239" i="15" s="1"/>
  <c r="C126" i="15"/>
  <c r="C241" i="15" s="1"/>
  <c r="C127" i="15"/>
  <c r="C242" i="15" s="1"/>
  <c r="H148" i="15"/>
  <c r="D111" i="15"/>
  <c r="H111" i="15"/>
  <c r="J148" i="15"/>
  <c r="G111" i="15"/>
  <c r="G227" i="15" s="1"/>
  <c r="G148" i="15"/>
  <c r="F148" i="15"/>
  <c r="F111" i="15"/>
  <c r="N111" i="15"/>
  <c r="Q148" i="15"/>
  <c r="M148" i="15"/>
  <c r="O111" i="15"/>
  <c r="K111" i="15"/>
  <c r="I111" i="15"/>
  <c r="O148" i="15"/>
  <c r="M111" i="15"/>
  <c r="L148" i="15"/>
  <c r="P148" i="15"/>
  <c r="I148" i="15"/>
  <c r="E148" i="15"/>
  <c r="AD115" i="15"/>
  <c r="AD116" i="15" s="1"/>
  <c r="M156" i="15" s="1"/>
  <c r="N148" i="15"/>
  <c r="X115" i="15"/>
  <c r="X116" i="15" s="1"/>
  <c r="D148" i="15"/>
  <c r="K148" i="15"/>
  <c r="J111" i="15"/>
  <c r="J227" i="15" s="1"/>
  <c r="AB115" i="15"/>
  <c r="AB116" i="15" s="1"/>
  <c r="K156" i="15" s="1"/>
  <c r="AA115" i="15"/>
  <c r="AA116" i="15" s="1"/>
  <c r="J156" i="15" s="1"/>
  <c r="AF115" i="15"/>
  <c r="AF116" i="15" s="1"/>
  <c r="O156" i="15" s="1"/>
  <c r="AE115" i="15"/>
  <c r="AE116" i="15" s="1"/>
  <c r="N156" i="15" s="1"/>
  <c r="Z115" i="15"/>
  <c r="Z116" i="15" s="1"/>
  <c r="I156" i="15" s="1"/>
  <c r="W115" i="15"/>
  <c r="W116" i="15" s="1"/>
  <c r="AC115" i="15"/>
  <c r="AC116" i="15" s="1"/>
  <c r="L156" i="15" s="1"/>
  <c r="L111" i="15"/>
  <c r="AG115" i="15"/>
  <c r="AG116" i="15" s="1"/>
  <c r="P156" i="15" s="1"/>
  <c r="P111" i="15"/>
  <c r="Y115" i="15"/>
  <c r="Y116" i="15" s="1"/>
  <c r="H156" i="15" s="1"/>
  <c r="V115" i="15"/>
  <c r="V116" i="15" s="1"/>
  <c r="E111" i="15"/>
  <c r="AH115" i="15"/>
  <c r="AH116" i="15" s="1"/>
  <c r="Q156" i="15" s="1"/>
  <c r="Q111" i="15"/>
  <c r="U115" i="15"/>
  <c r="U116" i="15" s="1"/>
  <c r="D156" i="15" l="1"/>
  <c r="U156" i="15"/>
  <c r="F156" i="15"/>
  <c r="W156" i="15"/>
  <c r="G156" i="15"/>
  <c r="X156" i="15"/>
  <c r="E156" i="15"/>
  <c r="V156" i="15"/>
  <c r="H158" i="15"/>
  <c r="Y157" i="15"/>
  <c r="Y155" i="15"/>
  <c r="Y119" i="15"/>
  <c r="J158" i="15"/>
  <c r="AA157" i="15"/>
  <c r="AA155" i="15"/>
  <c r="AA119" i="15"/>
  <c r="AB155" i="15"/>
  <c r="AB157" i="15"/>
  <c r="AB119" i="15"/>
  <c r="AF157" i="15"/>
  <c r="AF119" i="15"/>
  <c r="P158" i="15"/>
  <c r="AG157" i="15"/>
  <c r="AG119" i="15"/>
  <c r="D158" i="15"/>
  <c r="U157" i="15"/>
  <c r="U119" i="15"/>
  <c r="L158" i="15"/>
  <c r="AC157" i="15"/>
  <c r="AC155" i="15"/>
  <c r="AC119" i="15"/>
  <c r="AH157" i="15"/>
  <c r="AH119" i="15"/>
  <c r="W157" i="15"/>
  <c r="W119" i="15"/>
  <c r="M158" i="15"/>
  <c r="AD157" i="15"/>
  <c r="AD119" i="15"/>
  <c r="G158" i="15"/>
  <c r="X157" i="15"/>
  <c r="X119" i="15"/>
  <c r="I158" i="15"/>
  <c r="Z157" i="15"/>
  <c r="Z155" i="15"/>
  <c r="Z119" i="15"/>
  <c r="V157" i="15"/>
  <c r="V119" i="15"/>
  <c r="AE157" i="15"/>
  <c r="AE119" i="15"/>
  <c r="AH155" i="15"/>
  <c r="Q158" i="15"/>
  <c r="W155" i="15"/>
  <c r="F158" i="15"/>
  <c r="AB120" i="15"/>
  <c r="K120" i="15" s="1"/>
  <c r="K235" i="15" s="1"/>
  <c r="K158" i="15"/>
  <c r="V155" i="15"/>
  <c r="E158" i="15"/>
  <c r="AE155" i="15"/>
  <c r="N158" i="15"/>
  <c r="AF155" i="15"/>
  <c r="O158" i="15"/>
  <c r="P155" i="15"/>
  <c r="AG155" i="15"/>
  <c r="D157" i="15"/>
  <c r="U155" i="15"/>
  <c r="X155" i="15"/>
  <c r="Z121" i="15"/>
  <c r="I121" i="15" s="1"/>
  <c r="I236" i="15" s="1"/>
  <c r="I155" i="15"/>
  <c r="AD155" i="15"/>
  <c r="M155" i="15"/>
  <c r="F125" i="15"/>
  <c r="F240" i="15" s="1"/>
  <c r="D227" i="15"/>
  <c r="D125" i="15"/>
  <c r="D240" i="15" s="1"/>
  <c r="L227" i="15"/>
  <c r="L125" i="15"/>
  <c r="L240" i="15" s="1"/>
  <c r="K227" i="15"/>
  <c r="K125" i="15"/>
  <c r="K240" i="15" s="1"/>
  <c r="P125" i="15"/>
  <c r="P240" i="15" s="1"/>
  <c r="Q227" i="15"/>
  <c r="Q125" i="15"/>
  <c r="Q240" i="15" s="1"/>
  <c r="O227" i="15"/>
  <c r="O125" i="15"/>
  <c r="O240" i="15" s="1"/>
  <c r="I227" i="15"/>
  <c r="I125" i="15"/>
  <c r="I240" i="15" s="1"/>
  <c r="J125" i="15"/>
  <c r="J240" i="15" s="1"/>
  <c r="M227" i="15"/>
  <c r="M125" i="15"/>
  <c r="M240" i="15" s="1"/>
  <c r="N125" i="15"/>
  <c r="N240" i="15" s="1"/>
  <c r="G125" i="15"/>
  <c r="G240" i="15" s="1"/>
  <c r="E227" i="15"/>
  <c r="E125" i="15"/>
  <c r="E240" i="15" s="1"/>
  <c r="F227" i="15"/>
  <c r="H227" i="15"/>
  <c r="H125" i="15"/>
  <c r="H240" i="15" s="1"/>
  <c r="AF122" i="15"/>
  <c r="O176" i="15" s="1"/>
  <c r="AF120" i="15"/>
  <c r="O170" i="15" s="1"/>
  <c r="O157" i="15"/>
  <c r="AF118" i="15"/>
  <c r="O155" i="15"/>
  <c r="V122" i="15"/>
  <c r="E177" i="15" s="1"/>
  <c r="E157" i="15"/>
  <c r="AH118" i="15"/>
  <c r="AH121" i="15"/>
  <c r="Q173" i="15" s="1"/>
  <c r="Q157" i="15"/>
  <c r="Q155" i="15"/>
  <c r="AH122" i="15"/>
  <c r="Q122" i="15" s="1"/>
  <c r="Q237" i="15" s="1"/>
  <c r="F116" i="15"/>
  <c r="F231" i="15" s="1"/>
  <c r="F155" i="15"/>
  <c r="G116" i="15"/>
  <c r="G231" i="15" s="1"/>
  <c r="I157" i="15"/>
  <c r="Z122" i="15"/>
  <c r="I177" i="15" s="1"/>
  <c r="X118" i="15"/>
  <c r="D155" i="15"/>
  <c r="X120" i="15"/>
  <c r="G170" i="15" s="1"/>
  <c r="AC122" i="15"/>
  <c r="AC118" i="15"/>
  <c r="L166" i="15" s="1"/>
  <c r="L116" i="15"/>
  <c r="L155" i="15"/>
  <c r="AC121" i="15"/>
  <c r="L157" i="15"/>
  <c r="AC120" i="15"/>
  <c r="N157" i="15"/>
  <c r="AE120" i="15"/>
  <c r="AE118" i="15"/>
  <c r="N166" i="15" s="1"/>
  <c r="AE121" i="15"/>
  <c r="N116" i="15"/>
  <c r="N155" i="15"/>
  <c r="AE122" i="15"/>
  <c r="J157" i="15"/>
  <c r="J155" i="15"/>
  <c r="AA118" i="15"/>
  <c r="J166" i="15" s="1"/>
  <c r="AA122" i="15"/>
  <c r="J116" i="15"/>
  <c r="AA121" i="15"/>
  <c r="J172" i="15" s="1"/>
  <c r="AA120" i="15"/>
  <c r="J170" i="15" s="1"/>
  <c r="Y121" i="15"/>
  <c r="H172" i="15" s="1"/>
  <c r="H116" i="15"/>
  <c r="H157" i="15"/>
  <c r="Y118" i="15"/>
  <c r="H155" i="15"/>
  <c r="Y122" i="15"/>
  <c r="Y120" i="15"/>
  <c r="H170" i="15" s="1"/>
  <c r="I116" i="15"/>
  <c r="W122" i="15"/>
  <c r="W121" i="15"/>
  <c r="P116" i="15"/>
  <c r="AG118" i="15"/>
  <c r="P166" i="15" s="1"/>
  <c r="Z118" i="15"/>
  <c r="I166" i="15" s="1"/>
  <c r="Z120" i="15"/>
  <c r="AG120" i="15"/>
  <c r="U122" i="15"/>
  <c r="D116" i="15"/>
  <c r="U121" i="15"/>
  <c r="AG122" i="15"/>
  <c r="AD121" i="15"/>
  <c r="M172" i="15" s="1"/>
  <c r="AD120" i="15"/>
  <c r="M170" i="15" s="1"/>
  <c r="AD122" i="15"/>
  <c r="E116" i="15"/>
  <c r="V121" i="15"/>
  <c r="E155" i="15"/>
  <c r="V120" i="15"/>
  <c r="V118" i="15"/>
  <c r="E166" i="15" s="1"/>
  <c r="U118" i="15"/>
  <c r="D166" i="15" s="1"/>
  <c r="M157" i="15"/>
  <c r="P227" i="15"/>
  <c r="F157" i="15"/>
  <c r="W120" i="15"/>
  <c r="W118" i="15"/>
  <c r="F166" i="15" s="1"/>
  <c r="K157" i="15"/>
  <c r="AB122" i="15"/>
  <c r="K155" i="15"/>
  <c r="AB118" i="15"/>
  <c r="K166" i="15" s="1"/>
  <c r="AB121" i="15"/>
  <c r="K116" i="15"/>
  <c r="X121" i="15"/>
  <c r="X122" i="15"/>
  <c r="G157" i="15"/>
  <c r="G155" i="15"/>
  <c r="U120" i="15"/>
  <c r="P157" i="15"/>
  <c r="AG121" i="15"/>
  <c r="AD118" i="15"/>
  <c r="M166" i="15" s="1"/>
  <c r="N227" i="15"/>
  <c r="M116" i="15"/>
  <c r="Q116" i="15"/>
  <c r="O116" i="15"/>
  <c r="AF121" i="15"/>
  <c r="AH120" i="15"/>
  <c r="E169" i="15" l="1"/>
  <c r="E119" i="15"/>
  <c r="E234" i="15" s="1"/>
  <c r="L169" i="15"/>
  <c r="L119" i="15"/>
  <c r="L234" i="15" s="1"/>
  <c r="M169" i="15"/>
  <c r="M119" i="15"/>
  <c r="M234" i="15" s="1"/>
  <c r="P169" i="15"/>
  <c r="P119" i="15"/>
  <c r="P234" i="15" s="1"/>
  <c r="I169" i="15"/>
  <c r="I119" i="15"/>
  <c r="I234" i="15" s="1"/>
  <c r="O169" i="15"/>
  <c r="O119" i="15"/>
  <c r="O234" i="15" s="1"/>
  <c r="J169" i="15"/>
  <c r="J119" i="15"/>
  <c r="J234" i="15" s="1"/>
  <c r="H169" i="15"/>
  <c r="H119" i="15"/>
  <c r="H234" i="15" s="1"/>
  <c r="H167" i="15"/>
  <c r="H166" i="15"/>
  <c r="F169" i="15"/>
  <c r="F119" i="15"/>
  <c r="F234" i="15" s="1"/>
  <c r="D169" i="15"/>
  <c r="D119" i="15"/>
  <c r="D234" i="15" s="1"/>
  <c r="K119" i="15"/>
  <c r="K234" i="15" s="1"/>
  <c r="K169" i="15"/>
  <c r="N169" i="15"/>
  <c r="N119" i="15"/>
  <c r="N234" i="15" s="1"/>
  <c r="G169" i="15"/>
  <c r="G119" i="15"/>
  <c r="G234" i="15" s="1"/>
  <c r="Q169" i="15"/>
  <c r="Q119" i="15"/>
  <c r="Q234" i="15" s="1"/>
  <c r="K170" i="15"/>
  <c r="K171" i="15"/>
  <c r="I173" i="15"/>
  <c r="I174" i="15"/>
  <c r="I172" i="15"/>
  <c r="G167" i="15"/>
  <c r="G166" i="15"/>
  <c r="O168" i="15"/>
  <c r="O166" i="15"/>
  <c r="Q166" i="15"/>
  <c r="Q174" i="15"/>
  <c r="Q164" i="15"/>
  <c r="G162" i="15"/>
  <c r="O167" i="15"/>
  <c r="Q121" i="15"/>
  <c r="Q236" i="15" s="1"/>
  <c r="O165" i="15"/>
  <c r="Q172" i="15"/>
  <c r="O164" i="15"/>
  <c r="O120" i="15"/>
  <c r="O235" i="15" s="1"/>
  <c r="Q168" i="15"/>
  <c r="Q118" i="15"/>
  <c r="Q233" i="15" s="1"/>
  <c r="O177" i="15"/>
  <c r="Q162" i="15"/>
  <c r="O175" i="15"/>
  <c r="O122" i="15"/>
  <c r="O237" i="15" s="1"/>
  <c r="G168" i="15"/>
  <c r="G164" i="15"/>
  <c r="O161" i="15"/>
  <c r="G165" i="15"/>
  <c r="G161" i="15"/>
  <c r="E176" i="15"/>
  <c r="E175" i="15"/>
  <c r="Q175" i="15"/>
  <c r="I176" i="15"/>
  <c r="G118" i="15"/>
  <c r="G233" i="15" s="1"/>
  <c r="O171" i="15"/>
  <c r="E122" i="15"/>
  <c r="E237" i="15" s="1"/>
  <c r="I175" i="15"/>
  <c r="I122" i="15"/>
  <c r="I237" i="15" s="1"/>
  <c r="G120" i="15"/>
  <c r="G171" i="15"/>
  <c r="O118" i="15"/>
  <c r="O233" i="15" s="1"/>
  <c r="O162" i="15"/>
  <c r="Q177" i="15"/>
  <c r="Q176" i="15"/>
  <c r="Q165" i="15"/>
  <c r="Q161" i="15"/>
  <c r="Q167" i="15"/>
  <c r="E231" i="15"/>
  <c r="N231" i="15"/>
  <c r="M122" i="15"/>
  <c r="M237" i="15" s="1"/>
  <c r="M176" i="15"/>
  <c r="M177" i="15"/>
  <c r="M175" i="15"/>
  <c r="P164" i="15"/>
  <c r="P118" i="15"/>
  <c r="P168" i="15"/>
  <c r="P161" i="15"/>
  <c r="P165" i="15"/>
  <c r="P167" i="15"/>
  <c r="P162" i="15"/>
  <c r="N121" i="15"/>
  <c r="N236" i="15" s="1"/>
  <c r="N172" i="15"/>
  <c r="N173" i="15"/>
  <c r="N174" i="15"/>
  <c r="Q171" i="15"/>
  <c r="Q170" i="15"/>
  <c r="Q120" i="15"/>
  <c r="Q235" i="15" s="1"/>
  <c r="D165" i="15"/>
  <c r="D167" i="15"/>
  <c r="D164" i="15"/>
  <c r="D118" i="15"/>
  <c r="D162" i="15"/>
  <c r="D161" i="15"/>
  <c r="D168" i="15"/>
  <c r="M120" i="15"/>
  <c r="M235" i="15" s="1"/>
  <c r="M171" i="15"/>
  <c r="P177" i="15"/>
  <c r="P175" i="15"/>
  <c r="P176" i="15"/>
  <c r="P122" i="15"/>
  <c r="P237" i="15" s="1"/>
  <c r="P231" i="15"/>
  <c r="N165" i="15"/>
  <c r="N167" i="15"/>
  <c r="N168" i="15"/>
  <c r="N161" i="15"/>
  <c r="N162" i="15"/>
  <c r="N164" i="15"/>
  <c r="N118" i="15"/>
  <c r="N233" i="15" s="1"/>
  <c r="L121" i="15"/>
  <c r="L236" i="15" s="1"/>
  <c r="L173" i="15"/>
  <c r="L174" i="15"/>
  <c r="L172" i="15"/>
  <c r="M231" i="15"/>
  <c r="K118" i="15"/>
  <c r="K233" i="15" s="1"/>
  <c r="K162" i="15"/>
  <c r="K165" i="15"/>
  <c r="K167" i="15"/>
  <c r="K161" i="15"/>
  <c r="K164" i="15"/>
  <c r="K168" i="15"/>
  <c r="I231" i="15"/>
  <c r="H231" i="15"/>
  <c r="M162" i="15"/>
  <c r="M168" i="15"/>
  <c r="M161" i="15"/>
  <c r="M167" i="15"/>
  <c r="M165" i="15"/>
  <c r="M164" i="15"/>
  <c r="M118" i="15"/>
  <c r="M233" i="15" s="1"/>
  <c r="J122" i="15"/>
  <c r="J237" i="15" s="1"/>
  <c r="J176" i="15"/>
  <c r="J177" i="15"/>
  <c r="J175" i="15"/>
  <c r="P121" i="15"/>
  <c r="P236" i="15" s="1"/>
  <c r="P172" i="15"/>
  <c r="P174" i="15"/>
  <c r="P173" i="15"/>
  <c r="K177" i="15"/>
  <c r="K175" i="15"/>
  <c r="K122" i="15"/>
  <c r="K237" i="15" s="1"/>
  <c r="K176" i="15"/>
  <c r="E170" i="15"/>
  <c r="E171" i="15"/>
  <c r="E120" i="15"/>
  <c r="E235" i="15" s="1"/>
  <c r="M173" i="15"/>
  <c r="M121" i="15"/>
  <c r="M236" i="15" s="1"/>
  <c r="M174" i="15"/>
  <c r="H121" i="15"/>
  <c r="H236" i="15" s="1"/>
  <c r="H173" i="15"/>
  <c r="H174" i="15"/>
  <c r="N120" i="15"/>
  <c r="N235" i="15" s="1"/>
  <c r="N171" i="15"/>
  <c r="N170" i="15"/>
  <c r="L231" i="15"/>
  <c r="L120" i="15"/>
  <c r="L235" i="15" s="1"/>
  <c r="L170" i="15"/>
  <c r="L171" i="15"/>
  <c r="H168" i="15"/>
  <c r="H118" i="15"/>
  <c r="H165" i="15"/>
  <c r="H164" i="15"/>
  <c r="H162" i="15"/>
  <c r="H161" i="15"/>
  <c r="F164" i="15"/>
  <c r="F162" i="15"/>
  <c r="F118" i="15"/>
  <c r="F168" i="15"/>
  <c r="F161" i="15"/>
  <c r="F165" i="15"/>
  <c r="F167" i="15"/>
  <c r="D231" i="15"/>
  <c r="I170" i="15"/>
  <c r="I120" i="15"/>
  <c r="I235" i="15" s="1"/>
  <c r="I171" i="15"/>
  <c r="F174" i="15"/>
  <c r="F172" i="15"/>
  <c r="F173" i="15"/>
  <c r="F121" i="15"/>
  <c r="F236" i="15" s="1"/>
  <c r="H120" i="15"/>
  <c r="H235" i="15" s="1"/>
  <c r="H171" i="15"/>
  <c r="J120" i="15"/>
  <c r="J235" i="15" s="1"/>
  <c r="J171" i="15"/>
  <c r="E168" i="15"/>
  <c r="E161" i="15"/>
  <c r="E165" i="15"/>
  <c r="E118" i="15"/>
  <c r="E233" i="15" s="1"/>
  <c r="E167" i="15"/>
  <c r="E164" i="15"/>
  <c r="E162" i="15"/>
  <c r="D121" i="15"/>
  <c r="D236" i="15" s="1"/>
  <c r="D173" i="15"/>
  <c r="D172" i="15"/>
  <c r="D174" i="15"/>
  <c r="O172" i="15"/>
  <c r="O121" i="15"/>
  <c r="O236" i="15" s="1"/>
  <c r="O173" i="15"/>
  <c r="O174" i="15"/>
  <c r="O231" i="15"/>
  <c r="G122" i="15"/>
  <c r="G237" i="15" s="1"/>
  <c r="G177" i="15"/>
  <c r="G175" i="15"/>
  <c r="G176" i="15"/>
  <c r="Q231" i="15"/>
  <c r="G121" i="15"/>
  <c r="G172" i="15"/>
  <c r="G174" i="15"/>
  <c r="G173" i="15"/>
  <c r="E121" i="15"/>
  <c r="E236" i="15" s="1"/>
  <c r="E174" i="15"/>
  <c r="E173" i="15"/>
  <c r="E172" i="15"/>
  <c r="D122" i="15"/>
  <c r="D237" i="15" s="1"/>
  <c r="D176" i="15"/>
  <c r="D177" i="15"/>
  <c r="D175" i="15"/>
  <c r="I165" i="15"/>
  <c r="I167" i="15"/>
  <c r="I118" i="15"/>
  <c r="I168" i="15"/>
  <c r="I164" i="15"/>
  <c r="I161" i="15"/>
  <c r="I162" i="15"/>
  <c r="F122" i="15"/>
  <c r="F237" i="15" s="1"/>
  <c r="F176" i="15"/>
  <c r="F177" i="15"/>
  <c r="F175" i="15"/>
  <c r="H122" i="15"/>
  <c r="H237" i="15" s="1"/>
  <c r="H177" i="15"/>
  <c r="H175" i="15"/>
  <c r="H176" i="15"/>
  <c r="J173" i="15"/>
  <c r="J121" i="15"/>
  <c r="J236" i="15" s="1"/>
  <c r="J174" i="15"/>
  <c r="N177" i="15"/>
  <c r="N176" i="15"/>
  <c r="N122" i="15"/>
  <c r="N237" i="15" s="1"/>
  <c r="N175" i="15"/>
  <c r="L161" i="15"/>
  <c r="L162" i="15"/>
  <c r="L165" i="15"/>
  <c r="L164" i="15"/>
  <c r="L167" i="15"/>
  <c r="L168" i="15"/>
  <c r="L118" i="15"/>
  <c r="K173" i="15"/>
  <c r="K174" i="15"/>
  <c r="K121" i="15"/>
  <c r="K236" i="15" s="1"/>
  <c r="K172" i="15"/>
  <c r="J161" i="15"/>
  <c r="J164" i="15"/>
  <c r="J165" i="15"/>
  <c r="J167" i="15"/>
  <c r="J118" i="15"/>
  <c r="J168" i="15"/>
  <c r="J162" i="15"/>
  <c r="D171" i="15"/>
  <c r="D170" i="15"/>
  <c r="D120" i="15"/>
  <c r="D235" i="15" s="1"/>
  <c r="K231" i="15"/>
  <c r="F120" i="15"/>
  <c r="F235" i="15" s="1"/>
  <c r="F170" i="15"/>
  <c r="F171" i="15"/>
  <c r="P120" i="15"/>
  <c r="P235" i="15" s="1"/>
  <c r="P171" i="15"/>
  <c r="P170" i="15"/>
  <c r="J231" i="15"/>
  <c r="L122" i="15"/>
  <c r="L237" i="15" s="1"/>
  <c r="L176" i="15"/>
  <c r="L177" i="15"/>
  <c r="L175" i="15"/>
  <c r="N127" i="15" l="1"/>
  <c r="N242" i="15" s="1"/>
  <c r="P124" i="15"/>
  <c r="P239" i="15" s="1"/>
  <c r="L124" i="15"/>
  <c r="L239" i="15" s="1"/>
  <c r="F126" i="15"/>
  <c r="F241" i="15" s="1"/>
  <c r="G126" i="15"/>
  <c r="G241" i="15" s="1"/>
  <c r="N126" i="15"/>
  <c r="N241" i="15" s="1"/>
  <c r="H126" i="15"/>
  <c r="H241" i="15" s="1"/>
  <c r="I126" i="15"/>
  <c r="I241" i="15" s="1"/>
  <c r="D124" i="15"/>
  <c r="D239" i="15" s="1"/>
  <c r="J124" i="15"/>
  <c r="J239" i="15" s="1"/>
  <c r="O126" i="15"/>
  <c r="O241" i="15" s="1"/>
  <c r="H124" i="15"/>
  <c r="H239" i="15" s="1"/>
  <c r="M124" i="15"/>
  <c r="M239" i="15" s="1"/>
  <c r="N124" i="15"/>
  <c r="N239" i="15" s="1"/>
  <c r="K126" i="15"/>
  <c r="K241" i="15" s="1"/>
  <c r="P126" i="15"/>
  <c r="P241" i="15" s="1"/>
  <c r="D126" i="15"/>
  <c r="D241" i="15" s="1"/>
  <c r="Q124" i="15"/>
  <c r="Q239" i="15" s="1"/>
  <c r="E127" i="15"/>
  <c r="E242" i="15" s="1"/>
  <c r="F124" i="15"/>
  <c r="F239" i="15" s="1"/>
  <c r="M126" i="15"/>
  <c r="M241" i="15" s="1"/>
  <c r="I124" i="15"/>
  <c r="I239" i="15" s="1"/>
  <c r="J126" i="15"/>
  <c r="J241" i="15" s="1"/>
  <c r="E124" i="15"/>
  <c r="E239" i="15" s="1"/>
  <c r="Q126" i="15"/>
  <c r="Q241" i="15" s="1"/>
  <c r="G235" i="15"/>
  <c r="G124" i="15"/>
  <c r="G239" i="15" s="1"/>
  <c r="L126" i="15"/>
  <c r="L241" i="15" s="1"/>
  <c r="E126" i="15"/>
  <c r="E241" i="15" s="1"/>
  <c r="O124" i="15"/>
  <c r="O239" i="15" s="1"/>
  <c r="K124" i="15"/>
  <c r="K239" i="15" s="1"/>
  <c r="Q127" i="15"/>
  <c r="Q242" i="15" s="1"/>
  <c r="L233" i="15"/>
  <c r="L127" i="15"/>
  <c r="L242" i="15" s="1"/>
  <c r="J233" i="15"/>
  <c r="J127" i="15"/>
  <c r="J242" i="15" s="1"/>
  <c r="H233" i="15"/>
  <c r="H127" i="15"/>
  <c r="H242" i="15" s="1"/>
  <c r="I233" i="15"/>
  <c r="I127" i="15"/>
  <c r="I242" i="15" s="1"/>
  <c r="O127" i="15"/>
  <c r="O242" i="15" s="1"/>
  <c r="P233" i="15"/>
  <c r="P127" i="15"/>
  <c r="P242" i="15" s="1"/>
  <c r="F233" i="15"/>
  <c r="F127" i="15"/>
  <c r="F242" i="15" s="1"/>
  <c r="K127" i="15"/>
  <c r="K242" i="15" s="1"/>
  <c r="G236" i="15"/>
  <c r="G127" i="15"/>
  <c r="G242" i="15" s="1"/>
  <c r="M127" i="15"/>
  <c r="M242" i="15" s="1"/>
  <c r="D233" i="15"/>
  <c r="D127" i="15"/>
  <c r="D242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<sst xmlns="http://schemas.openxmlformats.org/spreadsheetml/2006/main" count="2540" uniqueCount="739">
  <si>
    <t>Country</t>
  </si>
  <si>
    <t>Base year</t>
  </si>
  <si>
    <t>Units</t>
  </si>
  <si>
    <t>Forestry</t>
  </si>
  <si>
    <t>Textiles</t>
  </si>
  <si>
    <t>Other manufacturing</t>
  </si>
  <si>
    <t>Construction</t>
  </si>
  <si>
    <t>Business services</t>
  </si>
  <si>
    <t>Public administration</t>
  </si>
  <si>
    <t>Education</t>
  </si>
  <si>
    <t>Other services</t>
  </si>
  <si>
    <t>Pulses</t>
  </si>
  <si>
    <t>Fishing</t>
  </si>
  <si>
    <t>Fruit and vegetable processing</t>
  </si>
  <si>
    <t>Fats and oils</t>
  </si>
  <si>
    <t>Non-metal minerals</t>
  </si>
  <si>
    <t>Electricity, gas and steam</t>
  </si>
  <si>
    <t>Water supply and sewage</t>
  </si>
  <si>
    <t>Wholesale and retail trade</t>
  </si>
  <si>
    <t>Transportation and storage</t>
  </si>
  <si>
    <t>Information and communication</t>
  </si>
  <si>
    <t>Finance and insurance</t>
  </si>
  <si>
    <t>Real estate activities</t>
  </si>
  <si>
    <t>Health and social work</t>
  </si>
  <si>
    <t>puls</t>
  </si>
  <si>
    <t>oils</t>
  </si>
  <si>
    <t>root</t>
  </si>
  <si>
    <t>vege</t>
  </si>
  <si>
    <t>frui</t>
  </si>
  <si>
    <t>ocrp</t>
  </si>
  <si>
    <t>fore</t>
  </si>
  <si>
    <t>fish</t>
  </si>
  <si>
    <t>meat</t>
  </si>
  <si>
    <t>fveg</t>
  </si>
  <si>
    <t>foil</t>
  </si>
  <si>
    <t>gmll</t>
  </si>
  <si>
    <t>text</t>
  </si>
  <si>
    <t>wood</t>
  </si>
  <si>
    <t>petr</t>
  </si>
  <si>
    <t>chem</t>
  </si>
  <si>
    <t>nmet</t>
  </si>
  <si>
    <t>metl</t>
  </si>
  <si>
    <t>mach</t>
  </si>
  <si>
    <t>oman</t>
  </si>
  <si>
    <t>elec</t>
  </si>
  <si>
    <t>watr</t>
  </si>
  <si>
    <t>cons</t>
  </si>
  <si>
    <t>trad</t>
  </si>
  <si>
    <t>tran</t>
  </si>
  <si>
    <t>hotl</t>
  </si>
  <si>
    <t>comm</t>
  </si>
  <si>
    <t>fsrv</t>
  </si>
  <si>
    <t>real</t>
  </si>
  <si>
    <t>bsrv</t>
  </si>
  <si>
    <t>padm</t>
  </si>
  <si>
    <t>educ</t>
  </si>
  <si>
    <t>heal</t>
  </si>
  <si>
    <t>osrv</t>
  </si>
  <si>
    <t>Factors (f)</t>
  </si>
  <si>
    <t>lnd</t>
  </si>
  <si>
    <t xml:space="preserve">Land - agricultural crops </t>
  </si>
  <si>
    <t>cap-c</t>
  </si>
  <si>
    <t>Capital - crops</t>
  </si>
  <si>
    <t>cap-l</t>
  </si>
  <si>
    <t>Capital - livestock</t>
  </si>
  <si>
    <t>cap-m</t>
  </si>
  <si>
    <t>Capital - mining</t>
  </si>
  <si>
    <t>cap-o</t>
  </si>
  <si>
    <t>Capital - other</t>
  </si>
  <si>
    <t xml:space="preserve">Activities (a) and commodities (c) </t>
  </si>
  <si>
    <t>Households (hhd)</t>
  </si>
  <si>
    <t>f1</t>
  </si>
  <si>
    <t>Rural farm - quintile 1</t>
  </si>
  <si>
    <t>f2</t>
  </si>
  <si>
    <t>Rural farm - quintile 2</t>
  </si>
  <si>
    <t>f3</t>
  </si>
  <si>
    <t>Rural farm - quintile 3</t>
  </si>
  <si>
    <t>f4</t>
  </si>
  <si>
    <t>Rural farm - quintile 4</t>
  </si>
  <si>
    <t>f5</t>
  </si>
  <si>
    <t>Rural farm - quintile 5</t>
  </si>
  <si>
    <t>n1</t>
  </si>
  <si>
    <t>Rural nonfarm - quintile 1</t>
  </si>
  <si>
    <t>n2</t>
  </si>
  <si>
    <t>Rural nonfarm - quintile 2</t>
  </si>
  <si>
    <t>n3</t>
  </si>
  <si>
    <t>Rural nonfarm - quintile 3</t>
  </si>
  <si>
    <t>n4</t>
  </si>
  <si>
    <t>Rural nonfarm - quintile 4</t>
  </si>
  <si>
    <t>n5</t>
  </si>
  <si>
    <t>Rural nonfarm - quintile 5</t>
  </si>
  <si>
    <t>u1</t>
  </si>
  <si>
    <t>Urban - quintile 1</t>
  </si>
  <si>
    <t>u2</t>
  </si>
  <si>
    <t>Urban - quintile 2</t>
  </si>
  <si>
    <t>u3</t>
  </si>
  <si>
    <t>Urban - quintile 3</t>
  </si>
  <si>
    <t>u4</t>
  </si>
  <si>
    <t>Urban - quintile 4</t>
  </si>
  <si>
    <t>u5</t>
  </si>
  <si>
    <t>Urban - quintile 5</t>
  </si>
  <si>
    <t>Other accounts</t>
  </si>
  <si>
    <t>trc</t>
  </si>
  <si>
    <t>Transaction costs</t>
  </si>
  <si>
    <t>ent</t>
  </si>
  <si>
    <t>Enterprises</t>
  </si>
  <si>
    <t>gov</t>
  </si>
  <si>
    <t>Government</t>
  </si>
  <si>
    <t>atax</t>
  </si>
  <si>
    <t>Taxes - activity</t>
  </si>
  <si>
    <t>dtax</t>
  </si>
  <si>
    <t>Taxes - direct</t>
  </si>
  <si>
    <t>etax</t>
  </si>
  <si>
    <t>Taxes - export</t>
  </si>
  <si>
    <t>ftax</t>
  </si>
  <si>
    <t>Taxes - factor</t>
  </si>
  <si>
    <t>mtax</t>
  </si>
  <si>
    <t>Taxes - import</t>
  </si>
  <si>
    <t>stax</t>
  </si>
  <si>
    <t>Taxes - sales</t>
  </si>
  <si>
    <t>s-i</t>
  </si>
  <si>
    <t>Savings-investment</t>
  </si>
  <si>
    <t>dstk</t>
  </si>
  <si>
    <t>Change in stocks</t>
  </si>
  <si>
    <t>row</t>
  </si>
  <si>
    <t>Rest of world</t>
  </si>
  <si>
    <t>total</t>
  </si>
  <si>
    <t>Total</t>
  </si>
  <si>
    <t>GAMS GDX Index</t>
  </si>
  <si>
    <t>Do not alter this sheet.</t>
  </si>
  <si>
    <t>rdim</t>
  </si>
  <si>
    <t>cdim</t>
  </si>
  <si>
    <t>par</t>
  </si>
  <si>
    <t>nsam</t>
  </si>
  <si>
    <t>sam!a7</t>
  </si>
  <si>
    <t>amaiz</t>
  </si>
  <si>
    <t>arice</t>
  </si>
  <si>
    <t>aocer</t>
  </si>
  <si>
    <t>apuls</t>
  </si>
  <si>
    <t>agnut</t>
  </si>
  <si>
    <t>aoils</t>
  </si>
  <si>
    <t>acass</t>
  </si>
  <si>
    <t>aroot</t>
  </si>
  <si>
    <t>avege</t>
  </si>
  <si>
    <t>asugr</t>
  </si>
  <si>
    <t>atoba</t>
  </si>
  <si>
    <t>acott</t>
  </si>
  <si>
    <t>afrui</t>
  </si>
  <si>
    <t>aocrp</t>
  </si>
  <si>
    <t>acatt</t>
  </si>
  <si>
    <t>apoul</t>
  </si>
  <si>
    <t>afore</t>
  </si>
  <si>
    <t>afish</t>
  </si>
  <si>
    <t>ameat</t>
  </si>
  <si>
    <t>agmll</t>
  </si>
  <si>
    <t>atext</t>
  </si>
  <si>
    <t>awood</t>
  </si>
  <si>
    <t>afert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</si>
  <si>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</si>
  <si>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</si>
  <si>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</si>
  <si>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</si>
  <si>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</si>
  <si>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</si>
  <si>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</si>
  <si>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</si>
  <si>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</si>
  <si>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</si>
  <si>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</si>
  <si>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</si>
  <si>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</si>
  <si>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</si>
  <si>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</si>
  <si>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</si>
  <si>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</si>
  <si>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</si>
  <si>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</si>
  <si>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cpuls</t>
  </si>
  <si>
    <t>coils</t>
  </si>
  <si>
    <t>croot</t>
  </si>
  <si>
    <t>cvege</t>
  </si>
  <si>
    <t>cfrui</t>
  </si>
  <si>
    <t>cocrp</t>
  </si>
  <si>
    <t>cfore</t>
  </si>
  <si>
    <t>cfish</t>
  </si>
  <si>
    <t>cmeat</t>
  </si>
  <si>
    <t>cgmll</t>
  </si>
  <si>
    <t>ctext</t>
  </si>
  <si>
    <t>cwood</t>
  </si>
  <si>
    <t>cpetr</t>
  </si>
  <si>
    <t>cfert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</si>
  <si>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</si>
  <si>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</si>
  <si>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</si>
  <si>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</si>
  <si>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</si>
  <si>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</si>
  <si>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</si>
  <si>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</si>
  <si>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</si>
  <si>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</si>
  <si>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</si>
  <si>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</si>
  <si>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</si>
  <si>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</si>
  <si>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</si>
  <si>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</si>
  <si>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</si>
  <si>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</si>
  <si>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</si>
  <si>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flab-rp</t>
  </si>
  <si>
    <t>flab-rs</t>
  </si>
  <si>
    <t>flab-rt</t>
  </si>
  <si>
    <t>flab-up</t>
  </si>
  <si>
    <t>flab-us</t>
  </si>
  <si>
    <t>flab-ut</t>
  </si>
  <si>
    <t>flnd</t>
  </si>
  <si>
    <t>hhd-f1</t>
  </si>
  <si>
    <t>hhd-f2</t>
  </si>
  <si>
    <t>hhd-f3</t>
  </si>
  <si>
    <t>hhd-f4</t>
  </si>
  <si>
    <t>hhd-f5</t>
  </si>
  <si>
    <t>hhd-u1</t>
  </si>
  <si>
    <t>hhd-u2</t>
  </si>
  <si>
    <t>hhd-u3</t>
  </si>
  <si>
    <t>hhd-u4</t>
  </si>
  <si>
    <t>hhd-u5</t>
  </si>
  <si>
    <t>Nexus Social Accounting Matrix</t>
  </si>
  <si>
    <t>Do not alter this sheet. This data is exported from x1aggregate.gms and x1aggregate.xlsx files, which aggregates the original SAM into the standard Nexus SAM structure.</t>
  </si>
  <si>
    <t>Set Definitions</t>
  </si>
  <si>
    <t>a</t>
  </si>
  <si>
    <t>c</t>
  </si>
  <si>
    <t>f</t>
  </si>
  <si>
    <t>h</t>
  </si>
  <si>
    <t>ac</t>
  </si>
  <si>
    <t>Regions</t>
  </si>
  <si>
    <t>Commodities</t>
  </si>
  <si>
    <t>Factors</t>
  </si>
  <si>
    <t>Institutions</t>
  </si>
  <si>
    <t>MAC</t>
  </si>
  <si>
    <t>All</t>
  </si>
  <si>
    <t>Labor</t>
  </si>
  <si>
    <t>Capital</t>
  </si>
  <si>
    <t>Livestock</t>
  </si>
  <si>
    <t>Land</t>
  </si>
  <si>
    <t>Domestic</t>
  </si>
  <si>
    <t>Exports</t>
  </si>
  <si>
    <t>Imports</t>
  </si>
  <si>
    <t>MARG</t>
  </si>
  <si>
    <t>RG</t>
  </si>
  <si>
    <t>A</t>
  </si>
  <si>
    <t>ARG</t>
  </si>
  <si>
    <t>C</t>
  </si>
  <si>
    <t>FLIV</t>
  </si>
  <si>
    <t>FLND</t>
  </si>
  <si>
    <t>INS</t>
  </si>
  <si>
    <t>INSD</t>
  </si>
  <si>
    <t>INSDNG</t>
  </si>
  <si>
    <t>EN</t>
  </si>
  <si>
    <t>H</t>
  </si>
  <si>
    <t>CTD</t>
  </si>
  <si>
    <t>CTE</t>
  </si>
  <si>
    <t>CTM</t>
  </si>
  <si>
    <t>AC</t>
  </si>
  <si>
    <t>F</t>
  </si>
  <si>
    <t>FLAB</t>
  </si>
  <si>
    <t>FCAP</t>
  </si>
  <si>
    <t>Global set</t>
  </si>
  <si>
    <t>Activities</t>
  </si>
  <si>
    <t>Non-government</t>
  </si>
  <si>
    <t>Households</t>
  </si>
  <si>
    <t>Export</t>
  </si>
  <si>
    <t>Import</t>
  </si>
  <si>
    <t>Mapping activities to regions</t>
  </si>
  <si>
    <t>Mapping activities to commodities</t>
  </si>
  <si>
    <t>asorg</t>
  </si>
  <si>
    <t>awhea</t>
  </si>
  <si>
    <t>acoco</t>
  </si>
  <si>
    <t>acoff</t>
  </si>
  <si>
    <t>ateal</t>
  </si>
  <si>
    <t>aflwr</t>
  </si>
  <si>
    <t>amilk</t>
  </si>
  <si>
    <t>asmlr</t>
  </si>
  <si>
    <t>aoliv</t>
  </si>
  <si>
    <t>afsea</t>
  </si>
  <si>
    <t>adair</t>
  </si>
  <si>
    <t>afveg</t>
  </si>
  <si>
    <t>afoil</t>
  </si>
  <si>
    <t>apetr</t>
  </si>
  <si>
    <t>cmilk</t>
  </si>
  <si>
    <t>cfsea</t>
  </si>
  <si>
    <t>cdair</t>
  </si>
  <si>
    <t>cfveg</t>
  </si>
  <si>
    <t>cfoil</t>
  </si>
  <si>
    <t>flab-rn</t>
  </si>
  <si>
    <t>flab-un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</si>
  <si>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</si>
  <si>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</si>
  <si>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</si>
  <si>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</si>
  <si>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</si>
  <si>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</si>
  <si>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</si>
  <si>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</si>
  <si>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</si>
  <si>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</si>
  <si>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</si>
  <si>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</si>
  <si>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</si>
  <si>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</si>
  <si>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Do not alter this sheet, unless you are adding new regions.</t>
  </si>
  <si>
    <t>rg</t>
  </si>
  <si>
    <t>arg</t>
  </si>
  <si>
    <t>flab</t>
  </si>
  <si>
    <t>fliv</t>
  </si>
  <si>
    <t>fcap</t>
  </si>
  <si>
    <t>ins</t>
  </si>
  <si>
    <t>insd</t>
  </si>
  <si>
    <t>insdng</t>
  </si>
  <si>
    <t>en</t>
  </si>
  <si>
    <t>ctd</t>
  </si>
  <si>
    <t>cte</t>
  </si>
  <si>
    <t>ctm</t>
  </si>
  <si>
    <t>mac</t>
  </si>
  <si>
    <t>marg</t>
  </si>
  <si>
    <t>dset</t>
  </si>
  <si>
    <t>set</t>
  </si>
  <si>
    <t>values=nodata</t>
  </si>
  <si>
    <t>sets!a7</t>
  </si>
  <si>
    <t>sets!b7</t>
  </si>
  <si>
    <t>sets!c7</t>
  </si>
  <si>
    <t>sets!d7</t>
  </si>
  <si>
    <t>sets!e7</t>
  </si>
  <si>
    <t>sets!f7</t>
  </si>
  <si>
    <t>sets!g7</t>
  </si>
  <si>
    <t>sets!h7</t>
  </si>
  <si>
    <t>sets!i7</t>
  </si>
  <si>
    <t>sets!j7</t>
  </si>
  <si>
    <t>sets!k7</t>
  </si>
  <si>
    <t>sets!l7</t>
  </si>
  <si>
    <t>sets!m7</t>
  </si>
  <si>
    <t>sets!n7</t>
  </si>
  <si>
    <t>sets!o7</t>
  </si>
  <si>
    <t>sets!p7</t>
  </si>
  <si>
    <t>sets!q7</t>
  </si>
  <si>
    <t>sets!r7</t>
  </si>
  <si>
    <t>sets!t7</t>
  </si>
  <si>
    <t>sets!w7</t>
  </si>
  <si>
    <t>sam</t>
  </si>
  <si>
    <t>elasticities!a7</t>
  </si>
  <si>
    <t>elasticities!e7</t>
  </si>
  <si>
    <t>production!a7</t>
  </si>
  <si>
    <t>population!a7</t>
  </si>
  <si>
    <t>tradelas</t>
  </si>
  <si>
    <t>prodelastab</t>
  </si>
  <si>
    <t>leselas1</t>
  </si>
  <si>
    <t>qfinput</t>
  </si>
  <si>
    <t>wfinput</t>
  </si>
  <si>
    <t>poptab</t>
  </si>
  <si>
    <t>AL</t>
  </si>
  <si>
    <t>employment!a7</t>
  </si>
  <si>
    <t>employment!c7</t>
  </si>
  <si>
    <t>al</t>
  </si>
  <si>
    <t>mala</t>
  </si>
  <si>
    <t>Instruction</t>
  </si>
  <si>
    <t>Factor and Trade Substitution Elasticities</t>
  </si>
  <si>
    <t>Enter elasticities if available.</t>
  </si>
  <si>
    <t>Trade elasticities (TRADELAS)</t>
  </si>
  <si>
    <t>Armington</t>
  </si>
  <si>
    <t>Transformation</t>
  </si>
  <si>
    <t>SIGMAQ</t>
  </si>
  <si>
    <t>SIGMAT</t>
  </si>
  <si>
    <t>Production elasticities (PRODELAS)</t>
  </si>
  <si>
    <t>Factor substitution</t>
  </si>
  <si>
    <t>PRODELAS</t>
  </si>
  <si>
    <t>PRODELAS2</t>
  </si>
  <si>
    <t>Region</t>
  </si>
  <si>
    <t>Factor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</si>
  <si>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</si>
  <si>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</si>
  <si>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</si>
  <si>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</si>
  <si>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</si>
  <si>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</si>
  <si>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</si>
  <si>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</si>
  <si>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</t>
  </si>
  <si>
    <t>Animal products nec</t>
  </si>
  <si>
    <t>Raw milk</t>
  </si>
  <si>
    <t>Wool, silk-worm cocoons</t>
  </si>
  <si>
    <t>Coal</t>
  </si>
  <si>
    <t>Oil</t>
  </si>
  <si>
    <t>Gas</t>
  </si>
  <si>
    <t>Minerals nec</t>
  </si>
  <si>
    <t>Bovine meat prods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</si>
  <si>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</si>
  <si>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</si>
  <si>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</si>
  <si>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</si>
  <si>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</si>
  <si>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</si>
  <si>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</si>
  <si>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</si>
  <si>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</si>
  <si>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Wood products</t>
  </si>
  <si>
    <t>Paper products, publishing</t>
  </si>
  <si>
    <t>Petroleum, coal products</t>
  </si>
  <si>
    <t>Chemical, rubber, plastic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</si>
  <si>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</si>
  <si>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</si>
  <si>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</si>
  <si>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</si>
  <si>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</si>
  <si>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</si>
  <si>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Electronic equipment</t>
  </si>
  <si>
    <t>Machinery and equipment nec</t>
  </si>
  <si>
    <t>Manufactures nec</t>
  </si>
  <si>
    <t>Electricity</t>
  </si>
  <si>
    <t>Gas manufacture, distribution</t>
  </si>
  <si>
    <t>Water</t>
  </si>
  <si>
    <t>Trade</t>
  </si>
  <si>
    <t>Transport nec</t>
  </si>
  <si>
    <t>Water transport</t>
  </si>
  <si>
    <t>Air transport</t>
  </si>
  <si>
    <t>Communication</t>
  </si>
  <si>
    <t>Financial services nec</t>
  </si>
  <si>
    <t>Insurance</t>
  </si>
  <si>
    <t>Business services nec</t>
  </si>
  <si>
    <t>Recreational and other services</t>
  </si>
  <si>
    <t>Public Admin, Defense, Education,</t>
  </si>
  <si>
    <t>Dwellings</t>
  </si>
  <si>
    <t>Original GTAP elasticities</t>
  </si>
  <si>
    <t>Assigned GTAP elasticities</t>
  </si>
  <si>
    <t>Mapped</t>
  </si>
  <si>
    <t>prod</t>
  </si>
  <si>
    <t>area</t>
  </si>
  <si>
    <t>yield</t>
  </si>
  <si>
    <t>Agricultural Production Quantities</t>
  </si>
  <si>
    <t>Enter land area and quantity produced for crops and livestock (by region if necessary)</t>
  </si>
  <si>
    <t>Labor Employment</t>
  </si>
  <si>
    <t>Aggregate sectors</t>
  </si>
  <si>
    <t>Mapping to subsectors</t>
  </si>
  <si>
    <t>crp</t>
  </si>
  <si>
    <t>liv</t>
  </si>
  <si>
    <t>oag</t>
  </si>
  <si>
    <t>min</t>
  </si>
  <si>
    <t>fdp</t>
  </si>
  <si>
    <t>txt</t>
  </si>
  <si>
    <t>wdp</t>
  </si>
  <si>
    <t>chm</t>
  </si>
  <si>
    <t>nmt</t>
  </si>
  <si>
    <t>mch</t>
  </si>
  <si>
    <t>omn</t>
  </si>
  <si>
    <t>utl</t>
  </si>
  <si>
    <t>con</t>
  </si>
  <si>
    <t>trn</t>
  </si>
  <si>
    <t>pad</t>
  </si>
  <si>
    <t>edu</t>
  </si>
  <si>
    <t>hsw</t>
  </si>
  <si>
    <t>osv</t>
  </si>
  <si>
    <t>Sectoral wages (WFBASE)</t>
  </si>
  <si>
    <t>Sectoral employment (QFBASE)</t>
  </si>
  <si>
    <t>Enter either aggregate sector wages or employment numbers</t>
  </si>
  <si>
    <t>Household Population</t>
  </si>
  <si>
    <t>Enter number of people in each representative household group (sums to national population).</t>
  </si>
  <si>
    <t>Summary</t>
  </si>
  <si>
    <t>Q1</t>
  </si>
  <si>
    <t>National</t>
  </si>
  <si>
    <t>Urban</t>
  </si>
  <si>
    <t>Q2</t>
  </si>
  <si>
    <t>Q3</t>
  </si>
  <si>
    <t>Q4</t>
  </si>
  <si>
    <t>Q5</t>
  </si>
  <si>
    <t>People</t>
  </si>
  <si>
    <t>Share</t>
  </si>
  <si>
    <t>proddata</t>
  </si>
  <si>
    <t>REMEXP</t>
  </si>
  <si>
    <t>REMIMP</t>
  </si>
  <si>
    <t>REEXPORT</t>
  </si>
  <si>
    <t>NETIMPS</t>
  </si>
  <si>
    <t>NETEXPS</t>
  </si>
  <si>
    <t>Re-exports</t>
  </si>
  <si>
    <t xml:space="preserve">Net out trade </t>
  </si>
  <si>
    <t>Remove small trade shares</t>
  </si>
  <si>
    <t>Adjustments to SAM Trade Flows</t>
  </si>
  <si>
    <t>remexp</t>
  </si>
  <si>
    <t>remimp</t>
  </si>
  <si>
    <t>reexport</t>
  </si>
  <si>
    <t>netexps</t>
  </si>
  <si>
    <t>netimps</t>
  </si>
  <si>
    <t>adjust!a7</t>
  </si>
  <si>
    <t>adjust!b7</t>
  </si>
  <si>
    <t>adjust!c7</t>
  </si>
  <si>
    <t>adjust!d7</t>
  </si>
  <si>
    <t>adjust!e7</t>
  </si>
  <si>
    <t>adjust!f7</t>
  </si>
  <si>
    <t>milk</t>
  </si>
  <si>
    <t>Meat processing</t>
  </si>
  <si>
    <t>fsea</t>
  </si>
  <si>
    <t>Fish and seafood processing</t>
  </si>
  <si>
    <t>dair</t>
  </si>
  <si>
    <t>Dairy</t>
  </si>
  <si>
    <t>fert</t>
  </si>
  <si>
    <t>employment!g6</t>
  </si>
  <si>
    <t>crp_cer</t>
  </si>
  <si>
    <t>crp_rts</t>
  </si>
  <si>
    <t>crp_pul</t>
  </si>
  <si>
    <t>crp_oil</t>
  </si>
  <si>
    <t>crp_veg</t>
  </si>
  <si>
    <t>crp_fru</t>
  </si>
  <si>
    <t>crp_exp</t>
  </si>
  <si>
    <t>crp_oth</t>
  </si>
  <si>
    <t>oag_for</t>
  </si>
  <si>
    <t>oag_fsh</t>
  </si>
  <si>
    <t>com</t>
  </si>
  <si>
    <t>fdp_hgh</t>
  </si>
  <si>
    <t>fdp_low</t>
  </si>
  <si>
    <t>Petroleum products</t>
  </si>
  <si>
    <t>Fertilizers and herbicides</t>
  </si>
  <si>
    <t>Machinery and other equipment</t>
  </si>
  <si>
    <t>Household survey data</t>
  </si>
  <si>
    <t>Target population</t>
  </si>
  <si>
    <t>Agriculture</t>
  </si>
  <si>
    <t>Industry</t>
  </si>
  <si>
    <t>sets!aa7</t>
  </si>
  <si>
    <t>sets!ab7</t>
  </si>
  <si>
    <t>sets!ac7</t>
  </si>
  <si>
    <t>sets!ad7</t>
  </si>
  <si>
    <t>sets!ae7</t>
  </si>
  <si>
    <t>sets!af7</t>
  </si>
  <si>
    <t>sets!ag7</t>
  </si>
  <si>
    <t>sets!ah7</t>
  </si>
  <si>
    <t>sets!ai7</t>
  </si>
  <si>
    <t>Sectoral groups for employment calculations</t>
  </si>
  <si>
    <t>Production</t>
  </si>
  <si>
    <t>Area</t>
  </si>
  <si>
    <t>Yield</t>
  </si>
  <si>
    <t>mt/ha</t>
  </si>
  <si>
    <t>1000mt</t>
  </si>
  <si>
    <t>1000ha</t>
  </si>
  <si>
    <t>*</t>
  </si>
  <si>
    <t>Perfect substitutes</t>
  </si>
  <si>
    <t>aipot</t>
  </si>
  <si>
    <t>aspot</t>
  </si>
  <si>
    <t>aleaf</t>
  </si>
  <si>
    <t>anuts</t>
  </si>
  <si>
    <t>abana</t>
  </si>
  <si>
    <t>aeggs</t>
  </si>
  <si>
    <t>arest</t>
  </si>
  <si>
    <t>crest</t>
  </si>
  <si>
    <t>rest</t>
  </si>
  <si>
    <t>arubb</t>
  </si>
  <si>
    <t>flab-n</t>
  </si>
  <si>
    <t>flab-p</t>
  </si>
  <si>
    <t>flab-s</t>
  </si>
  <si>
    <t>flab-t</t>
  </si>
  <si>
    <t>employment!g50</t>
  </si>
  <si>
    <t>fcap-c</t>
  </si>
  <si>
    <t>fcap-l</t>
  </si>
  <si>
    <t>fcap-m</t>
  </si>
  <si>
    <t>fcap-o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</si>
  <si>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</si>
  <si>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</si>
  <si>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</si>
  <si>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</si>
  <si>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</si>
  <si>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</si>
  <si>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</si>
  <si>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</si>
  <si>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</si>
  <si>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</si>
  <si>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</si>
  <si>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</si>
  <si>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</si>
  <si>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</si>
  <si>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</si>
  <si>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</si>
  <si>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</si>
  <si>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</si>
  <si>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</si>
  <si>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</si>
  <si>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</si>
  <si>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</si>
  <si>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</si>
  <si>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</si>
  <si>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sets!aj7</t>
  </si>
  <si>
    <t>sets!ak7</t>
  </si>
  <si>
    <t>sets!al7</t>
  </si>
  <si>
    <t>hfs</t>
  </si>
  <si>
    <t>rbs</t>
  </si>
  <si>
    <t>fsv</t>
  </si>
  <si>
    <t>x</t>
  </si>
  <si>
    <t>aplan</t>
  </si>
  <si>
    <t>CER</t>
  </si>
  <si>
    <t>cer</t>
  </si>
  <si>
    <t>hhd-n1</t>
  </si>
  <si>
    <t>hhd-n2</t>
  </si>
  <si>
    <t>hhd-n3</t>
  </si>
  <si>
    <t>hhd-n4</t>
  </si>
  <si>
    <t>hhd-n5</t>
  </si>
  <si>
    <t>Farm</t>
  </si>
  <si>
    <t>Nonfarm</t>
  </si>
  <si>
    <t>thousand</t>
  </si>
  <si>
    <t>Extract SAM values - marketed</t>
  </si>
  <si>
    <t>Extract SAM values - home</t>
  </si>
  <si>
    <t>Extract SAM values - total</t>
  </si>
  <si>
    <t>Rural farm</t>
  </si>
  <si>
    <t>Rural nonfarm</t>
  </si>
  <si>
    <t>Total food</t>
  </si>
  <si>
    <t>Total consumption - LCU</t>
  </si>
  <si>
    <t>Total consumption - USD</t>
  </si>
  <si>
    <t>Total per capita consumption - USD</t>
  </si>
  <si>
    <t>Population (thousands)</t>
  </si>
  <si>
    <t>Share of supernumerary in total</t>
  </si>
  <si>
    <t>Step 3: define share of total subsistence consumption in TOTAL consumtion (using Frisch parameter)</t>
  </si>
  <si>
    <t>Frisch (using Llych 1977)</t>
  </si>
  <si>
    <t>cereals</t>
  </si>
  <si>
    <t>pulses</t>
  </si>
  <si>
    <t>roots</t>
  </si>
  <si>
    <t>(other) vegetables</t>
  </si>
  <si>
    <t>fruits</t>
  </si>
  <si>
    <t>fish-meat-egg</t>
  </si>
  <si>
    <t>diary</t>
  </si>
  <si>
    <t>fats &amp; oils</t>
  </si>
  <si>
    <t>other food</t>
  </si>
  <si>
    <t>other ag</t>
  </si>
  <si>
    <t>clothing and textile</t>
  </si>
  <si>
    <t>mining</t>
  </si>
  <si>
    <t>manufacturing</t>
  </si>
  <si>
    <t>utilities</t>
  </si>
  <si>
    <t>contruction</t>
  </si>
  <si>
    <t>hotels and restaurants</t>
  </si>
  <si>
    <t>trade, transport and comm</t>
  </si>
  <si>
    <t>housing</t>
  </si>
  <si>
    <t>education, health and public</t>
  </si>
  <si>
    <t>other services</t>
  </si>
  <si>
    <t>ABS - disagg</t>
  </si>
  <si>
    <t>20 groups - ABS</t>
  </si>
  <si>
    <t>Total nonfood</t>
  </si>
  <si>
    <t>MBS</t>
  </si>
  <si>
    <t>STEP 2: set MBS - marginal budget shares and income elast (MBS=ABS*income elast)</t>
  </si>
  <si>
    <t>SAM values</t>
  </si>
  <si>
    <t>income elasticities - FINAL disagg (will enter 1model)</t>
  </si>
  <si>
    <t>marketed</t>
  </si>
  <si>
    <t>home</t>
  </si>
  <si>
    <t>leselas2</t>
  </si>
  <si>
    <t>FRISCH</t>
  </si>
  <si>
    <t>1970 USD/LCU</t>
  </si>
  <si>
    <t>2019 USD/LCU</t>
  </si>
  <si>
    <r>
      <t>STEP 1: calculate ABS - average budget shares (based on SAM).</t>
    </r>
    <r>
      <rPr>
        <sz val="11"/>
        <color rgb="FFFF0000"/>
        <rFont val="Calibri"/>
        <family val="2"/>
        <scheme val="minor"/>
      </rPr>
      <t xml:space="preserve"> </t>
    </r>
  </si>
  <si>
    <t>Step 4: check gamma shares (should be the same as in 1model, both marketed and home)</t>
  </si>
  <si>
    <t>Share of subsistnce in total</t>
  </si>
  <si>
    <t>Frisch</t>
  </si>
  <si>
    <t>Choose here which USD to use</t>
  </si>
  <si>
    <t>Frisch - FINAL (will enter 1model). Adjust formula if necessary</t>
  </si>
  <si>
    <t>caregory</t>
  </si>
  <si>
    <t>broad categories</t>
  </si>
  <si>
    <t>given</t>
  </si>
  <si>
    <t>category</t>
  </si>
  <si>
    <t>given - residual categories</t>
  </si>
  <si>
    <t>residual</t>
  </si>
  <si>
    <t>given=income elasticity WILL bew given</t>
  </si>
  <si>
    <t>Residual formula</t>
  </si>
  <si>
    <t>residual = income elasticity WILL be calculated/calibrated as a residual</t>
  </si>
  <si>
    <t>Households LES parametrization</t>
  </si>
  <si>
    <t>STEP 0: classification</t>
  </si>
  <si>
    <t>SAM 4 letters</t>
  </si>
  <si>
    <t>SAM commodities</t>
  </si>
  <si>
    <t>SAM activities</t>
  </si>
  <si>
    <t>DO NOT CHANGE ANYTHING UNLESS INSTRUCTED (BLACK cells should NOT be changed; color cells CAN be changed). Follow steps.</t>
  </si>
  <si>
    <t>Total national</t>
  </si>
  <si>
    <t>Specify if given or residual</t>
  </si>
  <si>
    <t>Total given</t>
  </si>
  <si>
    <t>Total residual</t>
  </si>
  <si>
    <r>
      <t>income elast (factor correcting ABS, enter here ONLY given (</t>
    </r>
    <r>
      <rPr>
        <b/>
        <sz val="11"/>
        <rFont val="Calibri"/>
        <family val="2"/>
        <scheme val="minor"/>
      </rPr>
      <t>YELLOW</t>
    </r>
    <r>
      <rPr>
        <b/>
        <sz val="11"/>
        <color theme="1"/>
        <rFont val="Calibri"/>
        <family val="2"/>
        <scheme val="minor"/>
      </rPr>
      <t>). residual will adjust automatically</t>
    </r>
  </si>
  <si>
    <t>acere</t>
  </si>
  <si>
    <t>alive</t>
  </si>
  <si>
    <t>amino</t>
  </si>
  <si>
    <t>afobe</t>
  </si>
  <si>
    <t>aoapr</t>
  </si>
  <si>
    <t>ccere</t>
  </si>
  <si>
    <t>clive</t>
  </si>
  <si>
    <t>cmine</t>
  </si>
  <si>
    <t>cmino</t>
  </si>
  <si>
    <t>cfobe</t>
  </si>
  <si>
    <t>coapr</t>
  </si>
  <si>
    <t>lab-n</t>
  </si>
  <si>
    <t>lab-p</t>
  </si>
  <si>
    <t>lab-s</t>
  </si>
  <si>
    <t>lab-t</t>
  </si>
  <si>
    <t>Labor - uneducated</t>
  </si>
  <si>
    <t>Labor - primary</t>
  </si>
  <si>
    <t>Labor - secondary</t>
  </si>
  <si>
    <t>Labor - tertiary</t>
  </si>
  <si>
    <t>cere</t>
  </si>
  <si>
    <t>Cereals</t>
  </si>
  <si>
    <t>Oilseeds</t>
  </si>
  <si>
    <t>Roots and Tubers</t>
  </si>
  <si>
    <t>Vegetables</t>
  </si>
  <si>
    <t>Fruits</t>
  </si>
  <si>
    <t>live</t>
  </si>
  <si>
    <t>Fishery</t>
  </si>
  <si>
    <t>mine</t>
  </si>
  <si>
    <t>Mining - energy</t>
  </si>
  <si>
    <t>mino</t>
  </si>
  <si>
    <t>Mining - other</t>
  </si>
  <si>
    <t>Grain milling</t>
  </si>
  <si>
    <t>fobe</t>
  </si>
  <si>
    <t>Other food and beverages</t>
  </si>
  <si>
    <t>oapr</t>
  </si>
  <si>
    <t>Other processing of ag products</t>
  </si>
  <si>
    <t>Chemicals</t>
  </si>
  <si>
    <t>Hotels</t>
  </si>
  <si>
    <t>Restaurants</t>
  </si>
  <si>
    <t>amine</t>
  </si>
  <si>
    <t>vegetables</t>
  </si>
  <si>
    <t>abecr</t>
  </si>
  <si>
    <t>cbecr</t>
  </si>
  <si>
    <t>becr</t>
  </si>
  <si>
    <t>Beverage crops</t>
  </si>
  <si>
    <t>Other non-food crops</t>
  </si>
  <si>
    <t>Metals</t>
  </si>
  <si>
    <t>LES!b131</t>
  </si>
  <si>
    <t>LES!s131</t>
  </si>
  <si>
    <t>LES!C206</t>
  </si>
  <si>
    <t>VAshr</t>
  </si>
  <si>
    <t>PRDshr</t>
  </si>
  <si>
    <t>EMPshr</t>
  </si>
  <si>
    <t>EXPshr</t>
  </si>
  <si>
    <t>EXP-OUTshr</t>
  </si>
  <si>
    <t>IMPshr</t>
  </si>
  <si>
    <t>IMP-DEMshr</t>
  </si>
  <si>
    <t>TOTAL-1</t>
  </si>
  <si>
    <t>Rwanda</t>
  </si>
  <si>
    <t>Billions of Rwandan Francs</t>
  </si>
  <si>
    <t>shares rearranged</t>
  </si>
  <si>
    <t>Population (millions)</t>
  </si>
  <si>
    <t>Rural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</si>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</sst>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7" fillId="0" borderId="0" xfId="0" applyFont="1"/>
    <xf numFmtId="0" fontId="6" fillId="0" borderId="0" xfId="0" applyFont="1"/>
    <xf numFmtId="2" fontId="6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164" fontId="0" fillId="0" borderId="1" xfId="0" applyNumberFormat="1" applyBorder="1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4" fillId="0" borderId="0" xfId="0" applyFont="1" applyAlignment="1">
      <alignment horizontal="center"/>
    </xf>
    <xf numFmtId="3" fontId="0" fillId="0" borderId="0" xfId="0" applyNumberFormat="1" applyProtection="1"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2" xfId="0" applyNumberFormat="1" applyBorder="1" applyProtection="1">
      <protection locked="0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0" fillId="0" borderId="1" xfId="0" applyBorder="1"/>
    <xf numFmtId="3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10" fillId="0" borderId="0" xfId="0" applyFont="1"/>
    <xf numFmtId="2" fontId="10" fillId="0" borderId="0" xfId="0" applyNumberFormat="1" applyFont="1" applyProtection="1">
      <protection locked="0"/>
    </xf>
    <xf numFmtId="165" fontId="0" fillId="0" borderId="0" xfId="0" applyNumberFormat="1"/>
    <xf numFmtId="165" fontId="0" fillId="0" borderId="0" xfId="0" quotePrefix="1" applyNumberFormat="1"/>
    <xf numFmtId="2" fontId="1" fillId="0" borderId="0" xfId="0" applyNumberFormat="1" applyFont="1"/>
    <xf numFmtId="0" fontId="0" fillId="2" borderId="0" xfId="0" applyFill="1"/>
    <xf numFmtId="2" fontId="10" fillId="0" borderId="1" xfId="0" applyNumberFormat="1" applyFont="1" applyBorder="1" applyProtection="1">
      <protection locked="0"/>
    </xf>
    <xf numFmtId="2" fontId="10" fillId="0" borderId="7" xfId="0" applyNumberFormat="1" applyFont="1" applyBorder="1" applyProtection="1">
      <protection locked="0"/>
    </xf>
    <xf numFmtId="2" fontId="10" fillId="0" borderId="8" xfId="0" applyNumberFormat="1" applyFont="1" applyBorder="1" applyProtection="1">
      <protection locked="0"/>
    </xf>
    <xf numFmtId="0" fontId="0" fillId="0" borderId="9" xfId="0" applyBorder="1"/>
    <xf numFmtId="0" fontId="0" fillId="0" borderId="7" xfId="0" applyBorder="1"/>
    <xf numFmtId="0" fontId="0" fillId="0" borderId="6" xfId="0" applyBorder="1"/>
    <xf numFmtId="2" fontId="1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4" fontId="0" fillId="0" borderId="0" xfId="0" applyNumberFormat="1"/>
    <xf numFmtId="2" fontId="11" fillId="0" borderId="0" xfId="0" applyNumberFormat="1" applyFont="1" applyProtection="1">
      <protection locked="0"/>
    </xf>
    <xf numFmtId="2" fontId="0" fillId="0" borderId="1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5" xfId="0" applyBorder="1"/>
    <xf numFmtId="2" fontId="0" fillId="0" borderId="5" xfId="0" applyNumberFormat="1" applyBorder="1" applyProtection="1">
      <protection locked="0"/>
    </xf>
    <xf numFmtId="0" fontId="0" fillId="0" borderId="12" xfId="0" applyBorder="1"/>
    <xf numFmtId="4" fontId="0" fillId="0" borderId="6" xfId="0" applyNumberFormat="1" applyBorder="1"/>
    <xf numFmtId="4" fontId="0" fillId="0" borderId="3" xfId="0" applyNumberFormat="1" applyBorder="1"/>
    <xf numFmtId="4" fontId="0" fillId="0" borderId="1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5" xfId="0" applyNumberFormat="1" applyBorder="1"/>
    <xf numFmtId="4" fontId="0" fillId="0" borderId="12" xfId="0" applyNumberFormat="1" applyBorder="1"/>
    <xf numFmtId="4" fontId="0" fillId="0" borderId="4" xfId="0" applyNumberFormat="1" applyBorder="1"/>
    <xf numFmtId="4" fontId="0" fillId="0" borderId="9" xfId="0" applyNumberFormat="1" applyBorder="1"/>
    <xf numFmtId="4" fontId="0" fillId="3" borderId="5" xfId="0" applyNumberFormat="1" applyFill="1" applyBorder="1"/>
    <xf numFmtId="4" fontId="1" fillId="0" borderId="0" xfId="0" applyNumberFormat="1" applyFont="1"/>
    <xf numFmtId="4" fontId="0" fillId="3" borderId="12" xfId="0" applyNumberFormat="1" applyFill="1" applyBorder="1"/>
    <xf numFmtId="4" fontId="0" fillId="3" borderId="4" xfId="0" applyNumberFormat="1" applyFill="1" applyBorder="1"/>
    <xf numFmtId="4" fontId="0" fillId="3" borderId="0" xfId="0" applyNumberFormat="1" applyFill="1"/>
    <xf numFmtId="4" fontId="0" fillId="3" borderId="6" xfId="0" applyNumberFormat="1" applyFill="1" applyBorder="1"/>
    <xf numFmtId="4" fontId="0" fillId="3" borderId="3" xfId="0" applyNumberFormat="1" applyFill="1" applyBorder="1"/>
    <xf numFmtId="4" fontId="1" fillId="3" borderId="0" xfId="0" applyNumberFormat="1" applyFont="1" applyFill="1"/>
    <xf numFmtId="4" fontId="0" fillId="0" borderId="1" xfId="0" applyNumberFormat="1" applyBorder="1" applyProtection="1">
      <protection locked="0"/>
    </xf>
    <xf numFmtId="0" fontId="0" fillId="3" borderId="0" xfId="0" applyFill="1"/>
    <xf numFmtId="0" fontId="1" fillId="3" borderId="0" xfId="0" applyFont="1" applyFill="1"/>
    <xf numFmtId="4" fontId="1" fillId="0" borderId="0" xfId="0" applyNumberFormat="1" applyFont="1" applyProtection="1">
      <protection locked="0"/>
    </xf>
    <xf numFmtId="0" fontId="0" fillId="0" borderId="10" xfId="0" applyBorder="1"/>
    <xf numFmtId="4" fontId="0" fillId="0" borderId="11" xfId="0" applyNumberFormat="1" applyBorder="1"/>
    <xf numFmtId="4" fontId="0" fillId="0" borderId="10" xfId="0" applyNumberFormat="1" applyBorder="1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12" xfId="0" applyFont="1" applyBorder="1"/>
    <xf numFmtId="0" fontId="1" fillId="0" borderId="1" xfId="0" applyFont="1" applyBorder="1"/>
    <xf numFmtId="2" fontId="1" fillId="0" borderId="1" xfId="0" applyNumberFormat="1" applyFont="1" applyBorder="1" applyProtection="1">
      <protection locked="0"/>
    </xf>
    <xf numFmtId="2" fontId="11" fillId="0" borderId="1" xfId="0" applyNumberFormat="1" applyFont="1" applyBorder="1" applyProtection="1">
      <protection locked="0"/>
    </xf>
    <xf numFmtId="4" fontId="1" fillId="0" borderId="5" xfId="0" applyNumberFormat="1" applyFont="1" applyBorder="1"/>
    <xf numFmtId="4" fontId="1" fillId="0" borderId="12" xfId="0" applyNumberFormat="1" applyFont="1" applyBorder="1"/>
    <xf numFmtId="4" fontId="1" fillId="0" borderId="4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4" fontId="0" fillId="4" borderId="0" xfId="0" applyNumberFormat="1" applyFill="1"/>
    <xf numFmtId="4" fontId="0" fillId="4" borderId="6" xfId="0" applyNumberFormat="1" applyFill="1" applyBorder="1"/>
    <xf numFmtId="4" fontId="0" fillId="4" borderId="3" xfId="0" applyNumberFormat="1" applyFill="1" applyBorder="1"/>
    <xf numFmtId="0" fontId="0" fillId="4" borderId="7" xfId="0" applyFill="1" applyBorder="1" applyAlignment="1">
      <alignment horizontal="center" vertical="center"/>
    </xf>
    <xf numFmtId="0" fontId="0" fillId="4" borderId="7" xfId="0" applyFill="1" applyBorder="1"/>
    <xf numFmtId="4" fontId="0" fillId="4" borderId="1" xfId="0" applyNumberFormat="1" applyFill="1" applyBorder="1"/>
    <xf numFmtId="4" fontId="0" fillId="4" borderId="7" xfId="0" applyNumberFormat="1" applyFill="1" applyBorder="1"/>
    <xf numFmtId="4" fontId="0" fillId="4" borderId="8" xfId="0" applyNumberFormat="1" applyFill="1" applyBorder="1"/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/>
    <xf numFmtId="4" fontId="0" fillId="4" borderId="5" xfId="0" applyNumberFormat="1" applyFill="1" applyBorder="1"/>
    <xf numFmtId="4" fontId="0" fillId="4" borderId="12" xfId="0" applyNumberFormat="1" applyFill="1" applyBorder="1"/>
    <xf numFmtId="4" fontId="0" fillId="4" borderId="4" xfId="0" applyNumberForma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13" fillId="4" borderId="12" xfId="0" applyFont="1" applyFill="1" applyBorder="1"/>
    <xf numFmtId="0" fontId="13" fillId="0" borderId="7" xfId="0" applyFont="1" applyBorder="1"/>
    <xf numFmtId="0" fontId="13" fillId="0" borderId="12" xfId="0" applyFont="1" applyBorder="1"/>
    <xf numFmtId="0" fontId="13" fillId="0" borderId="6" xfId="0" applyFont="1" applyBorder="1"/>
    <xf numFmtId="0" fontId="13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4" fontId="0" fillId="3" borderId="1" xfId="0" applyNumberFormat="1" applyFill="1" applyBorder="1"/>
    <xf numFmtId="4" fontId="0" fillId="3" borderId="7" xfId="0" applyNumberFormat="1" applyFill="1" applyBorder="1"/>
    <xf numFmtId="4" fontId="0" fillId="3" borderId="8" xfId="0" applyNumberFormat="1" applyFill="1" applyBorder="1"/>
    <xf numFmtId="2" fontId="11" fillId="0" borderId="5" xfId="1" applyNumberFormat="1" applyFont="1" applyFill="1" applyBorder="1"/>
    <xf numFmtId="2" fontId="11" fillId="0" borderId="12" xfId="1" applyNumberFormat="1" applyFont="1" applyFill="1" applyBorder="1"/>
    <xf numFmtId="2" fontId="11" fillId="0" borderId="4" xfId="1" applyNumberFormat="1" applyFont="1" applyFill="1" applyBorder="1"/>
    <xf numFmtId="2" fontId="11" fillId="0" borderId="1" xfId="1" applyNumberFormat="1" applyFont="1" applyFill="1" applyBorder="1"/>
    <xf numFmtId="2" fontId="11" fillId="0" borderId="7" xfId="1" applyNumberFormat="1" applyFont="1" applyFill="1" applyBorder="1"/>
    <xf numFmtId="2" fontId="11" fillId="0" borderId="8" xfId="1" applyNumberFormat="1" applyFont="1" applyFill="1" applyBorder="1"/>
    <xf numFmtId="2" fontId="11" fillId="0" borderId="9" xfId="1" applyNumberFormat="1" applyFont="1" applyFill="1" applyBorder="1"/>
    <xf numFmtId="2" fontId="11" fillId="0" borderId="10" xfId="1" applyNumberFormat="1" applyFont="1" applyFill="1" applyBorder="1"/>
    <xf numFmtId="2" fontId="11" fillId="0" borderId="11" xfId="1" applyNumberFormat="1" applyFont="1" applyFill="1" applyBorder="1"/>
    <xf numFmtId="4" fontId="1" fillId="0" borderId="11" xfId="0" applyNumberFormat="1" applyFont="1" applyBorder="1" applyAlignment="1">
      <alignment horizontal="center"/>
    </xf>
    <xf numFmtId="4" fontId="11" fillId="0" borderId="11" xfId="1" applyNumberFormat="1" applyFont="1" applyFill="1" applyBorder="1"/>
    <xf numFmtId="4" fontId="11" fillId="0" borderId="9" xfId="1" applyNumberFormat="1" applyFont="1" applyFill="1" applyBorder="1"/>
    <xf numFmtId="4" fontId="11" fillId="0" borderId="10" xfId="1" applyNumberFormat="1" applyFont="1" applyFill="1" applyBorder="1"/>
    <xf numFmtId="4" fontId="1" fillId="0" borderId="8" xfId="0" applyNumberFormat="1" applyFont="1" applyBorder="1" applyAlignment="1">
      <alignment horizontal="center"/>
    </xf>
    <xf numFmtId="4" fontId="11" fillId="0" borderId="8" xfId="1" applyNumberFormat="1" applyFont="1" applyFill="1" applyBorder="1"/>
    <xf numFmtId="4" fontId="11" fillId="0" borderId="1" xfId="1" applyNumberFormat="1" applyFont="1" applyFill="1" applyBorder="1"/>
    <xf numFmtId="4" fontId="11" fillId="0" borderId="7" xfId="1" applyNumberFormat="1" applyFont="1" applyFill="1" applyBorder="1"/>
    <xf numFmtId="4" fontId="1" fillId="0" borderId="4" xfId="0" applyNumberFormat="1" applyFont="1" applyBorder="1" applyAlignment="1">
      <alignment horizontal="center"/>
    </xf>
    <xf numFmtId="4" fontId="11" fillId="0" borderId="4" xfId="1" applyNumberFormat="1" applyFont="1" applyFill="1" applyBorder="1"/>
    <xf numFmtId="4" fontId="11" fillId="0" borderId="5" xfId="1" applyNumberFormat="1" applyFont="1" applyFill="1" applyBorder="1"/>
    <xf numFmtId="4" fontId="11" fillId="0" borderId="12" xfId="1" applyNumberFormat="1" applyFont="1" applyFill="1" applyBorder="1"/>
    <xf numFmtId="0" fontId="10" fillId="3" borderId="0" xfId="0" applyFont="1" applyFill="1"/>
    <xf numFmtId="4" fontId="10" fillId="0" borderId="0" xfId="0" applyNumberFormat="1" applyFont="1"/>
    <xf numFmtId="4" fontId="10" fillId="3" borderId="0" xfId="0" applyNumberFormat="1" applyFont="1" applyFill="1"/>
    <xf numFmtId="4" fontId="10" fillId="0" borderId="0" xfId="0" applyNumberFormat="1" applyFont="1" applyProtection="1">
      <protection locked="0"/>
    </xf>
    <xf numFmtId="4" fontId="11" fillId="3" borderId="6" xfId="0" applyNumberFormat="1" applyFont="1" applyFill="1" applyBorder="1"/>
    <xf numFmtId="4" fontId="11" fillId="3" borderId="0" xfId="0" applyNumberFormat="1" applyFont="1" applyFill="1"/>
    <xf numFmtId="0" fontId="11" fillId="3" borderId="6" xfId="0" applyFont="1" applyFill="1" applyBorder="1"/>
    <xf numFmtId="0" fontId="11" fillId="3" borderId="0" xfId="0" applyFont="1" applyFill="1"/>
    <xf numFmtId="0" fontId="14" fillId="3" borderId="0" xfId="0" applyFont="1" applyFill="1"/>
    <xf numFmtId="2" fontId="14" fillId="3" borderId="0" xfId="0" applyNumberFormat="1" applyFont="1" applyFill="1" applyProtection="1">
      <protection locked="0"/>
    </xf>
    <xf numFmtId="2" fontId="0" fillId="3" borderId="0" xfId="0" applyNumberFormat="1" applyFill="1" applyProtection="1">
      <protection locked="0"/>
    </xf>
    <xf numFmtId="2" fontId="0" fillId="3" borderId="0" xfId="0" applyNumberFormat="1" applyFill="1"/>
    <xf numFmtId="10" fontId="0" fillId="0" borderId="0" xfId="1" applyNumberFormat="1" applyFont="1"/>
    <xf numFmtId="10" fontId="1" fillId="0" borderId="0" xfId="1" applyNumberFormat="1" applyFont="1"/>
    <xf numFmtId="0" fontId="1" fillId="5" borderId="0" xfId="0" applyFont="1" applyFill="1"/>
    <xf numFmtId="0" fontId="0" fillId="5" borderId="0" xfId="0" applyFill="1"/>
    <xf numFmtId="4" fontId="0" fillId="5" borderId="0" xfId="0" applyNumberFormat="1" applyFill="1"/>
    <xf numFmtId="4" fontId="1" fillId="5" borderId="2" xfId="0" applyNumberFormat="1" applyFont="1" applyFill="1" applyBorder="1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2" fontId="12" fillId="0" borderId="8" xfId="0" applyNumberFormat="1" applyFont="1" applyBorder="1" applyAlignment="1" applyProtection="1">
      <alignment horizontal="center" wrapText="1"/>
      <protection locked="0"/>
    </xf>
    <xf numFmtId="2" fontId="12" fillId="0" borderId="7" xfId="0" applyNumberFormat="1" applyFont="1" applyBorder="1" applyAlignment="1" applyProtection="1">
      <alignment horizontal="center" wrapText="1"/>
      <protection locked="0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2" fontId="10" fillId="0" borderId="0" xfId="0" applyNumberFormat="1" applyFont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0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56"/>
  <sheetViews>
    <sheetView zoomScale="85" zoomScaleNormal="85" workbookViewId="0">
      <pane ySplit="10" topLeftCell="A11" activePane="bottomLeft" state="frozen"/>
      <selection pane="bottomLeft" activeCell="I6" sqref="I6"/>
    </sheetView>
  </sheetViews>
  <sheetFormatPr defaultRowHeight="15" x14ac:dyDescent="0.25"/>
  <sheetData>
    <row r="1" spans="1:14" ht="18.75" x14ac:dyDescent="0.3">
      <c r="A1" s="2" t="str">
        <f>C4&amp;" "&amp;C3&amp;" RIAPA CGE Model"</f>
        <v>2019 Rwanda RIAPA CGE Model</v>
      </c>
    </row>
    <row r="3" spans="1:14" x14ac:dyDescent="0.25">
      <c r="A3" s="21" t="s">
        <v>540</v>
      </c>
      <c r="B3" s="1" t="s">
        <v>0</v>
      </c>
      <c r="C3" s="16" t="s">
        <v>733</v>
      </c>
    </row>
    <row r="4" spans="1:14" x14ac:dyDescent="0.25">
      <c r="A4" s="21" t="s">
        <v>540</v>
      </c>
      <c r="B4" s="1" t="s">
        <v>1</v>
      </c>
      <c r="C4" s="16">
        <v>2019</v>
      </c>
    </row>
    <row r="5" spans="1:14" x14ac:dyDescent="0.25">
      <c r="A5" s="21" t="s">
        <v>540</v>
      </c>
      <c r="B5" s="1" t="s">
        <v>2</v>
      </c>
      <c r="C5" s="16" t="s">
        <v>734</v>
      </c>
    </row>
    <row r="7" spans="1:14" x14ac:dyDescent="0.25">
      <c r="A7" s="21"/>
      <c r="B7" s="1"/>
      <c r="C7" s="16"/>
    </row>
    <row r="8" spans="1:14" x14ac:dyDescent="0.25">
      <c r="A8" s="21"/>
      <c r="B8" s="1"/>
      <c r="C8" s="16"/>
    </row>
    <row r="10" spans="1:14" x14ac:dyDescent="0.25">
      <c r="A10" s="1" t="s">
        <v>69</v>
      </c>
      <c r="E10" s="1" t="s">
        <v>58</v>
      </c>
      <c r="I10" s="1" t="s">
        <v>70</v>
      </c>
      <c r="M10" s="1" t="s">
        <v>101</v>
      </c>
    </row>
    <row r="11" spans="1:14" x14ac:dyDescent="0.25">
      <c r="A11" t="s">
        <v>694</v>
      </c>
      <c r="B11" t="s">
        <v>695</v>
      </c>
      <c r="E11" t="s">
        <v>686</v>
      </c>
      <c r="F11" t="s">
        <v>690</v>
      </c>
      <c r="I11" t="s">
        <v>71</v>
      </c>
      <c r="J11" t="s">
        <v>72</v>
      </c>
      <c r="M11" t="s">
        <v>102</v>
      </c>
      <c r="N11" t="s">
        <v>103</v>
      </c>
    </row>
    <row r="12" spans="1:14" x14ac:dyDescent="0.25">
      <c r="A12" t="s">
        <v>24</v>
      </c>
      <c r="B12" t="s">
        <v>11</v>
      </c>
      <c r="E12" t="s">
        <v>687</v>
      </c>
      <c r="F12" t="s">
        <v>691</v>
      </c>
      <c r="I12" t="s">
        <v>73</v>
      </c>
      <c r="J12" t="s">
        <v>74</v>
      </c>
      <c r="M12" t="s">
        <v>104</v>
      </c>
      <c r="N12" t="s">
        <v>105</v>
      </c>
    </row>
    <row r="13" spans="1:14" x14ac:dyDescent="0.25">
      <c r="A13" t="s">
        <v>25</v>
      </c>
      <c r="B13" t="s">
        <v>696</v>
      </c>
      <c r="E13" t="s">
        <v>688</v>
      </c>
      <c r="F13" t="s">
        <v>692</v>
      </c>
      <c r="I13" t="s">
        <v>75</v>
      </c>
      <c r="J13" t="s">
        <v>76</v>
      </c>
      <c r="M13" t="s">
        <v>106</v>
      </c>
      <c r="N13" t="s">
        <v>107</v>
      </c>
    </row>
    <row r="14" spans="1:14" x14ac:dyDescent="0.25">
      <c r="A14" t="s">
        <v>26</v>
      </c>
      <c r="B14" t="s">
        <v>697</v>
      </c>
      <c r="E14" t="s">
        <v>689</v>
      </c>
      <c r="F14" t="s">
        <v>693</v>
      </c>
      <c r="I14" t="s">
        <v>77</v>
      </c>
      <c r="J14" t="s">
        <v>78</v>
      </c>
      <c r="M14" t="s">
        <v>108</v>
      </c>
      <c r="N14" t="s">
        <v>109</v>
      </c>
    </row>
    <row r="15" spans="1:14" x14ac:dyDescent="0.25">
      <c r="A15" t="s">
        <v>27</v>
      </c>
      <c r="B15" t="s">
        <v>698</v>
      </c>
      <c r="E15" t="s">
        <v>59</v>
      </c>
      <c r="F15" t="s">
        <v>60</v>
      </c>
      <c r="I15" t="s">
        <v>79</v>
      </c>
      <c r="J15" t="s">
        <v>80</v>
      </c>
      <c r="M15" t="s">
        <v>110</v>
      </c>
      <c r="N15" t="s">
        <v>111</v>
      </c>
    </row>
    <row r="16" spans="1:14" x14ac:dyDescent="0.25">
      <c r="A16" t="s">
        <v>28</v>
      </c>
      <c r="B16" t="s">
        <v>699</v>
      </c>
      <c r="E16" t="s">
        <v>61</v>
      </c>
      <c r="F16" t="s">
        <v>62</v>
      </c>
      <c r="I16" t="s">
        <v>81</v>
      </c>
      <c r="J16" t="s">
        <v>82</v>
      </c>
      <c r="M16" t="s">
        <v>112</v>
      </c>
      <c r="N16" t="s">
        <v>113</v>
      </c>
    </row>
    <row r="17" spans="1:14" x14ac:dyDescent="0.25">
      <c r="A17" t="s">
        <v>718</v>
      </c>
      <c r="B17" t="s">
        <v>719</v>
      </c>
      <c r="E17" t="s">
        <v>63</v>
      </c>
      <c r="F17" t="s">
        <v>64</v>
      </c>
      <c r="I17" t="s">
        <v>83</v>
      </c>
      <c r="J17" t="s">
        <v>84</v>
      </c>
      <c r="M17" t="s">
        <v>114</v>
      </c>
      <c r="N17" t="s">
        <v>115</v>
      </c>
    </row>
    <row r="18" spans="1:14" x14ac:dyDescent="0.25">
      <c r="A18" t="s">
        <v>29</v>
      </c>
      <c r="B18" t="s">
        <v>720</v>
      </c>
      <c r="E18" t="s">
        <v>65</v>
      </c>
      <c r="F18" t="s">
        <v>66</v>
      </c>
      <c r="I18" t="s">
        <v>85</v>
      </c>
      <c r="J18" t="s">
        <v>86</v>
      </c>
      <c r="M18" t="s">
        <v>116</v>
      </c>
      <c r="N18" t="s">
        <v>117</v>
      </c>
    </row>
    <row r="19" spans="1:14" x14ac:dyDescent="0.25">
      <c r="A19" t="s">
        <v>700</v>
      </c>
      <c r="B19" t="s">
        <v>243</v>
      </c>
      <c r="E19" t="s">
        <v>67</v>
      </c>
      <c r="F19" t="s">
        <v>68</v>
      </c>
      <c r="I19" t="s">
        <v>87</v>
      </c>
      <c r="J19" t="s">
        <v>88</v>
      </c>
      <c r="M19" t="s">
        <v>118</v>
      </c>
      <c r="N19" t="s">
        <v>119</v>
      </c>
    </row>
    <row r="20" spans="1:14" x14ac:dyDescent="0.25">
      <c r="A20" t="s">
        <v>496</v>
      </c>
      <c r="B20" t="s">
        <v>388</v>
      </c>
      <c r="I20" t="s">
        <v>89</v>
      </c>
      <c r="J20" t="s">
        <v>90</v>
      </c>
      <c r="M20" t="s">
        <v>120</v>
      </c>
      <c r="N20" t="s">
        <v>121</v>
      </c>
    </row>
    <row r="21" spans="1:14" x14ac:dyDescent="0.25">
      <c r="A21" t="s">
        <v>30</v>
      </c>
      <c r="B21" t="s">
        <v>3</v>
      </c>
      <c r="I21" t="s">
        <v>91</v>
      </c>
      <c r="J21" t="s">
        <v>92</v>
      </c>
      <c r="M21" t="s">
        <v>122</v>
      </c>
      <c r="N21" t="s">
        <v>123</v>
      </c>
    </row>
    <row r="22" spans="1:14" x14ac:dyDescent="0.25">
      <c r="A22" t="s">
        <v>31</v>
      </c>
      <c r="B22" t="s">
        <v>701</v>
      </c>
      <c r="I22" t="s">
        <v>93</v>
      </c>
      <c r="J22" t="s">
        <v>94</v>
      </c>
      <c r="M22" t="s">
        <v>124</v>
      </c>
      <c r="N22" t="s">
        <v>125</v>
      </c>
    </row>
    <row r="23" spans="1:14" x14ac:dyDescent="0.25">
      <c r="A23" t="s">
        <v>702</v>
      </c>
      <c r="B23" t="s">
        <v>703</v>
      </c>
      <c r="I23" t="s">
        <v>95</v>
      </c>
      <c r="J23" t="s">
        <v>96</v>
      </c>
      <c r="M23" t="s">
        <v>126</v>
      </c>
      <c r="N23" t="s">
        <v>127</v>
      </c>
    </row>
    <row r="24" spans="1:14" x14ac:dyDescent="0.25">
      <c r="A24" t="s">
        <v>704</v>
      </c>
      <c r="B24" t="s">
        <v>705</v>
      </c>
      <c r="I24" t="s">
        <v>97</v>
      </c>
      <c r="J24" t="s">
        <v>98</v>
      </c>
    </row>
    <row r="25" spans="1:14" x14ac:dyDescent="0.25">
      <c r="A25" t="s">
        <v>35</v>
      </c>
      <c r="B25" t="s">
        <v>706</v>
      </c>
      <c r="I25" t="s">
        <v>99</v>
      </c>
      <c r="J25" t="s">
        <v>100</v>
      </c>
    </row>
    <row r="26" spans="1:14" x14ac:dyDescent="0.25">
      <c r="A26" t="s">
        <v>34</v>
      </c>
      <c r="B26" t="s">
        <v>14</v>
      </c>
    </row>
    <row r="27" spans="1:14" x14ac:dyDescent="0.25">
      <c r="A27" t="s">
        <v>33</v>
      </c>
      <c r="B27" t="s">
        <v>13</v>
      </c>
    </row>
    <row r="28" spans="1:14" x14ac:dyDescent="0.25">
      <c r="A28" t="s">
        <v>32</v>
      </c>
      <c r="B28" t="s">
        <v>497</v>
      </c>
    </row>
    <row r="29" spans="1:14" x14ac:dyDescent="0.25">
      <c r="A29" t="s">
        <v>498</v>
      </c>
      <c r="B29" t="s">
        <v>499</v>
      </c>
    </row>
    <row r="30" spans="1:14" x14ac:dyDescent="0.25">
      <c r="A30" t="s">
        <v>500</v>
      </c>
      <c r="B30" t="s">
        <v>501</v>
      </c>
    </row>
    <row r="31" spans="1:14" x14ac:dyDescent="0.25">
      <c r="A31" t="s">
        <v>707</v>
      </c>
      <c r="B31" t="s">
        <v>708</v>
      </c>
    </row>
    <row r="32" spans="1:14" x14ac:dyDescent="0.25">
      <c r="A32" t="s">
        <v>709</v>
      </c>
      <c r="B32" t="s">
        <v>710</v>
      </c>
    </row>
    <row r="33" spans="1:2" x14ac:dyDescent="0.25">
      <c r="A33" t="s">
        <v>36</v>
      </c>
      <c r="B33" t="s">
        <v>4</v>
      </c>
    </row>
    <row r="34" spans="1:2" x14ac:dyDescent="0.25">
      <c r="A34" t="s">
        <v>37</v>
      </c>
      <c r="B34" t="s">
        <v>404</v>
      </c>
    </row>
    <row r="35" spans="1:2" x14ac:dyDescent="0.25">
      <c r="A35" t="s">
        <v>38</v>
      </c>
      <c r="B35" t="s">
        <v>517</v>
      </c>
    </row>
    <row r="36" spans="1:2" x14ac:dyDescent="0.25">
      <c r="A36" t="s">
        <v>502</v>
      </c>
      <c r="B36" t="s">
        <v>518</v>
      </c>
    </row>
    <row r="37" spans="1:2" x14ac:dyDescent="0.25">
      <c r="A37" t="s">
        <v>39</v>
      </c>
      <c r="B37" t="s">
        <v>711</v>
      </c>
    </row>
    <row r="38" spans="1:2" x14ac:dyDescent="0.25">
      <c r="A38" t="s">
        <v>40</v>
      </c>
      <c r="B38" t="s">
        <v>15</v>
      </c>
    </row>
    <row r="39" spans="1:2" x14ac:dyDescent="0.25">
      <c r="A39" t="s">
        <v>41</v>
      </c>
      <c r="B39" t="s">
        <v>721</v>
      </c>
    </row>
    <row r="40" spans="1:2" x14ac:dyDescent="0.25">
      <c r="A40" t="s">
        <v>42</v>
      </c>
      <c r="B40" t="s">
        <v>519</v>
      </c>
    </row>
    <row r="41" spans="1:2" x14ac:dyDescent="0.25">
      <c r="A41" t="s">
        <v>43</v>
      </c>
      <c r="B41" t="s">
        <v>5</v>
      </c>
    </row>
    <row r="42" spans="1:2" x14ac:dyDescent="0.25">
      <c r="A42" t="s">
        <v>44</v>
      </c>
      <c r="B42" t="s">
        <v>16</v>
      </c>
    </row>
    <row r="43" spans="1:2" x14ac:dyDescent="0.25">
      <c r="A43" t="s">
        <v>45</v>
      </c>
      <c r="B43" t="s">
        <v>17</v>
      </c>
    </row>
    <row r="44" spans="1:2" x14ac:dyDescent="0.25">
      <c r="A44" t="s">
        <v>46</v>
      </c>
      <c r="B44" t="s">
        <v>6</v>
      </c>
    </row>
    <row r="45" spans="1:2" x14ac:dyDescent="0.25">
      <c r="A45" t="s">
        <v>47</v>
      </c>
      <c r="B45" t="s">
        <v>18</v>
      </c>
    </row>
    <row r="46" spans="1:2" x14ac:dyDescent="0.25">
      <c r="A46" t="s">
        <v>48</v>
      </c>
      <c r="B46" t="s">
        <v>19</v>
      </c>
    </row>
    <row r="47" spans="1:2" x14ac:dyDescent="0.25">
      <c r="A47" t="s">
        <v>49</v>
      </c>
      <c r="B47" t="s">
        <v>712</v>
      </c>
    </row>
    <row r="48" spans="1:2" x14ac:dyDescent="0.25">
      <c r="A48" t="s">
        <v>550</v>
      </c>
      <c r="B48" t="s">
        <v>713</v>
      </c>
    </row>
    <row r="49" spans="1:2" x14ac:dyDescent="0.25">
      <c r="A49" t="s">
        <v>50</v>
      </c>
      <c r="B49" t="s">
        <v>20</v>
      </c>
    </row>
    <row r="50" spans="1:2" x14ac:dyDescent="0.25">
      <c r="A50" t="s">
        <v>51</v>
      </c>
      <c r="B50" t="s">
        <v>21</v>
      </c>
    </row>
    <row r="51" spans="1:2" x14ac:dyDescent="0.25">
      <c r="A51" t="s">
        <v>52</v>
      </c>
      <c r="B51" t="s">
        <v>22</v>
      </c>
    </row>
    <row r="52" spans="1:2" x14ac:dyDescent="0.25">
      <c r="A52" t="s">
        <v>53</v>
      </c>
      <c r="B52" t="s">
        <v>7</v>
      </c>
    </row>
    <row r="53" spans="1:2" x14ac:dyDescent="0.25">
      <c r="A53" t="s">
        <v>54</v>
      </c>
      <c r="B53" t="s">
        <v>8</v>
      </c>
    </row>
    <row r="54" spans="1:2" x14ac:dyDescent="0.25">
      <c r="A54" t="s">
        <v>55</v>
      </c>
      <c r="B54" t="s">
        <v>9</v>
      </c>
    </row>
    <row r="55" spans="1:2" x14ac:dyDescent="0.25">
      <c r="A55" t="s">
        <v>56</v>
      </c>
      <c r="B55" t="s">
        <v>23</v>
      </c>
    </row>
    <row r="56" spans="1:2" x14ac:dyDescent="0.25">
      <c r="A56" t="s">
        <v>57</v>
      </c>
      <c r="B5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F65"/>
  <sheetViews>
    <sheetView zoomScale="85" zoomScaleNormal="85" workbookViewId="0">
      <pane ySplit="7" topLeftCell="A38" activePane="bottomLeft" state="frozen"/>
      <selection activeCell="A8" sqref="A8"/>
      <selection pane="bottomLeft" activeCell="C58" sqref="C58"/>
    </sheetView>
  </sheetViews>
  <sheetFormatPr defaultRowHeight="15" x14ac:dyDescent="0.25"/>
  <cols>
    <col min="3" max="3" width="16.42578125" customWidth="1"/>
  </cols>
  <sheetData>
    <row r="1" spans="1:5" ht="18.75" x14ac:dyDescent="0.3">
      <c r="A1" s="5" t="s">
        <v>128</v>
      </c>
    </row>
    <row r="2" spans="1:5" x14ac:dyDescent="0.25">
      <c r="A2" s="3" t="s">
        <v>364</v>
      </c>
      <c r="B2" s="4" t="s">
        <v>129</v>
      </c>
    </row>
    <row r="7" spans="1:5" x14ac:dyDescent="0.25">
      <c r="D7" t="s">
        <v>130</v>
      </c>
      <c r="E7" t="s">
        <v>131</v>
      </c>
    </row>
    <row r="8" spans="1:5" x14ac:dyDescent="0.25">
      <c r="A8" t="s">
        <v>132</v>
      </c>
      <c r="B8" t="s">
        <v>133</v>
      </c>
      <c r="C8" t="s">
        <v>134</v>
      </c>
      <c r="D8">
        <v>1</v>
      </c>
      <c r="E8">
        <v>1</v>
      </c>
    </row>
    <row r="15" spans="1:5" x14ac:dyDescent="0.25">
      <c r="D15" t="s">
        <v>130</v>
      </c>
      <c r="E15" t="s">
        <v>131</v>
      </c>
    </row>
    <row r="16" spans="1:5" x14ac:dyDescent="0.25">
      <c r="A16" t="s">
        <v>325</v>
      </c>
      <c r="B16" t="s">
        <v>234</v>
      </c>
      <c r="C16" t="s">
        <v>328</v>
      </c>
      <c r="D16">
        <v>1</v>
      </c>
    </row>
    <row r="17" spans="1:4" x14ac:dyDescent="0.25">
      <c r="A17" t="s">
        <v>325</v>
      </c>
      <c r="B17" t="s">
        <v>311</v>
      </c>
      <c r="C17" t="s">
        <v>329</v>
      </c>
      <c r="D17">
        <v>1</v>
      </c>
    </row>
    <row r="18" spans="1:4" x14ac:dyDescent="0.25">
      <c r="A18" t="s">
        <v>325</v>
      </c>
      <c r="B18" t="s">
        <v>230</v>
      </c>
      <c r="C18" t="s">
        <v>330</v>
      </c>
      <c r="D18">
        <v>1</v>
      </c>
    </row>
    <row r="19" spans="1:4" x14ac:dyDescent="0.25">
      <c r="A19" t="s">
        <v>325</v>
      </c>
      <c r="B19" t="s">
        <v>312</v>
      </c>
      <c r="C19" t="s">
        <v>331</v>
      </c>
      <c r="D19">
        <v>1</v>
      </c>
    </row>
    <row r="20" spans="1:4" x14ac:dyDescent="0.25">
      <c r="A20" t="s">
        <v>325</v>
      </c>
      <c r="B20" t="s">
        <v>231</v>
      </c>
      <c r="C20" t="s">
        <v>332</v>
      </c>
      <c r="D20">
        <v>1</v>
      </c>
    </row>
    <row r="21" spans="1:4" x14ac:dyDescent="0.25">
      <c r="A21" t="s">
        <v>325</v>
      </c>
      <c r="B21" t="s">
        <v>232</v>
      </c>
      <c r="C21" t="s">
        <v>333</v>
      </c>
      <c r="D21">
        <v>1</v>
      </c>
    </row>
    <row r="22" spans="1:4" x14ac:dyDescent="0.25">
      <c r="A22" t="s">
        <v>325</v>
      </c>
      <c r="B22" t="s">
        <v>313</v>
      </c>
      <c r="C22" t="s">
        <v>334</v>
      </c>
      <c r="D22">
        <v>1</v>
      </c>
    </row>
    <row r="23" spans="1:4" x14ac:dyDescent="0.25">
      <c r="A23" t="s">
        <v>325</v>
      </c>
      <c r="B23" t="s">
        <v>216</v>
      </c>
      <c r="C23" t="s">
        <v>335</v>
      </c>
      <c r="D23">
        <v>1</v>
      </c>
    </row>
    <row r="24" spans="1:4" x14ac:dyDescent="0.25">
      <c r="A24" t="s">
        <v>325</v>
      </c>
      <c r="B24" t="s">
        <v>314</v>
      </c>
      <c r="C24" t="s">
        <v>336</v>
      </c>
      <c r="D24">
        <v>1</v>
      </c>
    </row>
    <row r="25" spans="1:4" x14ac:dyDescent="0.25">
      <c r="A25" t="s">
        <v>325</v>
      </c>
      <c r="B25" t="s">
        <v>315</v>
      </c>
      <c r="C25" t="s">
        <v>337</v>
      </c>
      <c r="D25">
        <v>1</v>
      </c>
    </row>
    <row r="26" spans="1:4" x14ac:dyDescent="0.25">
      <c r="A26" t="s">
        <v>325</v>
      </c>
      <c r="B26" t="s">
        <v>316</v>
      </c>
      <c r="C26" t="s">
        <v>338</v>
      </c>
      <c r="D26">
        <v>1</v>
      </c>
    </row>
    <row r="27" spans="1:4" x14ac:dyDescent="0.25">
      <c r="A27" t="s">
        <v>325</v>
      </c>
      <c r="B27" t="s">
        <v>317</v>
      </c>
      <c r="C27" t="s">
        <v>339</v>
      </c>
      <c r="D27">
        <v>1</v>
      </c>
    </row>
    <row r="28" spans="1:4" x14ac:dyDescent="0.25">
      <c r="A28" t="s">
        <v>325</v>
      </c>
      <c r="B28" t="s">
        <v>318</v>
      </c>
      <c r="C28" t="s">
        <v>340</v>
      </c>
      <c r="D28">
        <v>1</v>
      </c>
    </row>
    <row r="29" spans="1:4" x14ac:dyDescent="0.25">
      <c r="A29" t="s">
        <v>325</v>
      </c>
      <c r="B29" t="s">
        <v>319</v>
      </c>
      <c r="C29" t="s">
        <v>341</v>
      </c>
      <c r="D29">
        <v>1</v>
      </c>
    </row>
    <row r="30" spans="1:4" x14ac:dyDescent="0.25">
      <c r="A30" t="s">
        <v>325</v>
      </c>
      <c r="B30" t="s">
        <v>233</v>
      </c>
      <c r="C30" t="s">
        <v>342</v>
      </c>
      <c r="D30">
        <v>1</v>
      </c>
    </row>
    <row r="31" spans="1:4" x14ac:dyDescent="0.25">
      <c r="A31" t="s">
        <v>325</v>
      </c>
      <c r="B31" t="s">
        <v>320</v>
      </c>
      <c r="C31" t="s">
        <v>343</v>
      </c>
      <c r="D31">
        <v>1</v>
      </c>
    </row>
    <row r="32" spans="1:4" x14ac:dyDescent="0.25">
      <c r="A32" t="s">
        <v>325</v>
      </c>
      <c r="B32" t="s">
        <v>321</v>
      </c>
      <c r="C32" t="s">
        <v>344</v>
      </c>
      <c r="D32">
        <v>1</v>
      </c>
    </row>
    <row r="33" spans="1:6" x14ac:dyDescent="0.25">
      <c r="A33" t="s">
        <v>325</v>
      </c>
      <c r="B33" t="s">
        <v>322</v>
      </c>
      <c r="C33" t="s">
        <v>345</v>
      </c>
      <c r="D33">
        <v>1</v>
      </c>
    </row>
    <row r="34" spans="1:6" x14ac:dyDescent="0.25">
      <c r="A34" t="s">
        <v>326</v>
      </c>
      <c r="B34" t="s">
        <v>323</v>
      </c>
      <c r="C34" t="s">
        <v>346</v>
      </c>
      <c r="D34">
        <v>2</v>
      </c>
      <c r="F34" t="s">
        <v>327</v>
      </c>
    </row>
    <row r="35" spans="1:6" x14ac:dyDescent="0.25">
      <c r="A35" t="s">
        <v>326</v>
      </c>
      <c r="B35" t="s">
        <v>324</v>
      </c>
      <c r="C35" t="s">
        <v>347</v>
      </c>
      <c r="D35">
        <v>3</v>
      </c>
      <c r="F35" t="s">
        <v>327</v>
      </c>
    </row>
    <row r="36" spans="1:6" x14ac:dyDescent="0.25">
      <c r="A36" t="s">
        <v>325</v>
      </c>
      <c r="B36" t="s">
        <v>573</v>
      </c>
      <c r="C36" t="s">
        <v>524</v>
      </c>
      <c r="D36">
        <v>1</v>
      </c>
    </row>
    <row r="37" spans="1:6" x14ac:dyDescent="0.25">
      <c r="A37" t="s">
        <v>325</v>
      </c>
      <c r="B37" t="s">
        <v>574</v>
      </c>
      <c r="C37" t="s">
        <v>525</v>
      </c>
      <c r="D37">
        <v>1</v>
      </c>
    </row>
    <row r="38" spans="1:6" x14ac:dyDescent="0.25">
      <c r="A38" t="s">
        <v>325</v>
      </c>
      <c r="B38" t="s">
        <v>575</v>
      </c>
      <c r="C38" t="s">
        <v>526</v>
      </c>
      <c r="D38">
        <v>1</v>
      </c>
    </row>
    <row r="39" spans="1:6" x14ac:dyDescent="0.25">
      <c r="A39" t="s">
        <v>325</v>
      </c>
      <c r="B39" t="s">
        <v>576</v>
      </c>
      <c r="C39" t="s">
        <v>527</v>
      </c>
      <c r="D39">
        <v>1</v>
      </c>
    </row>
    <row r="40" spans="1:6" x14ac:dyDescent="0.25">
      <c r="A40" t="s">
        <v>325</v>
      </c>
      <c r="B40" t="s">
        <v>577</v>
      </c>
      <c r="C40" t="s">
        <v>528</v>
      </c>
      <c r="D40">
        <v>1</v>
      </c>
    </row>
    <row r="41" spans="1:6" x14ac:dyDescent="0.25">
      <c r="A41" t="s">
        <v>325</v>
      </c>
      <c r="B41" t="s">
        <v>578</v>
      </c>
      <c r="C41" t="s">
        <v>529</v>
      </c>
      <c r="D41">
        <v>1</v>
      </c>
    </row>
    <row r="42" spans="1:6" x14ac:dyDescent="0.25">
      <c r="A42" t="s">
        <v>325</v>
      </c>
      <c r="B42" t="s">
        <v>579</v>
      </c>
      <c r="C42" t="s">
        <v>530</v>
      </c>
      <c r="D42">
        <v>1</v>
      </c>
    </row>
    <row r="43" spans="1:6" x14ac:dyDescent="0.25">
      <c r="A43" t="s">
        <v>325</v>
      </c>
      <c r="B43" t="s">
        <v>580</v>
      </c>
      <c r="C43" t="s">
        <v>531</v>
      </c>
      <c r="D43">
        <v>1</v>
      </c>
    </row>
    <row r="44" spans="1:6" x14ac:dyDescent="0.25">
      <c r="A44" t="s">
        <v>325</v>
      </c>
      <c r="B44" t="s">
        <v>581</v>
      </c>
      <c r="C44" t="s">
        <v>532</v>
      </c>
      <c r="D44">
        <v>1</v>
      </c>
    </row>
    <row r="45" spans="1:6" x14ac:dyDescent="0.25">
      <c r="A45" t="s">
        <v>325</v>
      </c>
      <c r="B45" t="s">
        <v>582</v>
      </c>
      <c r="C45" t="s">
        <v>585</v>
      </c>
      <c r="D45">
        <v>1</v>
      </c>
    </row>
    <row r="46" spans="1:6" x14ac:dyDescent="0.25">
      <c r="A46" t="s">
        <v>325</v>
      </c>
      <c r="B46" t="s">
        <v>583</v>
      </c>
      <c r="C46" t="s">
        <v>586</v>
      </c>
      <c r="D46">
        <v>1</v>
      </c>
    </row>
    <row r="47" spans="1:6" x14ac:dyDescent="0.25">
      <c r="A47" t="s">
        <v>325</v>
      </c>
      <c r="B47" t="s">
        <v>584</v>
      </c>
      <c r="C47" t="s">
        <v>587</v>
      </c>
      <c r="D47">
        <v>1</v>
      </c>
    </row>
    <row r="48" spans="1:6" x14ac:dyDescent="0.25">
      <c r="A48" t="s">
        <v>325</v>
      </c>
      <c r="B48" t="s">
        <v>485</v>
      </c>
      <c r="C48" t="s">
        <v>490</v>
      </c>
      <c r="D48">
        <v>1</v>
      </c>
    </row>
    <row r="49" spans="1:6" x14ac:dyDescent="0.25">
      <c r="A49" t="s">
        <v>325</v>
      </c>
      <c r="B49" t="s">
        <v>486</v>
      </c>
      <c r="C49" t="s">
        <v>491</v>
      </c>
      <c r="D49">
        <v>1</v>
      </c>
    </row>
    <row r="50" spans="1:6" x14ac:dyDescent="0.25">
      <c r="A50" t="s">
        <v>325</v>
      </c>
      <c r="B50" t="s">
        <v>487</v>
      </c>
      <c r="C50" t="s">
        <v>492</v>
      </c>
      <c r="D50">
        <v>1</v>
      </c>
    </row>
    <row r="51" spans="1:6" x14ac:dyDescent="0.25">
      <c r="A51" t="s">
        <v>325</v>
      </c>
      <c r="B51" t="s">
        <v>488</v>
      </c>
      <c r="C51" t="s">
        <v>493</v>
      </c>
      <c r="D51">
        <v>1</v>
      </c>
    </row>
    <row r="52" spans="1:6" x14ac:dyDescent="0.25">
      <c r="A52" t="s">
        <v>325</v>
      </c>
      <c r="B52" t="s">
        <v>489</v>
      </c>
      <c r="C52" t="s">
        <v>494</v>
      </c>
      <c r="D52">
        <v>1</v>
      </c>
    </row>
    <row r="53" spans="1:6" x14ac:dyDescent="0.25">
      <c r="A53" t="s">
        <v>325</v>
      </c>
      <c r="B53" t="s">
        <v>594</v>
      </c>
      <c r="C53" t="s">
        <v>495</v>
      </c>
      <c r="D53">
        <v>1</v>
      </c>
    </row>
    <row r="54" spans="1:6" x14ac:dyDescent="0.25">
      <c r="A54" t="s">
        <v>132</v>
      </c>
      <c r="B54" t="s">
        <v>348</v>
      </c>
      <c r="C54" t="s">
        <v>134</v>
      </c>
      <c r="D54">
        <v>1</v>
      </c>
      <c r="E54">
        <v>1</v>
      </c>
    </row>
    <row r="55" spans="1:6" s="68" customFormat="1" x14ac:dyDescent="0.25">
      <c r="A55" s="68" t="s">
        <v>132</v>
      </c>
      <c r="B55" s="68" t="s">
        <v>355</v>
      </c>
      <c r="C55" s="68" t="s">
        <v>722</v>
      </c>
      <c r="D55" s="68">
        <v>1</v>
      </c>
      <c r="E55" s="68">
        <v>1</v>
      </c>
    </row>
    <row r="56" spans="1:6" s="68" customFormat="1" x14ac:dyDescent="0.25">
      <c r="A56" s="68" t="s">
        <v>132</v>
      </c>
      <c r="B56" s="68" t="s">
        <v>645</v>
      </c>
      <c r="C56" s="68" t="s">
        <v>723</v>
      </c>
      <c r="D56" s="68">
        <v>1</v>
      </c>
      <c r="E56" s="68">
        <v>1</v>
      </c>
    </row>
    <row r="57" spans="1:6" s="68" customFormat="1" x14ac:dyDescent="0.25">
      <c r="A57" s="68" t="s">
        <v>132</v>
      </c>
      <c r="B57" s="68" t="s">
        <v>646</v>
      </c>
      <c r="C57" s="68" t="s">
        <v>724</v>
      </c>
      <c r="E57" s="68">
        <v>1</v>
      </c>
    </row>
    <row r="58" spans="1:6" x14ac:dyDescent="0.25">
      <c r="A58" t="s">
        <v>132</v>
      </c>
      <c r="B58" t="s">
        <v>353</v>
      </c>
      <c r="C58" t="s">
        <v>349</v>
      </c>
      <c r="D58">
        <v>1</v>
      </c>
      <c r="E58">
        <v>1</v>
      </c>
    </row>
    <row r="59" spans="1:6" x14ac:dyDescent="0.25">
      <c r="A59" t="s">
        <v>132</v>
      </c>
      <c r="B59" t="s">
        <v>354</v>
      </c>
      <c r="C59" t="s">
        <v>350</v>
      </c>
      <c r="D59">
        <v>1</v>
      </c>
      <c r="E59">
        <v>1</v>
      </c>
    </row>
    <row r="60" spans="1:6" x14ac:dyDescent="0.25">
      <c r="A60" t="s">
        <v>132</v>
      </c>
      <c r="B60" t="s">
        <v>475</v>
      </c>
      <c r="C60" t="s">
        <v>351</v>
      </c>
      <c r="D60">
        <v>1</v>
      </c>
      <c r="E60">
        <v>2</v>
      </c>
    </row>
    <row r="61" spans="1:6" x14ac:dyDescent="0.25">
      <c r="A61" t="s">
        <v>325</v>
      </c>
      <c r="B61" t="s">
        <v>362</v>
      </c>
      <c r="C61" t="s">
        <v>360</v>
      </c>
      <c r="D61">
        <v>1</v>
      </c>
    </row>
    <row r="62" spans="1:6" x14ac:dyDescent="0.25">
      <c r="A62" t="s">
        <v>326</v>
      </c>
      <c r="B62" t="s">
        <v>363</v>
      </c>
      <c r="C62" t="s">
        <v>361</v>
      </c>
      <c r="D62">
        <v>2</v>
      </c>
      <c r="F62" t="s">
        <v>327</v>
      </c>
    </row>
    <row r="63" spans="1:6" x14ac:dyDescent="0.25">
      <c r="A63" t="s">
        <v>132</v>
      </c>
      <c r="B63" t="s">
        <v>357</v>
      </c>
      <c r="C63" t="s">
        <v>503</v>
      </c>
      <c r="D63">
        <v>1</v>
      </c>
      <c r="E63">
        <v>1</v>
      </c>
    </row>
    <row r="64" spans="1:6" x14ac:dyDescent="0.25">
      <c r="A64" t="s">
        <v>132</v>
      </c>
      <c r="B64" t="s">
        <v>356</v>
      </c>
      <c r="C64" t="s">
        <v>556</v>
      </c>
      <c r="D64">
        <v>1</v>
      </c>
      <c r="E64">
        <v>1</v>
      </c>
    </row>
    <row r="65" spans="1:4" x14ac:dyDescent="0.25">
      <c r="A65" t="s">
        <v>132</v>
      </c>
      <c r="B65" t="s">
        <v>358</v>
      </c>
      <c r="C65" t="s">
        <v>352</v>
      </c>
      <c r="D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:AL151"/>
  <sheetViews>
    <sheetView topLeftCell="H1" zoomScale="85" zoomScaleNormal="85" workbookViewId="0">
      <pane ySplit="6" topLeftCell="A7" activePane="bottomLeft" state="frozen"/>
      <selection activeCell="A8" sqref="A8"/>
      <selection pane="bottomLeft" activeCell="I1" sqref="I1:J2"/>
    </sheetView>
  </sheetViews>
  <sheetFormatPr defaultRowHeight="15" x14ac:dyDescent="0.25"/>
  <cols>
    <col min="27" max="27" width="14.28515625" customWidth="1"/>
  </cols>
  <sheetData>
    <row r="1" spans="1:38" ht="18.75" x14ac:dyDescent="0.3">
      <c r="A1" s="2" t="s">
        <v>229</v>
      </c>
    </row>
    <row r="2" spans="1:38" x14ac:dyDescent="0.25">
      <c r="A2" s="3" t="s">
        <v>364</v>
      </c>
      <c r="B2" s="4" t="s">
        <v>310</v>
      </c>
    </row>
    <row r="4" spans="1:38" x14ac:dyDescent="0.25">
      <c r="A4" s="1" t="s">
        <v>267</v>
      </c>
      <c r="B4" s="1" t="s">
        <v>235</v>
      </c>
      <c r="C4" s="1" t="s">
        <v>268</v>
      </c>
      <c r="D4" s="1"/>
      <c r="E4" s="1" t="s">
        <v>236</v>
      </c>
      <c r="F4" s="1" t="s">
        <v>237</v>
      </c>
      <c r="G4" s="1"/>
      <c r="H4" s="1"/>
      <c r="I4" s="1"/>
      <c r="J4" s="1"/>
      <c r="K4" s="1" t="s">
        <v>238</v>
      </c>
      <c r="L4" s="1"/>
      <c r="M4" s="1"/>
      <c r="N4" s="1"/>
      <c r="O4" s="1"/>
      <c r="P4" s="1" t="s">
        <v>103</v>
      </c>
      <c r="Q4" s="1"/>
      <c r="R4" s="1"/>
      <c r="S4" s="1"/>
      <c r="T4" s="1" t="s">
        <v>274</v>
      </c>
      <c r="U4" s="1"/>
      <c r="V4" s="1"/>
      <c r="W4" s="1" t="s">
        <v>273</v>
      </c>
      <c r="AA4" s="1" t="s">
        <v>533</v>
      </c>
    </row>
    <row r="5" spans="1:38" x14ac:dyDescent="0.25">
      <c r="C5" t="s">
        <v>240</v>
      </c>
      <c r="F5" t="s">
        <v>240</v>
      </c>
      <c r="G5" t="s">
        <v>241</v>
      </c>
      <c r="H5" t="s">
        <v>244</v>
      </c>
      <c r="I5" t="s">
        <v>243</v>
      </c>
      <c r="J5" t="s">
        <v>242</v>
      </c>
      <c r="K5" t="s">
        <v>240</v>
      </c>
      <c r="L5" t="s">
        <v>245</v>
      </c>
      <c r="M5" t="s">
        <v>269</v>
      </c>
      <c r="N5" t="s">
        <v>105</v>
      </c>
      <c r="O5" t="s">
        <v>270</v>
      </c>
      <c r="P5" t="s">
        <v>245</v>
      </c>
      <c r="Q5" t="s">
        <v>271</v>
      </c>
      <c r="R5" t="s">
        <v>272</v>
      </c>
      <c r="T5" t="s">
        <v>239</v>
      </c>
      <c r="W5" t="s">
        <v>248</v>
      </c>
      <c r="AA5" t="s">
        <v>522</v>
      </c>
      <c r="AB5" t="s">
        <v>523</v>
      </c>
    </row>
    <row r="6" spans="1:38" x14ac:dyDescent="0.25">
      <c r="A6" t="s">
        <v>263</v>
      </c>
      <c r="B6" t="s">
        <v>249</v>
      </c>
      <c r="C6" t="s">
        <v>250</v>
      </c>
      <c r="D6" t="s">
        <v>251</v>
      </c>
      <c r="E6" t="s">
        <v>252</v>
      </c>
      <c r="F6" t="s">
        <v>264</v>
      </c>
      <c r="G6" t="s">
        <v>265</v>
      </c>
      <c r="H6" t="s">
        <v>254</v>
      </c>
      <c r="I6" t="s">
        <v>253</v>
      </c>
      <c r="J6" t="s">
        <v>266</v>
      </c>
      <c r="K6" t="s">
        <v>255</v>
      </c>
      <c r="L6" t="s">
        <v>256</v>
      </c>
      <c r="M6" t="s">
        <v>257</v>
      </c>
      <c r="N6" t="s">
        <v>258</v>
      </c>
      <c r="O6" t="s">
        <v>259</v>
      </c>
      <c r="P6" t="s">
        <v>260</v>
      </c>
      <c r="Q6" t="s">
        <v>261</v>
      </c>
      <c r="R6" t="s">
        <v>262</v>
      </c>
      <c r="T6" t="s">
        <v>250</v>
      </c>
      <c r="U6" t="s">
        <v>252</v>
      </c>
      <c r="W6" t="s">
        <v>251</v>
      </c>
      <c r="X6" t="s">
        <v>250</v>
      </c>
      <c r="Y6" t="s">
        <v>249</v>
      </c>
      <c r="AA6" t="s">
        <v>561</v>
      </c>
      <c r="AB6" t="s">
        <v>562</v>
      </c>
      <c r="AC6" t="s">
        <v>563</v>
      </c>
      <c r="AD6" t="s">
        <v>564</v>
      </c>
      <c r="AE6" t="s">
        <v>565</v>
      </c>
      <c r="AF6" t="s">
        <v>566</v>
      </c>
      <c r="AG6" t="s">
        <v>567</v>
      </c>
      <c r="AH6" t="s">
        <v>568</v>
      </c>
      <c r="AI6" t="s">
        <v>569</v>
      </c>
      <c r="AJ6" t="s">
        <v>570</v>
      </c>
      <c r="AK6" t="s">
        <v>571</v>
      </c>
      <c r="AL6" t="s">
        <v>572</v>
      </c>
    </row>
    <row r="7" spans="1:38" x14ac:dyDescent="0.25">
      <c r="A7" t="s">
        <v>675</v>
      </c>
      <c r="B7" t="s">
        <v>591</v>
      </c>
      <c r="C7" t="s">
        <v>675</v>
      </c>
      <c r="D7" t="s">
        <v>675</v>
      </c>
      <c r="E7" t="s">
        <v>680</v>
      </c>
      <c r="F7" t="s">
        <v>552</v>
      </c>
      <c r="G7" t="s">
        <v>552</v>
      </c>
      <c r="H7" t="s">
        <v>216</v>
      </c>
      <c r="I7" t="s">
        <v>558</v>
      </c>
      <c r="J7" t="s">
        <v>557</v>
      </c>
      <c r="K7" t="s">
        <v>104</v>
      </c>
      <c r="L7" t="s">
        <v>104</v>
      </c>
      <c r="M7" t="s">
        <v>104</v>
      </c>
      <c r="N7" t="s">
        <v>104</v>
      </c>
      <c r="O7" t="s">
        <v>217</v>
      </c>
      <c r="P7" t="s">
        <v>296</v>
      </c>
      <c r="Q7" t="s">
        <v>297</v>
      </c>
      <c r="R7" t="s">
        <v>298</v>
      </c>
      <c r="T7" t="str">
        <f>C7</f>
        <v>acere</v>
      </c>
      <c r="U7" t="str">
        <f>E7</f>
        <v>ccere</v>
      </c>
      <c r="W7" t="str">
        <f>D7</f>
        <v>acere</v>
      </c>
      <c r="X7" t="str">
        <f>C7</f>
        <v>acere</v>
      </c>
      <c r="Y7" t="s">
        <v>591</v>
      </c>
      <c r="AA7" t="str">
        <f>W7</f>
        <v>acere</v>
      </c>
      <c r="AB7" t="str">
        <f>W19</f>
        <v>amine</v>
      </c>
      <c r="AC7" t="str">
        <f t="shared" ref="AC7:AC23" si="0">W21</f>
        <v>agmll</v>
      </c>
      <c r="AD7" t="s">
        <v>163</v>
      </c>
      <c r="AE7" t="s">
        <v>165</v>
      </c>
      <c r="AF7" t="s">
        <v>166</v>
      </c>
      <c r="AG7" t="s">
        <v>167</v>
      </c>
      <c r="AH7" t="s">
        <v>168</v>
      </c>
      <c r="AI7" t="s">
        <v>170</v>
      </c>
      <c r="AJ7" t="s">
        <v>171</v>
      </c>
      <c r="AK7" t="s">
        <v>173</v>
      </c>
      <c r="AL7" t="s">
        <v>176</v>
      </c>
    </row>
    <row r="8" spans="1:38" x14ac:dyDescent="0.25">
      <c r="A8" t="s">
        <v>138</v>
      </c>
      <c r="C8" t="s">
        <v>138</v>
      </c>
      <c r="D8" t="s">
        <v>138</v>
      </c>
      <c r="E8" t="s">
        <v>177</v>
      </c>
      <c r="F8" t="s">
        <v>553</v>
      </c>
      <c r="G8" t="s">
        <v>553</v>
      </c>
      <c r="J8" t="s">
        <v>559</v>
      </c>
      <c r="K8" t="s">
        <v>217</v>
      </c>
      <c r="L8" t="s">
        <v>217</v>
      </c>
      <c r="M8" t="s">
        <v>217</v>
      </c>
      <c r="O8" t="s">
        <v>218</v>
      </c>
      <c r="T8" t="str">
        <f t="shared" ref="T8:T12" si="1">C8</f>
        <v>apuls</v>
      </c>
      <c r="U8" t="str">
        <f t="shared" ref="U8:U12" si="2">E8</f>
        <v>cpuls</v>
      </c>
      <c r="W8" t="str">
        <f t="shared" ref="W8:W12" si="3">D8</f>
        <v>apuls</v>
      </c>
      <c r="X8" t="str">
        <f t="shared" ref="X8:X12" si="4">C8</f>
        <v>apuls</v>
      </c>
      <c r="Y8" t="s">
        <v>591</v>
      </c>
      <c r="AA8" t="str">
        <f t="shared" ref="AA8:AA12" si="5">W8</f>
        <v>apuls</v>
      </c>
      <c r="AB8" t="str">
        <f>W20</f>
        <v>amino</v>
      </c>
      <c r="AC8" t="str">
        <f t="shared" si="0"/>
        <v>afoil</v>
      </c>
      <c r="AD8" t="s">
        <v>164</v>
      </c>
      <c r="AG8" t="s">
        <v>169</v>
      </c>
      <c r="AH8" t="s">
        <v>548</v>
      </c>
      <c r="AJ8" t="s">
        <v>172</v>
      </c>
      <c r="AK8" t="s">
        <v>174</v>
      </c>
    </row>
    <row r="9" spans="1:38" x14ac:dyDescent="0.25">
      <c r="A9" t="s">
        <v>140</v>
      </c>
      <c r="C9" t="s">
        <v>140</v>
      </c>
      <c r="D9" t="s">
        <v>140</v>
      </c>
      <c r="E9" t="s">
        <v>178</v>
      </c>
      <c r="F9" t="s">
        <v>554</v>
      </c>
      <c r="G9" t="s">
        <v>554</v>
      </c>
      <c r="J9" t="s">
        <v>560</v>
      </c>
      <c r="K9" t="s">
        <v>218</v>
      </c>
      <c r="L9" t="s">
        <v>218</v>
      </c>
      <c r="M9" t="s">
        <v>218</v>
      </c>
      <c r="O9" t="s">
        <v>219</v>
      </c>
      <c r="T9" t="str">
        <f t="shared" si="1"/>
        <v>aoils</v>
      </c>
      <c r="U9" t="str">
        <f t="shared" si="2"/>
        <v>coils</v>
      </c>
      <c r="W9" t="str">
        <f t="shared" si="3"/>
        <v>aoils</v>
      </c>
      <c r="X9" t="str">
        <f t="shared" si="4"/>
        <v>aoils</v>
      </c>
      <c r="Y9" t="s">
        <v>591</v>
      </c>
      <c r="AA9" t="str">
        <f t="shared" si="5"/>
        <v>aoils</v>
      </c>
      <c r="AC9" t="str">
        <f t="shared" si="0"/>
        <v>afveg</v>
      </c>
      <c r="AK9" t="s">
        <v>175</v>
      </c>
    </row>
    <row r="10" spans="1:38" x14ac:dyDescent="0.25">
      <c r="A10" t="s">
        <v>142</v>
      </c>
      <c r="C10" t="s">
        <v>142</v>
      </c>
      <c r="D10" t="s">
        <v>142</v>
      </c>
      <c r="E10" t="s">
        <v>179</v>
      </c>
      <c r="F10" t="s">
        <v>555</v>
      </c>
      <c r="G10" t="s">
        <v>555</v>
      </c>
      <c r="K10" t="s">
        <v>219</v>
      </c>
      <c r="L10" t="s">
        <v>219</v>
      </c>
      <c r="M10" t="s">
        <v>219</v>
      </c>
      <c r="O10" t="s">
        <v>220</v>
      </c>
      <c r="T10" t="str">
        <f t="shared" si="1"/>
        <v>aroot</v>
      </c>
      <c r="U10" t="str">
        <f t="shared" si="2"/>
        <v>croot</v>
      </c>
      <c r="W10" t="str">
        <f t="shared" si="3"/>
        <v>aroot</v>
      </c>
      <c r="X10" t="str">
        <f t="shared" si="4"/>
        <v>aroot</v>
      </c>
      <c r="Y10" t="s">
        <v>591</v>
      </c>
      <c r="AA10" t="str">
        <f t="shared" si="5"/>
        <v>aroot</v>
      </c>
      <c r="AC10" t="str">
        <f t="shared" si="0"/>
        <v>ameat</v>
      </c>
    </row>
    <row r="11" spans="1:38" x14ac:dyDescent="0.25">
      <c r="A11" t="s">
        <v>143</v>
      </c>
      <c r="C11" t="s">
        <v>143</v>
      </c>
      <c r="D11" t="s">
        <v>143</v>
      </c>
      <c r="E11" t="s">
        <v>180</v>
      </c>
      <c r="F11" t="s">
        <v>216</v>
      </c>
      <c r="K11" t="s">
        <v>220</v>
      </c>
      <c r="L11" t="s">
        <v>220</v>
      </c>
      <c r="M11" t="s">
        <v>220</v>
      </c>
      <c r="O11" t="s">
        <v>221</v>
      </c>
      <c r="T11" t="str">
        <f t="shared" si="1"/>
        <v>avege</v>
      </c>
      <c r="U11" t="str">
        <f t="shared" si="2"/>
        <v>cvege</v>
      </c>
      <c r="W11" t="str">
        <f t="shared" si="3"/>
        <v>avege</v>
      </c>
      <c r="X11" t="str">
        <f t="shared" si="4"/>
        <v>avege</v>
      </c>
      <c r="Y11" t="s">
        <v>591</v>
      </c>
      <c r="AA11" t="str">
        <f t="shared" si="5"/>
        <v>avege</v>
      </c>
      <c r="AC11" t="str">
        <f t="shared" si="0"/>
        <v>afsea</v>
      </c>
    </row>
    <row r="12" spans="1:38" x14ac:dyDescent="0.25">
      <c r="A12" t="s">
        <v>147</v>
      </c>
      <c r="C12" t="s">
        <v>147</v>
      </c>
      <c r="D12" t="s">
        <v>147</v>
      </c>
      <c r="E12" t="s">
        <v>181</v>
      </c>
      <c r="F12" t="s">
        <v>557</v>
      </c>
      <c r="K12" t="s">
        <v>221</v>
      </c>
      <c r="L12" t="s">
        <v>221</v>
      </c>
      <c r="M12" t="s">
        <v>221</v>
      </c>
      <c r="O12" t="s">
        <v>595</v>
      </c>
      <c r="T12" t="str">
        <f t="shared" si="1"/>
        <v>afrui</v>
      </c>
      <c r="U12" t="str">
        <f t="shared" si="2"/>
        <v>cfrui</v>
      </c>
      <c r="W12" t="str">
        <f t="shared" si="3"/>
        <v>afrui</v>
      </c>
      <c r="X12" t="str">
        <f t="shared" si="4"/>
        <v>afrui</v>
      </c>
      <c r="Y12" t="s">
        <v>591</v>
      </c>
      <c r="AA12" t="str">
        <f t="shared" si="5"/>
        <v>afrui</v>
      </c>
      <c r="AC12" t="str">
        <f t="shared" si="0"/>
        <v>adair</v>
      </c>
    </row>
    <row r="13" spans="1:38" x14ac:dyDescent="0.25">
      <c r="A13" s="32" t="s">
        <v>716</v>
      </c>
      <c r="C13" s="32" t="s">
        <v>716</v>
      </c>
      <c r="D13" s="32" t="s">
        <v>716</v>
      </c>
      <c r="E13" s="32" t="s">
        <v>717</v>
      </c>
      <c r="F13" t="s">
        <v>558</v>
      </c>
      <c r="K13" t="s">
        <v>595</v>
      </c>
      <c r="L13" t="s">
        <v>595</v>
      </c>
      <c r="M13" t="s">
        <v>595</v>
      </c>
      <c r="O13" t="s">
        <v>596</v>
      </c>
      <c r="T13" s="32" t="s">
        <v>716</v>
      </c>
      <c r="U13" s="32" t="s">
        <v>717</v>
      </c>
      <c r="W13" s="32" t="s">
        <v>716</v>
      </c>
      <c r="X13" s="32" t="s">
        <v>716</v>
      </c>
      <c r="Y13" t="s">
        <v>591</v>
      </c>
      <c r="AA13" s="32" t="s">
        <v>716</v>
      </c>
      <c r="AC13" t="str">
        <f t="shared" si="0"/>
        <v>afobe</v>
      </c>
    </row>
    <row r="14" spans="1:38" x14ac:dyDescent="0.25">
      <c r="A14" t="s">
        <v>148</v>
      </c>
      <c r="C14" t="s">
        <v>148</v>
      </c>
      <c r="D14" t="s">
        <v>148</v>
      </c>
      <c r="E14" t="s">
        <v>182</v>
      </c>
      <c r="F14" t="s">
        <v>559</v>
      </c>
      <c r="K14" t="s">
        <v>596</v>
      </c>
      <c r="L14" t="s">
        <v>596</v>
      </c>
      <c r="M14" t="s">
        <v>596</v>
      </c>
      <c r="O14" t="s">
        <v>597</v>
      </c>
      <c r="T14" t="str">
        <f t="shared" ref="T14:T52" si="6">C14</f>
        <v>aocrp</v>
      </c>
      <c r="U14" t="str">
        <f t="shared" ref="U14:U52" si="7">E14</f>
        <v>cocrp</v>
      </c>
      <c r="W14" t="str">
        <f t="shared" ref="W14:W52" si="8">D14</f>
        <v>aocrp</v>
      </c>
      <c r="X14" t="str">
        <f t="shared" ref="X14:X52" si="9">C14</f>
        <v>aocrp</v>
      </c>
      <c r="Y14" t="s">
        <v>591</v>
      </c>
      <c r="AA14" t="str">
        <f>W14</f>
        <v>aocrp</v>
      </c>
      <c r="AC14" t="str">
        <f t="shared" si="0"/>
        <v>aoapr</v>
      </c>
    </row>
    <row r="15" spans="1:38" x14ac:dyDescent="0.25">
      <c r="A15" t="s">
        <v>676</v>
      </c>
      <c r="C15" t="s">
        <v>676</v>
      </c>
      <c r="D15" t="s">
        <v>676</v>
      </c>
      <c r="E15" t="s">
        <v>681</v>
      </c>
      <c r="F15" t="s">
        <v>560</v>
      </c>
      <c r="G15" s="4"/>
      <c r="K15" t="s">
        <v>597</v>
      </c>
      <c r="L15" t="s">
        <v>597</v>
      </c>
      <c r="M15" t="s">
        <v>597</v>
      </c>
      <c r="O15" t="s">
        <v>598</v>
      </c>
      <c r="T15" t="str">
        <f t="shared" si="6"/>
        <v>alive</v>
      </c>
      <c r="U15" t="str">
        <f t="shared" si="7"/>
        <v>clive</v>
      </c>
      <c r="W15" t="str">
        <f t="shared" si="8"/>
        <v>alive</v>
      </c>
      <c r="X15" t="str">
        <f t="shared" si="9"/>
        <v>alive</v>
      </c>
      <c r="Y15" t="s">
        <v>591</v>
      </c>
      <c r="AA15" t="str">
        <f>W15</f>
        <v>alive</v>
      </c>
      <c r="AC15" t="str">
        <f t="shared" si="0"/>
        <v>atext</v>
      </c>
    </row>
    <row r="16" spans="1:38" x14ac:dyDescent="0.25">
      <c r="A16" t="s">
        <v>281</v>
      </c>
      <c r="C16" t="s">
        <v>281</v>
      </c>
      <c r="D16" t="s">
        <v>281</v>
      </c>
      <c r="E16" t="s">
        <v>289</v>
      </c>
      <c r="G16" s="4"/>
      <c r="K16" t="s">
        <v>598</v>
      </c>
      <c r="L16" t="s">
        <v>598</v>
      </c>
      <c r="M16" t="s">
        <v>598</v>
      </c>
      <c r="O16" t="s">
        <v>599</v>
      </c>
      <c r="T16" t="str">
        <f t="shared" si="6"/>
        <v>amilk</v>
      </c>
      <c r="U16" t="str">
        <f t="shared" si="7"/>
        <v>cmilk</v>
      </c>
      <c r="W16" t="str">
        <f t="shared" si="8"/>
        <v>amilk</v>
      </c>
      <c r="X16" t="str">
        <f t="shared" si="9"/>
        <v>amilk</v>
      </c>
      <c r="Y16" t="s">
        <v>591</v>
      </c>
      <c r="AA16" t="str">
        <f>W16</f>
        <v>amilk</v>
      </c>
      <c r="AC16" t="str">
        <f t="shared" si="0"/>
        <v>awood</v>
      </c>
    </row>
    <row r="17" spans="1:29" x14ac:dyDescent="0.25">
      <c r="A17" t="s">
        <v>151</v>
      </c>
      <c r="C17" t="s">
        <v>151</v>
      </c>
      <c r="D17" t="s">
        <v>151</v>
      </c>
      <c r="E17" t="s">
        <v>183</v>
      </c>
      <c r="G17" s="4"/>
      <c r="K17" t="s">
        <v>599</v>
      </c>
      <c r="L17" t="s">
        <v>599</v>
      </c>
      <c r="M17" t="s">
        <v>599</v>
      </c>
      <c r="O17" t="s">
        <v>222</v>
      </c>
      <c r="T17" t="str">
        <f t="shared" si="6"/>
        <v>afore</v>
      </c>
      <c r="U17" t="str">
        <f t="shared" si="7"/>
        <v>cfore</v>
      </c>
      <c r="W17" t="str">
        <f t="shared" si="8"/>
        <v>afore</v>
      </c>
      <c r="X17" t="str">
        <f t="shared" si="9"/>
        <v>afore</v>
      </c>
      <c r="Y17" t="s">
        <v>591</v>
      </c>
      <c r="AA17" t="str">
        <f>W17</f>
        <v>afore</v>
      </c>
      <c r="AC17" t="str">
        <f t="shared" si="0"/>
        <v>apetr</v>
      </c>
    </row>
    <row r="18" spans="1:29" x14ac:dyDescent="0.25">
      <c r="A18" t="s">
        <v>152</v>
      </c>
      <c r="C18" t="s">
        <v>152</v>
      </c>
      <c r="D18" t="s">
        <v>152</v>
      </c>
      <c r="E18" t="s">
        <v>184</v>
      </c>
      <c r="G18" s="4"/>
      <c r="K18" t="s">
        <v>222</v>
      </c>
      <c r="L18" t="s">
        <v>222</v>
      </c>
      <c r="M18" t="s">
        <v>222</v>
      </c>
      <c r="O18" t="s">
        <v>223</v>
      </c>
      <c r="T18" t="str">
        <f t="shared" si="6"/>
        <v>afish</v>
      </c>
      <c r="U18" t="str">
        <f t="shared" si="7"/>
        <v>cfish</v>
      </c>
      <c r="W18" t="str">
        <f t="shared" si="8"/>
        <v>afish</v>
      </c>
      <c r="X18" t="str">
        <f t="shared" si="9"/>
        <v>afish</v>
      </c>
      <c r="Y18" t="s">
        <v>591</v>
      </c>
      <c r="AA18" t="str">
        <f>W18</f>
        <v>afish</v>
      </c>
      <c r="AC18" t="str">
        <f t="shared" si="0"/>
        <v>afert</v>
      </c>
    </row>
    <row r="19" spans="1:29" x14ac:dyDescent="0.25">
      <c r="A19" t="s">
        <v>714</v>
      </c>
      <c r="C19" t="s">
        <v>714</v>
      </c>
      <c r="D19" t="s">
        <v>714</v>
      </c>
      <c r="E19" t="s">
        <v>682</v>
      </c>
      <c r="K19" t="s">
        <v>223</v>
      </c>
      <c r="L19" t="s">
        <v>223</v>
      </c>
      <c r="M19" t="s">
        <v>223</v>
      </c>
      <c r="O19" t="s">
        <v>224</v>
      </c>
      <c r="T19" t="str">
        <f t="shared" si="6"/>
        <v>amine</v>
      </c>
      <c r="U19" t="str">
        <f t="shared" si="7"/>
        <v>cmine</v>
      </c>
      <c r="W19" t="str">
        <f t="shared" si="8"/>
        <v>amine</v>
      </c>
      <c r="X19" t="str">
        <f t="shared" si="9"/>
        <v>amine</v>
      </c>
      <c r="Y19" t="s">
        <v>591</v>
      </c>
      <c r="AC19" t="str">
        <f t="shared" si="0"/>
        <v>achem</v>
      </c>
    </row>
    <row r="20" spans="1:29" x14ac:dyDescent="0.25">
      <c r="A20" t="s">
        <v>677</v>
      </c>
      <c r="C20" t="s">
        <v>677</v>
      </c>
      <c r="D20" t="s">
        <v>677</v>
      </c>
      <c r="E20" t="s">
        <v>683</v>
      </c>
      <c r="K20" t="s">
        <v>224</v>
      </c>
      <c r="L20" t="s">
        <v>224</v>
      </c>
      <c r="M20" t="s">
        <v>224</v>
      </c>
      <c r="O20" t="s">
        <v>225</v>
      </c>
      <c r="T20" t="str">
        <f t="shared" si="6"/>
        <v>amino</v>
      </c>
      <c r="U20" t="str">
        <f t="shared" si="7"/>
        <v>cmino</v>
      </c>
      <c r="W20" t="str">
        <f t="shared" si="8"/>
        <v>amino</v>
      </c>
      <c r="X20" t="str">
        <f t="shared" si="9"/>
        <v>amino</v>
      </c>
      <c r="Y20" t="s">
        <v>591</v>
      </c>
      <c r="AC20" t="str">
        <f t="shared" si="0"/>
        <v>anmet</v>
      </c>
    </row>
    <row r="21" spans="1:29" x14ac:dyDescent="0.25">
      <c r="A21" t="s">
        <v>154</v>
      </c>
      <c r="C21" t="s">
        <v>154</v>
      </c>
      <c r="D21" t="s">
        <v>154</v>
      </c>
      <c r="E21" t="s">
        <v>186</v>
      </c>
      <c r="K21" t="s">
        <v>225</v>
      </c>
      <c r="L21" t="s">
        <v>225</v>
      </c>
      <c r="M21" t="s">
        <v>225</v>
      </c>
      <c r="O21" t="s">
        <v>226</v>
      </c>
      <c r="T21" t="str">
        <f t="shared" si="6"/>
        <v>agmll</v>
      </c>
      <c r="U21" t="str">
        <f t="shared" si="7"/>
        <v>cgmll</v>
      </c>
      <c r="W21" t="str">
        <f t="shared" si="8"/>
        <v>agmll</v>
      </c>
      <c r="X21" t="str">
        <f t="shared" si="9"/>
        <v>agmll</v>
      </c>
      <c r="Y21" t="s">
        <v>591</v>
      </c>
      <c r="AC21" t="str">
        <f t="shared" si="0"/>
        <v>ametl</v>
      </c>
    </row>
    <row r="22" spans="1:29" x14ac:dyDescent="0.25">
      <c r="A22" t="s">
        <v>287</v>
      </c>
      <c r="C22" t="s">
        <v>287</v>
      </c>
      <c r="D22" t="s">
        <v>287</v>
      </c>
      <c r="E22" t="s">
        <v>293</v>
      </c>
      <c r="K22" t="s">
        <v>226</v>
      </c>
      <c r="L22" t="s">
        <v>226</v>
      </c>
      <c r="M22" t="s">
        <v>226</v>
      </c>
      <c r="T22" t="str">
        <f t="shared" si="6"/>
        <v>afoil</v>
      </c>
      <c r="U22" t="str">
        <f t="shared" si="7"/>
        <v>cfoil</v>
      </c>
      <c r="W22" t="str">
        <f t="shared" si="8"/>
        <v>afoil</v>
      </c>
      <c r="X22" t="str">
        <f t="shared" si="9"/>
        <v>afoil</v>
      </c>
      <c r="Y22" t="s">
        <v>591</v>
      </c>
      <c r="AC22" t="str">
        <f t="shared" si="0"/>
        <v>amach</v>
      </c>
    </row>
    <row r="23" spans="1:29" x14ac:dyDescent="0.25">
      <c r="A23" t="s">
        <v>286</v>
      </c>
      <c r="C23" t="s">
        <v>286</v>
      </c>
      <c r="D23" t="s">
        <v>286</v>
      </c>
      <c r="E23" t="s">
        <v>292</v>
      </c>
      <c r="K23" t="s">
        <v>106</v>
      </c>
      <c r="L23" t="s">
        <v>106</v>
      </c>
      <c r="T23" t="str">
        <f t="shared" si="6"/>
        <v>afveg</v>
      </c>
      <c r="U23" t="str">
        <f t="shared" si="7"/>
        <v>cfveg</v>
      </c>
      <c r="W23" t="str">
        <f t="shared" si="8"/>
        <v>afveg</v>
      </c>
      <c r="X23" t="str">
        <f t="shared" si="9"/>
        <v>afveg</v>
      </c>
      <c r="Y23" t="s">
        <v>591</v>
      </c>
      <c r="AC23" t="str">
        <f t="shared" si="0"/>
        <v>aoman</v>
      </c>
    </row>
    <row r="24" spans="1:29" x14ac:dyDescent="0.25">
      <c r="A24" t="s">
        <v>153</v>
      </c>
      <c r="C24" t="s">
        <v>153</v>
      </c>
      <c r="D24" t="s">
        <v>153</v>
      </c>
      <c r="E24" t="s">
        <v>185</v>
      </c>
      <c r="K24" t="s">
        <v>124</v>
      </c>
      <c r="T24" t="str">
        <f t="shared" si="6"/>
        <v>ameat</v>
      </c>
      <c r="U24" t="str">
        <f t="shared" si="7"/>
        <v>cmeat</v>
      </c>
      <c r="W24" t="str">
        <f t="shared" si="8"/>
        <v>ameat</v>
      </c>
      <c r="X24" t="str">
        <f t="shared" si="9"/>
        <v>ameat</v>
      </c>
      <c r="Y24" t="s">
        <v>591</v>
      </c>
    </row>
    <row r="25" spans="1:29" x14ac:dyDescent="0.25">
      <c r="A25" t="s">
        <v>284</v>
      </c>
      <c r="C25" t="s">
        <v>284</v>
      </c>
      <c r="D25" t="s">
        <v>284</v>
      </c>
      <c r="E25" t="s">
        <v>290</v>
      </c>
      <c r="T25" t="str">
        <f t="shared" si="6"/>
        <v>afsea</v>
      </c>
      <c r="U25" t="str">
        <f t="shared" si="7"/>
        <v>cfsea</v>
      </c>
      <c r="W25" t="str">
        <f t="shared" si="8"/>
        <v>afsea</v>
      </c>
      <c r="X25" t="str">
        <f t="shared" si="9"/>
        <v>afsea</v>
      </c>
      <c r="Y25" t="s">
        <v>591</v>
      </c>
    </row>
    <row r="26" spans="1:29" x14ac:dyDescent="0.25">
      <c r="A26" t="s">
        <v>285</v>
      </c>
      <c r="C26" t="s">
        <v>285</v>
      </c>
      <c r="D26" t="s">
        <v>285</v>
      </c>
      <c r="E26" t="s">
        <v>291</v>
      </c>
      <c r="T26" t="str">
        <f t="shared" si="6"/>
        <v>adair</v>
      </c>
      <c r="U26" t="str">
        <f t="shared" si="7"/>
        <v>cdair</v>
      </c>
      <c r="W26" t="str">
        <f t="shared" si="8"/>
        <v>adair</v>
      </c>
      <c r="X26" t="str">
        <f t="shared" si="9"/>
        <v>adair</v>
      </c>
      <c r="Y26" t="s">
        <v>591</v>
      </c>
    </row>
    <row r="27" spans="1:29" x14ac:dyDescent="0.25">
      <c r="A27" t="s">
        <v>678</v>
      </c>
      <c r="C27" t="s">
        <v>678</v>
      </c>
      <c r="D27" t="s">
        <v>678</v>
      </c>
      <c r="E27" t="s">
        <v>684</v>
      </c>
      <c r="T27" t="str">
        <f t="shared" si="6"/>
        <v>afobe</v>
      </c>
      <c r="U27" t="str">
        <f t="shared" si="7"/>
        <v>cfobe</v>
      </c>
      <c r="W27" t="str">
        <f t="shared" si="8"/>
        <v>afobe</v>
      </c>
      <c r="X27" t="str">
        <f t="shared" si="9"/>
        <v>afobe</v>
      </c>
      <c r="Y27" t="s">
        <v>591</v>
      </c>
    </row>
    <row r="28" spans="1:29" x14ac:dyDescent="0.25">
      <c r="A28" t="s">
        <v>679</v>
      </c>
      <c r="C28" t="s">
        <v>679</v>
      </c>
      <c r="D28" t="s">
        <v>679</v>
      </c>
      <c r="E28" t="s">
        <v>685</v>
      </c>
      <c r="T28" t="str">
        <f t="shared" si="6"/>
        <v>aoapr</v>
      </c>
      <c r="U28" t="str">
        <f t="shared" si="7"/>
        <v>coapr</v>
      </c>
      <c r="W28" t="str">
        <f t="shared" si="8"/>
        <v>aoapr</v>
      </c>
      <c r="X28" t="str">
        <f t="shared" si="9"/>
        <v>aoapr</v>
      </c>
      <c r="Y28" t="s">
        <v>591</v>
      </c>
    </row>
    <row r="29" spans="1:29" x14ac:dyDescent="0.25">
      <c r="A29" t="s">
        <v>155</v>
      </c>
      <c r="C29" t="s">
        <v>155</v>
      </c>
      <c r="D29" t="s">
        <v>155</v>
      </c>
      <c r="E29" t="s">
        <v>187</v>
      </c>
      <c r="T29" t="str">
        <f t="shared" si="6"/>
        <v>atext</v>
      </c>
      <c r="U29" t="str">
        <f t="shared" si="7"/>
        <v>ctext</v>
      </c>
      <c r="W29" t="str">
        <f t="shared" si="8"/>
        <v>atext</v>
      </c>
      <c r="X29" t="str">
        <f t="shared" si="9"/>
        <v>atext</v>
      </c>
      <c r="Y29" t="s">
        <v>591</v>
      </c>
    </row>
    <row r="30" spans="1:29" x14ac:dyDescent="0.25">
      <c r="A30" t="s">
        <v>156</v>
      </c>
      <c r="C30" t="s">
        <v>156</v>
      </c>
      <c r="D30" t="s">
        <v>156</v>
      </c>
      <c r="E30" t="s">
        <v>188</v>
      </c>
      <c r="T30" t="str">
        <f t="shared" si="6"/>
        <v>awood</v>
      </c>
      <c r="U30" t="str">
        <f t="shared" si="7"/>
        <v>cwood</v>
      </c>
      <c r="W30" t="str">
        <f t="shared" si="8"/>
        <v>awood</v>
      </c>
      <c r="X30" t="str">
        <f t="shared" si="9"/>
        <v>awood</v>
      </c>
      <c r="Y30" t="s">
        <v>591</v>
      </c>
    </row>
    <row r="31" spans="1:29" x14ac:dyDescent="0.25">
      <c r="A31" t="s">
        <v>288</v>
      </c>
      <c r="C31" t="s">
        <v>288</v>
      </c>
      <c r="D31" t="s">
        <v>288</v>
      </c>
      <c r="E31" t="s">
        <v>189</v>
      </c>
      <c r="T31" t="str">
        <f t="shared" si="6"/>
        <v>apetr</v>
      </c>
      <c r="U31" t="str">
        <f t="shared" si="7"/>
        <v>cpetr</v>
      </c>
      <c r="W31" t="str">
        <f t="shared" si="8"/>
        <v>apetr</v>
      </c>
      <c r="X31" t="str">
        <f t="shared" si="9"/>
        <v>apetr</v>
      </c>
      <c r="Y31" t="s">
        <v>591</v>
      </c>
    </row>
    <row r="32" spans="1:29" x14ac:dyDescent="0.25">
      <c r="A32" t="s">
        <v>157</v>
      </c>
      <c r="C32" t="s">
        <v>157</v>
      </c>
      <c r="D32" t="s">
        <v>157</v>
      </c>
      <c r="E32" t="s">
        <v>190</v>
      </c>
      <c r="T32" t="str">
        <f t="shared" si="6"/>
        <v>afert</v>
      </c>
      <c r="U32" t="str">
        <f t="shared" si="7"/>
        <v>cfert</v>
      </c>
      <c r="W32" t="str">
        <f t="shared" si="8"/>
        <v>afert</v>
      </c>
      <c r="X32" t="str">
        <f t="shared" si="9"/>
        <v>afert</v>
      </c>
      <c r="Y32" t="s">
        <v>591</v>
      </c>
    </row>
    <row r="33" spans="1:25" x14ac:dyDescent="0.25">
      <c r="A33" t="s">
        <v>158</v>
      </c>
      <c r="C33" t="s">
        <v>158</v>
      </c>
      <c r="D33" t="s">
        <v>158</v>
      </c>
      <c r="E33" t="s">
        <v>191</v>
      </c>
      <c r="T33" t="str">
        <f t="shared" si="6"/>
        <v>achem</v>
      </c>
      <c r="U33" t="str">
        <f t="shared" si="7"/>
        <v>cchem</v>
      </c>
      <c r="W33" t="str">
        <f t="shared" si="8"/>
        <v>achem</v>
      </c>
      <c r="X33" t="str">
        <f t="shared" si="9"/>
        <v>achem</v>
      </c>
      <c r="Y33" t="s">
        <v>591</v>
      </c>
    </row>
    <row r="34" spans="1:25" x14ac:dyDescent="0.25">
      <c r="A34" t="s">
        <v>159</v>
      </c>
      <c r="C34" t="s">
        <v>159</v>
      </c>
      <c r="D34" t="s">
        <v>159</v>
      </c>
      <c r="E34" t="s">
        <v>192</v>
      </c>
      <c r="T34" t="str">
        <f t="shared" si="6"/>
        <v>anmet</v>
      </c>
      <c r="U34" t="str">
        <f t="shared" si="7"/>
        <v>cnmet</v>
      </c>
      <c r="W34" t="str">
        <f t="shared" si="8"/>
        <v>anmet</v>
      </c>
      <c r="X34" t="str">
        <f t="shared" si="9"/>
        <v>anmet</v>
      </c>
      <c r="Y34" t="s">
        <v>591</v>
      </c>
    </row>
    <row r="35" spans="1:25" x14ac:dyDescent="0.25">
      <c r="A35" t="s">
        <v>160</v>
      </c>
      <c r="C35" t="s">
        <v>160</v>
      </c>
      <c r="D35" t="s">
        <v>160</v>
      </c>
      <c r="E35" t="s">
        <v>193</v>
      </c>
      <c r="T35" t="str">
        <f t="shared" si="6"/>
        <v>ametl</v>
      </c>
      <c r="U35" t="str">
        <f t="shared" si="7"/>
        <v>cmetl</v>
      </c>
      <c r="W35" t="str">
        <f t="shared" si="8"/>
        <v>ametl</v>
      </c>
      <c r="X35" t="str">
        <f t="shared" si="9"/>
        <v>ametl</v>
      </c>
      <c r="Y35" t="s">
        <v>591</v>
      </c>
    </row>
    <row r="36" spans="1:25" x14ac:dyDescent="0.25">
      <c r="A36" t="s">
        <v>161</v>
      </c>
      <c r="C36" t="s">
        <v>161</v>
      </c>
      <c r="D36" t="s">
        <v>161</v>
      </c>
      <c r="E36" t="s">
        <v>194</v>
      </c>
      <c r="T36" t="str">
        <f t="shared" si="6"/>
        <v>amach</v>
      </c>
      <c r="U36" t="str">
        <f t="shared" si="7"/>
        <v>cmach</v>
      </c>
      <c r="W36" t="str">
        <f t="shared" si="8"/>
        <v>amach</v>
      </c>
      <c r="X36" t="str">
        <f t="shared" si="9"/>
        <v>amach</v>
      </c>
      <c r="Y36" t="s">
        <v>591</v>
      </c>
    </row>
    <row r="37" spans="1:25" x14ac:dyDescent="0.25">
      <c r="A37" t="s">
        <v>162</v>
      </c>
      <c r="C37" t="s">
        <v>162</v>
      </c>
      <c r="D37" t="s">
        <v>162</v>
      </c>
      <c r="E37" t="s">
        <v>195</v>
      </c>
      <c r="T37" t="str">
        <f t="shared" si="6"/>
        <v>aoman</v>
      </c>
      <c r="U37" t="str">
        <f t="shared" si="7"/>
        <v>coman</v>
      </c>
      <c r="W37" t="str">
        <f t="shared" si="8"/>
        <v>aoman</v>
      </c>
      <c r="X37" t="str">
        <f t="shared" si="9"/>
        <v>aoman</v>
      </c>
      <c r="Y37" t="s">
        <v>591</v>
      </c>
    </row>
    <row r="38" spans="1:25" x14ac:dyDescent="0.25">
      <c r="A38" t="s">
        <v>163</v>
      </c>
      <c r="C38" t="s">
        <v>163</v>
      </c>
      <c r="D38" t="s">
        <v>163</v>
      </c>
      <c r="E38" t="s">
        <v>196</v>
      </c>
      <c r="T38" t="str">
        <f t="shared" si="6"/>
        <v>aelec</v>
      </c>
      <c r="U38" t="str">
        <f t="shared" si="7"/>
        <v>celec</v>
      </c>
      <c r="W38" t="str">
        <f t="shared" si="8"/>
        <v>aelec</v>
      </c>
      <c r="X38" t="str">
        <f t="shared" si="9"/>
        <v>aelec</v>
      </c>
      <c r="Y38" t="s">
        <v>591</v>
      </c>
    </row>
    <row r="39" spans="1:25" x14ac:dyDescent="0.25">
      <c r="A39" t="s">
        <v>164</v>
      </c>
      <c r="C39" t="s">
        <v>164</v>
      </c>
      <c r="D39" t="s">
        <v>164</v>
      </c>
      <c r="E39" t="s">
        <v>197</v>
      </c>
      <c r="T39" t="str">
        <f t="shared" si="6"/>
        <v>awatr</v>
      </c>
      <c r="U39" t="str">
        <f t="shared" si="7"/>
        <v>cwatr</v>
      </c>
      <c r="W39" t="str">
        <f t="shared" si="8"/>
        <v>awatr</v>
      </c>
      <c r="X39" t="str">
        <f t="shared" si="9"/>
        <v>awatr</v>
      </c>
      <c r="Y39" t="s">
        <v>591</v>
      </c>
    </row>
    <row r="40" spans="1:25" x14ac:dyDescent="0.25">
      <c r="A40" t="s">
        <v>165</v>
      </c>
      <c r="C40" t="s">
        <v>165</v>
      </c>
      <c r="D40" t="s">
        <v>165</v>
      </c>
      <c r="E40" t="s">
        <v>198</v>
      </c>
      <c r="T40" t="str">
        <f t="shared" si="6"/>
        <v>acons</v>
      </c>
      <c r="U40" t="str">
        <f t="shared" si="7"/>
        <v>ccons</v>
      </c>
      <c r="W40" t="str">
        <f t="shared" si="8"/>
        <v>acons</v>
      </c>
      <c r="X40" t="str">
        <f t="shared" si="9"/>
        <v>acons</v>
      </c>
      <c r="Y40" t="s">
        <v>591</v>
      </c>
    </row>
    <row r="41" spans="1:25" x14ac:dyDescent="0.25">
      <c r="A41" t="s">
        <v>166</v>
      </c>
      <c r="C41" t="s">
        <v>166</v>
      </c>
      <c r="D41" t="s">
        <v>166</v>
      </c>
      <c r="E41" t="s">
        <v>199</v>
      </c>
      <c r="T41" t="str">
        <f t="shared" si="6"/>
        <v>atrad</v>
      </c>
      <c r="U41" t="str">
        <f t="shared" si="7"/>
        <v>ctrad</v>
      </c>
      <c r="W41" t="str">
        <f t="shared" si="8"/>
        <v>atrad</v>
      </c>
      <c r="X41" t="str">
        <f t="shared" si="9"/>
        <v>atrad</v>
      </c>
      <c r="Y41" t="s">
        <v>591</v>
      </c>
    </row>
    <row r="42" spans="1:25" x14ac:dyDescent="0.25">
      <c r="A42" t="s">
        <v>167</v>
      </c>
      <c r="C42" t="s">
        <v>167</v>
      </c>
      <c r="D42" t="s">
        <v>167</v>
      </c>
      <c r="E42" t="s">
        <v>200</v>
      </c>
      <c r="T42" t="str">
        <f t="shared" si="6"/>
        <v>atran</v>
      </c>
      <c r="U42" t="str">
        <f t="shared" si="7"/>
        <v>ctran</v>
      </c>
      <c r="W42" t="str">
        <f t="shared" si="8"/>
        <v>atran</v>
      </c>
      <c r="X42" t="str">
        <f t="shared" si="9"/>
        <v>atran</v>
      </c>
      <c r="Y42" t="s">
        <v>591</v>
      </c>
    </row>
    <row r="43" spans="1:25" x14ac:dyDescent="0.25">
      <c r="A43" t="s">
        <v>168</v>
      </c>
      <c r="C43" t="s">
        <v>168</v>
      </c>
      <c r="D43" t="s">
        <v>168</v>
      </c>
      <c r="E43" t="s">
        <v>201</v>
      </c>
      <c r="T43" t="str">
        <f t="shared" si="6"/>
        <v>ahotl</v>
      </c>
      <c r="U43" t="str">
        <f t="shared" si="7"/>
        <v>chotl</v>
      </c>
      <c r="W43" t="str">
        <f t="shared" si="8"/>
        <v>ahotl</v>
      </c>
      <c r="X43" t="str">
        <f t="shared" si="9"/>
        <v>ahotl</v>
      </c>
      <c r="Y43" t="s">
        <v>591</v>
      </c>
    </row>
    <row r="44" spans="1:25" x14ac:dyDescent="0.25">
      <c r="A44" t="s">
        <v>548</v>
      </c>
      <c r="C44" t="s">
        <v>548</v>
      </c>
      <c r="D44" t="s">
        <v>548</v>
      </c>
      <c r="E44" t="s">
        <v>549</v>
      </c>
      <c r="T44" t="str">
        <f t="shared" si="6"/>
        <v>arest</v>
      </c>
      <c r="U44" t="str">
        <f t="shared" si="7"/>
        <v>crest</v>
      </c>
      <c r="W44" t="str">
        <f t="shared" si="8"/>
        <v>arest</v>
      </c>
      <c r="X44" t="str">
        <f t="shared" si="9"/>
        <v>arest</v>
      </c>
      <c r="Y44" t="s">
        <v>591</v>
      </c>
    </row>
    <row r="45" spans="1:25" x14ac:dyDescent="0.25">
      <c r="A45" t="s">
        <v>169</v>
      </c>
      <c r="C45" t="s">
        <v>169</v>
      </c>
      <c r="D45" t="s">
        <v>169</v>
      </c>
      <c r="E45" t="s">
        <v>202</v>
      </c>
      <c r="T45" t="str">
        <f t="shared" si="6"/>
        <v>acomm</v>
      </c>
      <c r="U45" t="str">
        <f t="shared" si="7"/>
        <v>ccomm</v>
      </c>
      <c r="W45" t="str">
        <f t="shared" si="8"/>
        <v>acomm</v>
      </c>
      <c r="X45" t="str">
        <f t="shared" si="9"/>
        <v>acomm</v>
      </c>
      <c r="Y45" t="s">
        <v>591</v>
      </c>
    </row>
    <row r="46" spans="1:25" x14ac:dyDescent="0.25">
      <c r="A46" t="s">
        <v>170</v>
      </c>
      <c r="C46" t="s">
        <v>170</v>
      </c>
      <c r="D46" t="s">
        <v>170</v>
      </c>
      <c r="E46" t="s">
        <v>203</v>
      </c>
      <c r="T46" t="str">
        <f t="shared" si="6"/>
        <v>afsrv</v>
      </c>
      <c r="U46" t="str">
        <f t="shared" si="7"/>
        <v>cfsrv</v>
      </c>
      <c r="W46" t="str">
        <f t="shared" si="8"/>
        <v>afsrv</v>
      </c>
      <c r="X46" t="str">
        <f t="shared" si="9"/>
        <v>afsrv</v>
      </c>
      <c r="Y46" t="s">
        <v>591</v>
      </c>
    </row>
    <row r="47" spans="1:25" x14ac:dyDescent="0.25">
      <c r="A47" t="s">
        <v>171</v>
      </c>
      <c r="C47" t="s">
        <v>171</v>
      </c>
      <c r="D47" t="s">
        <v>171</v>
      </c>
      <c r="E47" t="s">
        <v>204</v>
      </c>
      <c r="T47" t="str">
        <f t="shared" si="6"/>
        <v>areal</v>
      </c>
      <c r="U47" t="str">
        <f t="shared" si="7"/>
        <v>creal</v>
      </c>
      <c r="W47" t="str">
        <f t="shared" si="8"/>
        <v>areal</v>
      </c>
      <c r="X47" t="str">
        <f t="shared" si="9"/>
        <v>areal</v>
      </c>
      <c r="Y47" t="s">
        <v>591</v>
      </c>
    </row>
    <row r="48" spans="1:25" x14ac:dyDescent="0.25">
      <c r="A48" t="s">
        <v>172</v>
      </c>
      <c r="C48" t="s">
        <v>172</v>
      </c>
      <c r="D48" t="s">
        <v>172</v>
      </c>
      <c r="E48" t="s">
        <v>205</v>
      </c>
      <c r="T48" t="str">
        <f t="shared" si="6"/>
        <v>absrv</v>
      </c>
      <c r="U48" t="str">
        <f t="shared" si="7"/>
        <v>cbsrv</v>
      </c>
      <c r="W48" t="str">
        <f t="shared" si="8"/>
        <v>absrv</v>
      </c>
      <c r="X48" t="str">
        <f t="shared" si="9"/>
        <v>absrv</v>
      </c>
      <c r="Y48" t="s">
        <v>591</v>
      </c>
    </row>
    <row r="49" spans="1:25" x14ac:dyDescent="0.25">
      <c r="A49" t="s">
        <v>173</v>
      </c>
      <c r="C49" t="s">
        <v>173</v>
      </c>
      <c r="D49" t="s">
        <v>173</v>
      </c>
      <c r="E49" t="s">
        <v>206</v>
      </c>
      <c r="T49" t="str">
        <f t="shared" si="6"/>
        <v>apadm</v>
      </c>
      <c r="U49" t="str">
        <f t="shared" si="7"/>
        <v>cpadm</v>
      </c>
      <c r="W49" t="str">
        <f t="shared" si="8"/>
        <v>apadm</v>
      </c>
      <c r="X49" t="str">
        <f t="shared" si="9"/>
        <v>apadm</v>
      </c>
      <c r="Y49" t="s">
        <v>591</v>
      </c>
    </row>
    <row r="50" spans="1:25" x14ac:dyDescent="0.25">
      <c r="A50" t="s">
        <v>174</v>
      </c>
      <c r="C50" t="s">
        <v>174</v>
      </c>
      <c r="D50" t="s">
        <v>174</v>
      </c>
      <c r="E50" t="s">
        <v>207</v>
      </c>
      <c r="T50" t="str">
        <f t="shared" si="6"/>
        <v>aeduc</v>
      </c>
      <c r="U50" t="str">
        <f t="shared" si="7"/>
        <v>ceduc</v>
      </c>
      <c r="W50" t="str">
        <f t="shared" si="8"/>
        <v>aeduc</v>
      </c>
      <c r="X50" t="str">
        <f t="shared" si="9"/>
        <v>aeduc</v>
      </c>
      <c r="Y50" t="s">
        <v>591</v>
      </c>
    </row>
    <row r="51" spans="1:25" x14ac:dyDescent="0.25">
      <c r="A51" t="s">
        <v>175</v>
      </c>
      <c r="C51" t="s">
        <v>175</v>
      </c>
      <c r="D51" t="s">
        <v>175</v>
      </c>
      <c r="E51" t="s">
        <v>208</v>
      </c>
      <c r="T51" t="str">
        <f t="shared" si="6"/>
        <v>aheal</v>
      </c>
      <c r="U51" t="str">
        <f t="shared" si="7"/>
        <v>cheal</v>
      </c>
      <c r="W51" t="str">
        <f t="shared" si="8"/>
        <v>aheal</v>
      </c>
      <c r="X51" t="str">
        <f t="shared" si="9"/>
        <v>aheal</v>
      </c>
      <c r="Y51" t="s">
        <v>591</v>
      </c>
    </row>
    <row r="52" spans="1:25" x14ac:dyDescent="0.25">
      <c r="A52" t="s">
        <v>176</v>
      </c>
      <c r="C52" t="s">
        <v>176</v>
      </c>
      <c r="D52" t="s">
        <v>176</v>
      </c>
      <c r="E52" t="s">
        <v>209</v>
      </c>
      <c r="T52" t="str">
        <f t="shared" si="6"/>
        <v>aosrv</v>
      </c>
      <c r="U52" t="str">
        <f t="shared" si="7"/>
        <v>cosrv</v>
      </c>
      <c r="W52" t="str">
        <f t="shared" si="8"/>
        <v>aosrv</v>
      </c>
      <c r="X52" t="str">
        <f t="shared" si="9"/>
        <v>aosrv</v>
      </c>
      <c r="Y52" t="s">
        <v>591</v>
      </c>
    </row>
    <row r="53" spans="1:25" x14ac:dyDescent="0.25">
      <c r="A53" t="s">
        <v>680</v>
      </c>
    </row>
    <row r="54" spans="1:25" x14ac:dyDescent="0.25">
      <c r="A54" t="s">
        <v>177</v>
      </c>
    </row>
    <row r="55" spans="1:25" x14ac:dyDescent="0.25">
      <c r="A55" t="s">
        <v>178</v>
      </c>
    </row>
    <row r="56" spans="1:25" x14ac:dyDescent="0.25">
      <c r="A56" t="s">
        <v>179</v>
      </c>
    </row>
    <row r="57" spans="1:25" x14ac:dyDescent="0.25">
      <c r="A57" t="s">
        <v>180</v>
      </c>
    </row>
    <row r="58" spans="1:25" x14ac:dyDescent="0.25">
      <c r="A58" t="s">
        <v>181</v>
      </c>
    </row>
    <row r="59" spans="1:25" x14ac:dyDescent="0.25">
      <c r="A59" s="32" t="s">
        <v>717</v>
      </c>
    </row>
    <row r="60" spans="1:25" x14ac:dyDescent="0.25">
      <c r="A60" t="s">
        <v>182</v>
      </c>
    </row>
    <row r="61" spans="1:25" x14ac:dyDescent="0.25">
      <c r="A61" t="s">
        <v>681</v>
      </c>
    </row>
    <row r="62" spans="1:25" x14ac:dyDescent="0.25">
      <c r="A62" t="s">
        <v>289</v>
      </c>
    </row>
    <row r="63" spans="1:25" x14ac:dyDescent="0.25">
      <c r="A63" t="s">
        <v>183</v>
      </c>
    </row>
    <row r="64" spans="1:25" x14ac:dyDescent="0.25">
      <c r="A64" t="s">
        <v>184</v>
      </c>
    </row>
    <row r="65" spans="1:1" x14ac:dyDescent="0.25">
      <c r="A65" t="s">
        <v>682</v>
      </c>
    </row>
    <row r="66" spans="1:1" x14ac:dyDescent="0.25">
      <c r="A66" t="s">
        <v>683</v>
      </c>
    </row>
    <row r="67" spans="1:1" x14ac:dyDescent="0.25">
      <c r="A67" t="s">
        <v>186</v>
      </c>
    </row>
    <row r="68" spans="1:1" x14ac:dyDescent="0.25">
      <c r="A68" t="s">
        <v>293</v>
      </c>
    </row>
    <row r="69" spans="1:1" x14ac:dyDescent="0.25">
      <c r="A69" t="s">
        <v>292</v>
      </c>
    </row>
    <row r="70" spans="1:1" x14ac:dyDescent="0.25">
      <c r="A70" t="s">
        <v>185</v>
      </c>
    </row>
    <row r="71" spans="1:1" x14ac:dyDescent="0.25">
      <c r="A71" t="s">
        <v>290</v>
      </c>
    </row>
    <row r="72" spans="1:1" x14ac:dyDescent="0.25">
      <c r="A72" t="s">
        <v>291</v>
      </c>
    </row>
    <row r="73" spans="1:1" x14ac:dyDescent="0.25">
      <c r="A73" t="s">
        <v>684</v>
      </c>
    </row>
    <row r="74" spans="1:1" x14ac:dyDescent="0.25">
      <c r="A74" t="s">
        <v>685</v>
      </c>
    </row>
    <row r="75" spans="1:1" x14ac:dyDescent="0.25">
      <c r="A75" t="s">
        <v>187</v>
      </c>
    </row>
    <row r="76" spans="1:1" x14ac:dyDescent="0.25">
      <c r="A76" t="s">
        <v>188</v>
      </c>
    </row>
    <row r="77" spans="1:1" x14ac:dyDescent="0.25">
      <c r="A77" t="s">
        <v>189</v>
      </c>
    </row>
    <row r="78" spans="1:1" x14ac:dyDescent="0.25">
      <c r="A78" t="s">
        <v>190</v>
      </c>
    </row>
    <row r="79" spans="1:1" x14ac:dyDescent="0.25">
      <c r="A79" t="s">
        <v>191</v>
      </c>
    </row>
    <row r="80" spans="1:1" x14ac:dyDescent="0.25">
      <c r="A80" t="s">
        <v>192</v>
      </c>
    </row>
    <row r="81" spans="1:1" x14ac:dyDescent="0.25">
      <c r="A81" t="s">
        <v>193</v>
      </c>
    </row>
    <row r="82" spans="1:1" x14ac:dyDescent="0.25">
      <c r="A82" t="s">
        <v>194</v>
      </c>
    </row>
    <row r="83" spans="1:1" x14ac:dyDescent="0.25">
      <c r="A83" t="s">
        <v>195</v>
      </c>
    </row>
    <row r="84" spans="1:1" x14ac:dyDescent="0.25">
      <c r="A84" t="s">
        <v>196</v>
      </c>
    </row>
    <row r="85" spans="1:1" x14ac:dyDescent="0.25">
      <c r="A85" t="s">
        <v>197</v>
      </c>
    </row>
    <row r="86" spans="1:1" x14ac:dyDescent="0.25">
      <c r="A86" t="s">
        <v>198</v>
      </c>
    </row>
    <row r="87" spans="1:1" x14ac:dyDescent="0.25">
      <c r="A87" t="s">
        <v>199</v>
      </c>
    </row>
    <row r="88" spans="1:1" x14ac:dyDescent="0.25">
      <c r="A88" t="s">
        <v>200</v>
      </c>
    </row>
    <row r="89" spans="1:1" x14ac:dyDescent="0.25">
      <c r="A89" t="s">
        <v>201</v>
      </c>
    </row>
    <row r="90" spans="1:1" x14ac:dyDescent="0.25">
      <c r="A90" t="s">
        <v>549</v>
      </c>
    </row>
    <row r="91" spans="1:1" x14ac:dyDescent="0.25">
      <c r="A91" t="s">
        <v>202</v>
      </c>
    </row>
    <row r="92" spans="1:1" x14ac:dyDescent="0.25">
      <c r="A92" t="s">
        <v>203</v>
      </c>
    </row>
    <row r="93" spans="1:1" x14ac:dyDescent="0.25">
      <c r="A93" t="s">
        <v>204</v>
      </c>
    </row>
    <row r="94" spans="1:1" x14ac:dyDescent="0.25">
      <c r="A94" t="s">
        <v>205</v>
      </c>
    </row>
    <row r="95" spans="1:1" x14ac:dyDescent="0.25">
      <c r="A95" t="s">
        <v>206</v>
      </c>
    </row>
    <row r="96" spans="1:1" x14ac:dyDescent="0.25">
      <c r="A96" t="s">
        <v>207</v>
      </c>
    </row>
    <row r="97" spans="1:1" x14ac:dyDescent="0.25">
      <c r="A97" t="s">
        <v>208</v>
      </c>
    </row>
    <row r="98" spans="1:1" x14ac:dyDescent="0.25">
      <c r="A98" t="s">
        <v>209</v>
      </c>
    </row>
    <row r="99" spans="1:1" x14ac:dyDescent="0.25">
      <c r="A99" t="s">
        <v>102</v>
      </c>
    </row>
    <row r="100" spans="1:1" x14ac:dyDescent="0.25">
      <c r="A100" t="s">
        <v>296</v>
      </c>
    </row>
    <row r="101" spans="1:1" x14ac:dyDescent="0.25">
      <c r="A101" t="s">
        <v>297</v>
      </c>
    </row>
    <row r="102" spans="1:1" x14ac:dyDescent="0.25">
      <c r="A102" t="s">
        <v>298</v>
      </c>
    </row>
    <row r="103" spans="1:1" x14ac:dyDescent="0.25">
      <c r="A103" t="s">
        <v>552</v>
      </c>
    </row>
    <row r="104" spans="1:1" x14ac:dyDescent="0.25">
      <c r="A104" t="s">
        <v>553</v>
      </c>
    </row>
    <row r="105" spans="1:1" x14ac:dyDescent="0.25">
      <c r="A105" t="s">
        <v>554</v>
      </c>
    </row>
    <row r="106" spans="1:1" x14ac:dyDescent="0.25">
      <c r="A106" t="s">
        <v>555</v>
      </c>
    </row>
    <row r="107" spans="1:1" x14ac:dyDescent="0.25">
      <c r="A107" t="s">
        <v>216</v>
      </c>
    </row>
    <row r="108" spans="1:1" x14ac:dyDescent="0.25">
      <c r="A108" t="s">
        <v>557</v>
      </c>
    </row>
    <row r="109" spans="1:1" x14ac:dyDescent="0.25">
      <c r="A109" t="s">
        <v>558</v>
      </c>
    </row>
    <row r="110" spans="1:1" x14ac:dyDescent="0.25">
      <c r="A110" t="s">
        <v>559</v>
      </c>
    </row>
    <row r="111" spans="1:1" x14ac:dyDescent="0.25">
      <c r="A111" t="s">
        <v>560</v>
      </c>
    </row>
    <row r="112" spans="1:1" x14ac:dyDescent="0.25">
      <c r="A112" t="s">
        <v>104</v>
      </c>
    </row>
    <row r="113" spans="1:1" x14ac:dyDescent="0.25">
      <c r="A113" t="s">
        <v>217</v>
      </c>
    </row>
    <row r="114" spans="1:1" x14ac:dyDescent="0.25">
      <c r="A114" t="s">
        <v>218</v>
      </c>
    </row>
    <row r="115" spans="1:1" x14ac:dyDescent="0.25">
      <c r="A115" t="s">
        <v>219</v>
      </c>
    </row>
    <row r="116" spans="1:1" x14ac:dyDescent="0.25">
      <c r="A116" t="s">
        <v>220</v>
      </c>
    </row>
    <row r="117" spans="1:1" x14ac:dyDescent="0.25">
      <c r="A117" t="s">
        <v>221</v>
      </c>
    </row>
    <row r="118" spans="1:1" x14ac:dyDescent="0.25">
      <c r="A118" t="s">
        <v>595</v>
      </c>
    </row>
    <row r="119" spans="1:1" x14ac:dyDescent="0.25">
      <c r="A119" t="s">
        <v>596</v>
      </c>
    </row>
    <row r="120" spans="1:1" x14ac:dyDescent="0.25">
      <c r="A120" t="s">
        <v>597</v>
      </c>
    </row>
    <row r="121" spans="1:1" x14ac:dyDescent="0.25">
      <c r="A121" t="s">
        <v>598</v>
      </c>
    </row>
    <row r="122" spans="1:1" x14ac:dyDescent="0.25">
      <c r="A122" t="s">
        <v>599</v>
      </c>
    </row>
    <row r="123" spans="1:1" x14ac:dyDescent="0.25">
      <c r="A123" t="s">
        <v>222</v>
      </c>
    </row>
    <row r="124" spans="1:1" x14ac:dyDescent="0.25">
      <c r="A124" t="s">
        <v>223</v>
      </c>
    </row>
    <row r="125" spans="1:1" x14ac:dyDescent="0.25">
      <c r="A125" t="s">
        <v>224</v>
      </c>
    </row>
    <row r="126" spans="1:1" x14ac:dyDescent="0.25">
      <c r="A126" t="s">
        <v>225</v>
      </c>
    </row>
    <row r="127" spans="1:1" x14ac:dyDescent="0.25">
      <c r="A127" t="s">
        <v>226</v>
      </c>
    </row>
    <row r="128" spans="1:1" x14ac:dyDescent="0.25">
      <c r="A128" t="s">
        <v>106</v>
      </c>
    </row>
    <row r="129" spans="1:1" x14ac:dyDescent="0.25">
      <c r="A129" t="s">
        <v>108</v>
      </c>
    </row>
    <row r="130" spans="1:1" x14ac:dyDescent="0.25">
      <c r="A130" t="s">
        <v>110</v>
      </c>
    </row>
    <row r="131" spans="1:1" x14ac:dyDescent="0.25">
      <c r="A131" t="s">
        <v>112</v>
      </c>
    </row>
    <row r="132" spans="1:1" x14ac:dyDescent="0.25">
      <c r="A132" t="s">
        <v>114</v>
      </c>
    </row>
    <row r="133" spans="1:1" x14ac:dyDescent="0.25">
      <c r="A133" t="s">
        <v>116</v>
      </c>
    </row>
    <row r="134" spans="1:1" x14ac:dyDescent="0.25">
      <c r="A134" t="s">
        <v>118</v>
      </c>
    </row>
    <row r="135" spans="1:1" x14ac:dyDescent="0.25">
      <c r="A135" t="s">
        <v>120</v>
      </c>
    </row>
    <row r="136" spans="1:1" x14ac:dyDescent="0.25">
      <c r="A136" t="s">
        <v>122</v>
      </c>
    </row>
    <row r="137" spans="1:1" x14ac:dyDescent="0.25">
      <c r="A137" t="s">
        <v>124</v>
      </c>
    </row>
    <row r="138" spans="1:1" x14ac:dyDescent="0.25">
      <c r="A138" t="s">
        <v>591</v>
      </c>
    </row>
    <row r="139" spans="1:1" x14ac:dyDescent="0.25">
      <c r="A139" t="s">
        <v>299</v>
      </c>
    </row>
    <row r="140" spans="1:1" x14ac:dyDescent="0.25">
      <c r="A140" t="s">
        <v>300</v>
      </c>
    </row>
    <row r="141" spans="1:1" x14ac:dyDescent="0.25">
      <c r="A141" t="s">
        <v>301</v>
      </c>
    </row>
    <row r="142" spans="1:1" x14ac:dyDescent="0.25">
      <c r="A142" t="s">
        <v>302</v>
      </c>
    </row>
    <row r="143" spans="1:1" x14ac:dyDescent="0.25">
      <c r="A143" t="s">
        <v>303</v>
      </c>
    </row>
    <row r="144" spans="1:1" x14ac:dyDescent="0.25">
      <c r="A144" t="s">
        <v>304</v>
      </c>
    </row>
    <row r="145" spans="1:1" x14ac:dyDescent="0.25">
      <c r="A145" t="s">
        <v>305</v>
      </c>
    </row>
    <row r="146" spans="1:1" x14ac:dyDescent="0.25">
      <c r="A146" t="s">
        <v>306</v>
      </c>
    </row>
    <row r="147" spans="1:1" x14ac:dyDescent="0.25">
      <c r="A147" t="s">
        <v>307</v>
      </c>
    </row>
    <row r="148" spans="1:1" x14ac:dyDescent="0.25">
      <c r="A148" t="s">
        <v>308</v>
      </c>
    </row>
    <row r="149" spans="1:1" x14ac:dyDescent="0.25">
      <c r="A149" t="s">
        <v>122</v>
      </c>
    </row>
    <row r="150" spans="1:1" x14ac:dyDescent="0.25">
      <c r="A150" t="s">
        <v>309</v>
      </c>
    </row>
    <row r="151" spans="1:1" x14ac:dyDescent="0.25">
      <c r="A151" t="s">
        <v>126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Q53"/>
  <sheetViews>
    <sheetView zoomScale="85" zoomScaleNormal="85" workbookViewId="0">
      <pane ySplit="6" topLeftCell="A7" activePane="bottomLeft" state="frozen"/>
      <selection activeCell="D7" sqref="D7:E19"/>
      <selection pane="bottomLeft" activeCell="J14" sqref="J14"/>
    </sheetView>
  </sheetViews>
  <sheetFormatPr defaultRowHeight="15" x14ac:dyDescent="0.25"/>
  <cols>
    <col min="14" max="14" width="8.7109375" style="142"/>
    <col min="15" max="15" width="9.140625" style="148"/>
    <col min="16" max="16" width="8.7109375" style="142"/>
    <col min="17" max="17" width="9.140625" style="149"/>
  </cols>
  <sheetData>
    <row r="1" spans="1:17" ht="18.75" x14ac:dyDescent="0.3">
      <c r="A1" s="5" t="s">
        <v>484</v>
      </c>
    </row>
    <row r="3" spans="1:17" x14ac:dyDescent="0.25">
      <c r="A3" s="19" t="s">
        <v>540</v>
      </c>
      <c r="B3" s="19" t="s">
        <v>540</v>
      </c>
      <c r="C3" s="19" t="s">
        <v>540</v>
      </c>
      <c r="D3" s="19" t="s">
        <v>540</v>
      </c>
      <c r="E3" s="19" t="s">
        <v>540</v>
      </c>
      <c r="F3" s="19" t="s">
        <v>540</v>
      </c>
    </row>
    <row r="4" spans="1:17" x14ac:dyDescent="0.25">
      <c r="A4" s="1" t="s">
        <v>483</v>
      </c>
      <c r="C4" s="1" t="s">
        <v>481</v>
      </c>
      <c r="D4" s="1" t="s">
        <v>482</v>
      </c>
      <c r="F4" s="1" t="s">
        <v>541</v>
      </c>
    </row>
    <row r="5" spans="1:17" x14ac:dyDescent="0.25">
      <c r="A5" t="s">
        <v>246</v>
      </c>
      <c r="B5" t="s">
        <v>247</v>
      </c>
      <c r="D5" t="s">
        <v>246</v>
      </c>
      <c r="E5" t="s">
        <v>247</v>
      </c>
      <c r="F5" t="s">
        <v>246</v>
      </c>
    </row>
    <row r="6" spans="1:17" x14ac:dyDescent="0.25">
      <c r="A6" t="s">
        <v>476</v>
      </c>
      <c r="B6" t="s">
        <v>477</v>
      </c>
      <c r="C6" t="s">
        <v>478</v>
      </c>
      <c r="D6" t="s">
        <v>480</v>
      </c>
      <c r="E6" t="s">
        <v>479</v>
      </c>
      <c r="F6" t="s">
        <v>593</v>
      </c>
      <c r="J6" s="29"/>
      <c r="K6" s="29" t="s">
        <v>725</v>
      </c>
      <c r="L6" s="29" t="s">
        <v>726</v>
      </c>
      <c r="M6" s="29" t="s">
        <v>727</v>
      </c>
      <c r="N6" s="142" t="s">
        <v>728</v>
      </c>
      <c r="O6" s="149" t="s">
        <v>729</v>
      </c>
      <c r="P6" s="142" t="s">
        <v>730</v>
      </c>
      <c r="Q6" s="149" t="s">
        <v>731</v>
      </c>
    </row>
    <row r="7" spans="1:17" x14ac:dyDescent="0.25">
      <c r="A7" s="29"/>
      <c r="B7" s="29" t="s">
        <v>681</v>
      </c>
      <c r="D7" s="29" t="s">
        <v>203</v>
      </c>
      <c r="E7" s="29" t="s">
        <v>177</v>
      </c>
      <c r="J7" s="29" t="s">
        <v>680</v>
      </c>
      <c r="K7" s="145">
        <v>1.7859388901596001</v>
      </c>
      <c r="L7" s="143">
        <v>1.1397620675225799</v>
      </c>
      <c r="M7" s="143">
        <v>3.4352083310405401</v>
      </c>
      <c r="N7" s="144"/>
      <c r="O7" s="147"/>
      <c r="P7" s="144">
        <v>0.64118867351398301</v>
      </c>
      <c r="Q7" s="147">
        <v>12.7525998883764</v>
      </c>
    </row>
    <row r="8" spans="1:17" x14ac:dyDescent="0.25">
      <c r="B8" s="29" t="s">
        <v>682</v>
      </c>
      <c r="D8" s="29" t="s">
        <v>208</v>
      </c>
      <c r="E8" s="29" t="s">
        <v>180</v>
      </c>
      <c r="J8" s="29" t="s">
        <v>177</v>
      </c>
      <c r="K8" s="145">
        <v>1.44109327656747</v>
      </c>
      <c r="L8" s="143">
        <v>0.90124883717269599</v>
      </c>
      <c r="M8" s="143">
        <v>3.329873636281</v>
      </c>
      <c r="N8" s="144">
        <v>1.8594499880212501</v>
      </c>
      <c r="O8" s="147">
        <v>32.301065080389797</v>
      </c>
      <c r="P8" s="144"/>
      <c r="Q8" s="147"/>
    </row>
    <row r="9" spans="1:17" x14ac:dyDescent="0.25">
      <c r="B9" s="29" t="s">
        <v>208</v>
      </c>
      <c r="D9" s="29" t="s">
        <v>209</v>
      </c>
      <c r="E9" s="29" t="s">
        <v>181</v>
      </c>
      <c r="J9" s="29" t="s">
        <v>178</v>
      </c>
      <c r="K9" s="143">
        <v>0.578239852423032</v>
      </c>
      <c r="L9" s="143">
        <v>0.45952804783092499</v>
      </c>
      <c r="M9" s="143">
        <v>1.2140010891378299</v>
      </c>
      <c r="N9" s="144"/>
      <c r="O9" s="147"/>
      <c r="P9" s="144">
        <v>0.21887973214644299</v>
      </c>
      <c r="Q9" s="147">
        <v>10.6474165346169</v>
      </c>
    </row>
    <row r="10" spans="1:17" x14ac:dyDescent="0.25">
      <c r="B10" s="29" t="s">
        <v>209</v>
      </c>
      <c r="J10" s="29" t="s">
        <v>179</v>
      </c>
      <c r="K10" s="143">
        <v>6.00683809678124</v>
      </c>
      <c r="L10" s="143">
        <v>3.8276188083056901</v>
      </c>
      <c r="M10" s="143">
        <v>11.883446191686501</v>
      </c>
      <c r="N10" s="144"/>
      <c r="O10" s="147"/>
      <c r="P10" s="144"/>
      <c r="Q10" s="147"/>
    </row>
    <row r="11" spans="1:17" x14ac:dyDescent="0.25">
      <c r="B11" s="29"/>
      <c r="D11" s="29"/>
      <c r="J11" s="29" t="s">
        <v>180</v>
      </c>
      <c r="K11" s="143">
        <v>0.98224881101767303</v>
      </c>
      <c r="L11" s="143">
        <v>0.60294224624158499</v>
      </c>
      <c r="M11" s="143">
        <v>2.1754798858478899</v>
      </c>
      <c r="N11" s="144">
        <v>1.56441540038408</v>
      </c>
      <c r="O11" s="147">
        <v>32.113531172624398</v>
      </c>
      <c r="P11" s="144"/>
      <c r="Q11" s="147"/>
    </row>
    <row r="12" spans="1:17" x14ac:dyDescent="0.25">
      <c r="D12" s="29"/>
      <c r="J12" s="29" t="s">
        <v>181</v>
      </c>
      <c r="K12" s="143">
        <v>3.6539123186977802</v>
      </c>
      <c r="L12" s="143">
        <v>2.2272570758793999</v>
      </c>
      <c r="M12" s="143">
        <v>8.0290801109264809</v>
      </c>
      <c r="N12" s="144">
        <v>2.4975493878619099</v>
      </c>
      <c r="O12" s="147">
        <v>17.572611545976699</v>
      </c>
      <c r="P12" s="144"/>
      <c r="Q12" s="147"/>
    </row>
    <row r="13" spans="1:17" x14ac:dyDescent="0.25">
      <c r="D13" s="143"/>
      <c r="J13" s="29" t="s">
        <v>717</v>
      </c>
      <c r="K13" s="143">
        <v>1.59962703100332</v>
      </c>
      <c r="L13" s="143">
        <v>1.45840807212898</v>
      </c>
      <c r="M13" s="143">
        <v>4.6017590163248503</v>
      </c>
      <c r="N13" s="144">
        <v>10.0293685113054</v>
      </c>
      <c r="O13" s="147">
        <v>79.829316196359301</v>
      </c>
      <c r="P13" s="144"/>
      <c r="Q13" s="147"/>
    </row>
    <row r="14" spans="1:17" x14ac:dyDescent="0.25">
      <c r="A14" s="143"/>
      <c r="D14" s="29"/>
      <c r="E14" s="143"/>
      <c r="J14" s="29" t="s">
        <v>182</v>
      </c>
      <c r="K14" s="143">
        <v>6.9902725035840302E-2</v>
      </c>
      <c r="L14" s="143">
        <v>4.5074560892242502E-2</v>
      </c>
      <c r="M14" s="143">
        <v>0.15435798123098601</v>
      </c>
      <c r="N14" s="144">
        <v>0.162141998111937</v>
      </c>
      <c r="O14" s="147">
        <v>44.299758161408597</v>
      </c>
      <c r="P14" s="144"/>
      <c r="Q14" s="147"/>
    </row>
    <row r="15" spans="1:17" x14ac:dyDescent="0.25">
      <c r="A15" s="143"/>
      <c r="E15" s="143"/>
      <c r="J15" s="29" t="s">
        <v>681</v>
      </c>
      <c r="K15" s="143">
        <v>1.71911521158211</v>
      </c>
      <c r="L15" s="143">
        <v>1.22911683112758</v>
      </c>
      <c r="M15" s="143">
        <v>3.3736601085161499</v>
      </c>
      <c r="N15" s="144"/>
      <c r="O15" s="147"/>
      <c r="P15" s="144"/>
      <c r="Q15" s="147"/>
    </row>
    <row r="16" spans="1:17" x14ac:dyDescent="0.25">
      <c r="E16" s="143"/>
      <c r="J16" s="29" t="s">
        <v>289</v>
      </c>
      <c r="K16" s="143">
        <v>1.0958969113127699</v>
      </c>
      <c r="L16" s="143">
        <v>0.81059328129147201</v>
      </c>
      <c r="M16" s="143">
        <v>1.6903127538292599</v>
      </c>
      <c r="N16" s="144"/>
      <c r="O16" s="147"/>
      <c r="P16" s="144"/>
      <c r="Q16" s="147"/>
    </row>
    <row r="17" spans="1:17" x14ac:dyDescent="0.25">
      <c r="E17" s="143"/>
      <c r="J17" s="29" t="s">
        <v>183</v>
      </c>
      <c r="K17" s="143">
        <v>6.39641223937564</v>
      </c>
      <c r="L17" s="143">
        <v>4.1953000225379498</v>
      </c>
      <c r="M17" s="143">
        <v>22.436111748381801</v>
      </c>
      <c r="N17" s="144"/>
      <c r="O17" s="147"/>
      <c r="P17" s="144"/>
      <c r="Q17" s="147"/>
    </row>
    <row r="18" spans="1:17" x14ac:dyDescent="0.25">
      <c r="E18" s="143"/>
      <c r="J18" s="29" t="s">
        <v>184</v>
      </c>
      <c r="K18" s="143">
        <v>0.39768199255416398</v>
      </c>
      <c r="L18" s="143">
        <v>0.247263158017752</v>
      </c>
      <c r="M18" s="143">
        <v>1.56184100291478</v>
      </c>
      <c r="N18" s="144"/>
      <c r="O18" s="147"/>
      <c r="P18" s="144"/>
      <c r="Q18" s="147"/>
    </row>
    <row r="19" spans="1:17" x14ac:dyDescent="0.25">
      <c r="E19" s="143"/>
      <c r="J19" s="29" t="s">
        <v>682</v>
      </c>
      <c r="K19" s="143">
        <v>4.8513411784109298E-2</v>
      </c>
      <c r="L19" s="143">
        <v>3.5239378626525597E-2</v>
      </c>
      <c r="M19" s="143">
        <v>7.3630343465751098E-3</v>
      </c>
      <c r="N19" s="144"/>
      <c r="O19" s="147"/>
      <c r="P19" s="144"/>
      <c r="Q19" s="147"/>
    </row>
    <row r="20" spans="1:17" x14ac:dyDescent="0.25">
      <c r="J20" s="29" t="s">
        <v>683</v>
      </c>
      <c r="K20" s="143">
        <v>1.53627047004149</v>
      </c>
      <c r="L20" s="143">
        <v>1.32061462220485</v>
      </c>
      <c r="M20" s="143">
        <v>1.1344224290868801</v>
      </c>
      <c r="N20" s="144">
        <v>14.4990610983408</v>
      </c>
      <c r="O20" s="147">
        <v>77.758199591046306</v>
      </c>
      <c r="P20" s="144">
        <v>0.43852641435587503</v>
      </c>
      <c r="Q20" s="147">
        <v>29.212594353317701</v>
      </c>
    </row>
    <row r="21" spans="1:17" x14ac:dyDescent="0.25">
      <c r="J21" s="29" t="s">
        <v>186</v>
      </c>
      <c r="K21" s="143">
        <v>0.54262425752088495</v>
      </c>
      <c r="L21" s="143">
        <v>1.0315999717506199</v>
      </c>
      <c r="M21" s="143">
        <v>0.35258412776743098</v>
      </c>
      <c r="N21" s="144"/>
      <c r="O21" s="147"/>
      <c r="P21" s="144">
        <v>0.69580552112113403</v>
      </c>
      <c r="Q21" s="147">
        <v>13.9205611511789</v>
      </c>
    </row>
    <row r="22" spans="1:17" x14ac:dyDescent="0.25">
      <c r="A22" s="17"/>
      <c r="J22" s="29" t="s">
        <v>293</v>
      </c>
      <c r="K22" s="143">
        <v>0.31590893416049498</v>
      </c>
      <c r="L22" s="143">
        <v>0.39656911358951202</v>
      </c>
      <c r="M22" s="143">
        <v>0.21954932557936199</v>
      </c>
      <c r="N22" s="144"/>
      <c r="O22" s="147"/>
      <c r="P22" s="144">
        <v>1.1120045452077001</v>
      </c>
      <c r="Q22" s="147">
        <v>40.879358538621403</v>
      </c>
    </row>
    <row r="23" spans="1:17" x14ac:dyDescent="0.25">
      <c r="J23" s="29" t="s">
        <v>292</v>
      </c>
      <c r="K23" s="143">
        <v>0.139282404931177</v>
      </c>
      <c r="L23" s="143">
        <v>0.25458225273741297</v>
      </c>
      <c r="M23" s="143">
        <v>7.9739733180908601E-2</v>
      </c>
      <c r="N23" s="144"/>
      <c r="O23" s="147"/>
      <c r="P23" s="144">
        <v>8.5987980248479298E-2</v>
      </c>
      <c r="Q23" s="147">
        <v>7.4842281794254903</v>
      </c>
    </row>
    <row r="24" spans="1:17" x14ac:dyDescent="0.25">
      <c r="J24" s="29" t="s">
        <v>185</v>
      </c>
      <c r="K24" s="143">
        <v>0.25724114684226601</v>
      </c>
      <c r="L24" s="143">
        <v>0.74586553435744596</v>
      </c>
      <c r="M24" s="143">
        <v>0.148464885685516</v>
      </c>
      <c r="N24" s="144"/>
      <c r="O24" s="147"/>
      <c r="P24" s="144"/>
      <c r="Q24" s="147"/>
    </row>
    <row r="25" spans="1:17" x14ac:dyDescent="0.25">
      <c r="J25" s="29" t="s">
        <v>290</v>
      </c>
      <c r="K25" s="143">
        <v>2.7541765256545898E-3</v>
      </c>
      <c r="L25" s="143">
        <v>7.43339635298375E-3</v>
      </c>
      <c r="M25" s="143">
        <v>1.74761030249171E-3</v>
      </c>
      <c r="N25" s="144"/>
      <c r="O25" s="147"/>
      <c r="P25" s="144">
        <v>0.47985947127119599</v>
      </c>
      <c r="Q25" s="147">
        <v>94.008746080858202</v>
      </c>
    </row>
    <row r="26" spans="1:17" x14ac:dyDescent="0.25">
      <c r="J26" s="29" t="s">
        <v>291</v>
      </c>
      <c r="K26" s="143">
        <v>0.191373642556316</v>
      </c>
      <c r="L26" s="143">
        <v>0.204787294763358</v>
      </c>
      <c r="M26" s="143">
        <v>0.12866560734201599</v>
      </c>
      <c r="N26" s="144"/>
      <c r="O26" s="147"/>
      <c r="P26" s="144">
        <v>0.19111259119332899</v>
      </c>
      <c r="Q26" s="147">
        <v>38.455580056887698</v>
      </c>
    </row>
    <row r="27" spans="1:17" x14ac:dyDescent="0.25">
      <c r="J27" s="29" t="s">
        <v>684</v>
      </c>
      <c r="K27" s="143">
        <v>3.5544526477321101</v>
      </c>
      <c r="L27" s="143">
        <v>4.8755869455758498</v>
      </c>
      <c r="M27" s="143">
        <v>1.19860423215623</v>
      </c>
      <c r="N27" s="144">
        <v>2.9745678870544801</v>
      </c>
      <c r="O27" s="147">
        <v>8.8152800970636207</v>
      </c>
      <c r="P27" s="144">
        <v>2.85190778624046</v>
      </c>
      <c r="Q27" s="147">
        <v>15.2106343857119</v>
      </c>
    </row>
    <row r="28" spans="1:17" x14ac:dyDescent="0.25">
      <c r="J28" s="29" t="s">
        <v>685</v>
      </c>
      <c r="K28" s="143">
        <v>0.242684682833267</v>
      </c>
      <c r="L28" s="143">
        <v>0.26241305685905397</v>
      </c>
      <c r="M28" s="143">
        <v>7.89502964974933E-2</v>
      </c>
      <c r="N28" s="144"/>
      <c r="O28" s="147"/>
      <c r="P28" s="144">
        <v>0.102984435355555</v>
      </c>
      <c r="Q28" s="147">
        <v>8.2937747782172604</v>
      </c>
    </row>
    <row r="29" spans="1:17" x14ac:dyDescent="0.25">
      <c r="J29" s="29" t="s">
        <v>187</v>
      </c>
      <c r="K29" s="143">
        <v>0.83019901624856296</v>
      </c>
      <c r="L29" s="143">
        <v>1.0218093248811799</v>
      </c>
      <c r="M29" s="143">
        <v>0.428454248629763</v>
      </c>
      <c r="N29" s="144"/>
      <c r="O29" s="147"/>
      <c r="P29" s="144">
        <v>4.1965052999685399</v>
      </c>
      <c r="Q29" s="147">
        <v>51.8598393471798</v>
      </c>
    </row>
    <row r="30" spans="1:17" x14ac:dyDescent="0.25">
      <c r="C30" s="17"/>
      <c r="D30" s="17"/>
      <c r="E30" s="17"/>
      <c r="F30" s="17"/>
      <c r="H30" s="17"/>
      <c r="I30" s="17"/>
      <c r="J30" s="29" t="s">
        <v>188</v>
      </c>
      <c r="K30" s="143">
        <v>0.39985638647787303</v>
      </c>
      <c r="L30" s="143">
        <v>0.508963917456277</v>
      </c>
      <c r="M30" s="143">
        <v>0.15198190914875601</v>
      </c>
      <c r="N30" s="144"/>
      <c r="O30" s="147"/>
      <c r="P30" s="144">
        <v>2.4992739771773</v>
      </c>
      <c r="Q30" s="147">
        <v>54.266280834381199</v>
      </c>
    </row>
    <row r="31" spans="1:17" x14ac:dyDescent="0.25">
      <c r="C31" s="17"/>
      <c r="D31" s="17"/>
      <c r="E31" s="17"/>
      <c r="F31" s="17"/>
      <c r="H31" s="17"/>
      <c r="I31" s="17"/>
      <c r="J31" s="29" t="s">
        <v>189</v>
      </c>
      <c r="K31" s="143">
        <v>6.9941474075934096E-3</v>
      </c>
      <c r="L31" s="143">
        <v>4.89473010804088E-3</v>
      </c>
      <c r="M31" s="143">
        <v>4.1044036820483298E-4</v>
      </c>
      <c r="N31" s="144"/>
      <c r="O31" s="147"/>
      <c r="P31" s="144">
        <v>16.462605637570999</v>
      </c>
      <c r="Q31" s="147">
        <v>99.871464356706198</v>
      </c>
    </row>
    <row r="32" spans="1:17" x14ac:dyDescent="0.25">
      <c r="C32" s="17"/>
      <c r="D32" s="17"/>
      <c r="E32" s="17"/>
      <c r="F32" s="17"/>
      <c r="I32" s="17"/>
      <c r="J32" s="29" t="s">
        <v>190</v>
      </c>
      <c r="K32" s="143"/>
      <c r="L32" s="143"/>
      <c r="M32" s="143"/>
      <c r="N32" s="144"/>
      <c r="O32" s="147"/>
      <c r="P32" s="144">
        <v>3.15140903491542</v>
      </c>
      <c r="Q32" s="147">
        <v>100</v>
      </c>
    </row>
    <row r="33" spans="1:17" x14ac:dyDescent="0.25">
      <c r="C33" s="17"/>
      <c r="D33" s="17"/>
      <c r="E33" s="17"/>
      <c r="F33" s="17"/>
      <c r="I33" s="17"/>
      <c r="J33" s="29" t="s">
        <v>191</v>
      </c>
      <c r="K33" s="143">
        <v>0.65497187705592497</v>
      </c>
      <c r="L33" s="143">
        <v>0.78113772310888996</v>
      </c>
      <c r="M33" s="143">
        <v>4.5533145423106797E-2</v>
      </c>
      <c r="N33" s="144">
        <v>4.6202423502515497</v>
      </c>
      <c r="O33" s="147">
        <v>64.276992661630899</v>
      </c>
      <c r="P33" s="144">
        <v>9.9891938502860498</v>
      </c>
      <c r="Q33" s="147">
        <v>89.505920953979796</v>
      </c>
    </row>
    <row r="34" spans="1:17" x14ac:dyDescent="0.25">
      <c r="C34" s="17"/>
      <c r="D34" s="17"/>
      <c r="E34" s="17"/>
      <c r="F34" s="17"/>
      <c r="I34" s="17"/>
      <c r="J34" s="29" t="s">
        <v>192</v>
      </c>
      <c r="K34" s="143">
        <v>0.53529081654593302</v>
      </c>
      <c r="L34" s="143">
        <v>0.69050835970650004</v>
      </c>
      <c r="M34" s="143">
        <v>0.16142002274232201</v>
      </c>
      <c r="N34" s="144">
        <v>2.52205636297189</v>
      </c>
      <c r="O34" s="147">
        <v>39.658390519416201</v>
      </c>
      <c r="P34" s="144">
        <v>2.17426474903495</v>
      </c>
      <c r="Q34" s="147">
        <v>55.892731022895198</v>
      </c>
    </row>
    <row r="35" spans="1:17" x14ac:dyDescent="0.25">
      <c r="B35" s="17"/>
      <c r="C35" s="17"/>
      <c r="D35" s="17"/>
      <c r="E35" s="17"/>
      <c r="F35" s="17"/>
      <c r="J35" s="29" t="s">
        <v>193</v>
      </c>
      <c r="K35" s="143">
        <v>0.15913925656097599</v>
      </c>
      <c r="L35" s="143">
        <v>0.53093955739927401</v>
      </c>
      <c r="M35" s="143">
        <v>6.5098562355411796E-2</v>
      </c>
      <c r="N35" s="144"/>
      <c r="O35" s="147"/>
      <c r="P35" s="144">
        <v>9.0039448932663806</v>
      </c>
      <c r="Q35" s="147">
        <v>80.308813266656401</v>
      </c>
    </row>
    <row r="36" spans="1:17" x14ac:dyDescent="0.25">
      <c r="B36" s="17"/>
      <c r="C36" s="17"/>
      <c r="D36" s="17"/>
      <c r="E36" s="17"/>
      <c r="F36" s="17"/>
      <c r="J36" s="29" t="s">
        <v>194</v>
      </c>
      <c r="K36" s="143">
        <v>1.0813710292819601</v>
      </c>
      <c r="L36" s="143">
        <v>0.95111131900261603</v>
      </c>
      <c r="M36" s="143">
        <v>0.47244051686981597</v>
      </c>
      <c r="N36" s="144"/>
      <c r="O36" s="147"/>
      <c r="P36" s="144">
        <v>24.314897236031999</v>
      </c>
      <c r="Q36" s="147">
        <v>86.192339504900701</v>
      </c>
    </row>
    <row r="37" spans="1:17" x14ac:dyDescent="0.25">
      <c r="B37" s="17"/>
      <c r="C37" s="17"/>
      <c r="D37" s="17"/>
      <c r="E37" s="17"/>
      <c r="F37" s="17"/>
      <c r="J37" s="29" t="s">
        <v>195</v>
      </c>
      <c r="K37" s="143">
        <v>0.22979396244727401</v>
      </c>
      <c r="L37" s="143">
        <v>0.22306966989575699</v>
      </c>
      <c r="M37" s="143">
        <v>7.9111166855287393E-2</v>
      </c>
      <c r="N37" s="144"/>
      <c r="O37" s="147"/>
      <c r="P37" s="144">
        <v>0.74900001954714801</v>
      </c>
      <c r="Q37" s="147">
        <v>44.130362369901398</v>
      </c>
    </row>
    <row r="38" spans="1:17" x14ac:dyDescent="0.25">
      <c r="B38" s="17"/>
      <c r="C38" s="17"/>
      <c r="D38" s="17"/>
      <c r="E38" s="17"/>
      <c r="F38" s="17"/>
      <c r="J38" s="29" t="s">
        <v>196</v>
      </c>
      <c r="K38" s="143">
        <v>1.1948186067889699</v>
      </c>
      <c r="L38" s="143">
        <v>1.54339845173679</v>
      </c>
      <c r="M38" s="143">
        <v>0.24517669700973799</v>
      </c>
      <c r="N38" s="144"/>
      <c r="O38" s="147"/>
      <c r="P38" s="144"/>
      <c r="Q38" s="147"/>
    </row>
    <row r="39" spans="1:17" x14ac:dyDescent="0.25">
      <c r="B39" s="17"/>
      <c r="C39" s="17"/>
      <c r="D39" s="17"/>
      <c r="E39" s="17"/>
      <c r="F39" s="17"/>
      <c r="J39" s="29" t="s">
        <v>197</v>
      </c>
      <c r="K39" s="143">
        <v>0.50990119998070904</v>
      </c>
      <c r="L39" s="143">
        <v>0.53012499545634695</v>
      </c>
      <c r="M39" s="143">
        <v>0.118456464105078</v>
      </c>
      <c r="N39" s="144"/>
      <c r="O39" s="147"/>
      <c r="P39" s="144"/>
      <c r="Q39" s="147"/>
    </row>
    <row r="40" spans="1:17" x14ac:dyDescent="0.25">
      <c r="A40" s="17"/>
      <c r="B40" s="17"/>
      <c r="C40" s="17"/>
      <c r="D40" s="17"/>
      <c r="E40" s="17"/>
      <c r="F40" s="17"/>
      <c r="J40" s="29" t="s">
        <v>198</v>
      </c>
      <c r="K40" s="143">
        <v>8.1952173101293706</v>
      </c>
      <c r="L40" s="143">
        <v>13.0439087642206</v>
      </c>
      <c r="M40" s="143">
        <v>6.1549163106665699</v>
      </c>
      <c r="N40" s="144"/>
      <c r="O40" s="147"/>
      <c r="P40" s="144"/>
      <c r="Q40" s="147"/>
    </row>
    <row r="41" spans="1:17" x14ac:dyDescent="0.25">
      <c r="A41" s="17"/>
      <c r="B41" s="17"/>
      <c r="C41" s="17"/>
      <c r="D41" s="17"/>
      <c r="E41" s="17"/>
      <c r="F41" s="17"/>
      <c r="J41" s="29" t="s">
        <v>199</v>
      </c>
      <c r="K41" s="143">
        <v>9.8505777997334594</v>
      </c>
      <c r="L41" s="143">
        <v>9.8618078670805307</v>
      </c>
      <c r="M41" s="143">
        <v>10.6076304855762</v>
      </c>
      <c r="N41" s="144"/>
      <c r="O41" s="147"/>
      <c r="P41" s="144"/>
      <c r="Q41" s="147"/>
    </row>
    <row r="42" spans="1:17" x14ac:dyDescent="0.25">
      <c r="A42" s="17"/>
      <c r="B42" s="17"/>
      <c r="C42" s="17"/>
      <c r="D42" s="17"/>
      <c r="E42" s="17"/>
      <c r="F42" s="17"/>
      <c r="J42" s="29" t="s">
        <v>200</v>
      </c>
      <c r="K42" s="143">
        <v>6.7137651006108596</v>
      </c>
      <c r="L42" s="143">
        <v>7.3439060482014797</v>
      </c>
      <c r="M42" s="143">
        <v>2.70949367459444</v>
      </c>
      <c r="N42" s="144">
        <v>23.8468991526914</v>
      </c>
      <c r="O42" s="147">
        <v>43.991703730965099</v>
      </c>
      <c r="P42" s="144">
        <v>12.109855373210999</v>
      </c>
      <c r="Q42" s="147">
        <v>40.404604334954797</v>
      </c>
    </row>
    <row r="43" spans="1:17" x14ac:dyDescent="0.25">
      <c r="A43" s="17"/>
      <c r="B43" s="17"/>
      <c r="C43" s="17"/>
      <c r="D43" s="17"/>
      <c r="E43" s="17"/>
      <c r="F43" s="17"/>
      <c r="J43" s="29" t="s">
        <v>201</v>
      </c>
      <c r="K43" s="143">
        <v>0.44183216196108399</v>
      </c>
      <c r="L43" s="143">
        <v>0.95600575965938595</v>
      </c>
      <c r="M43" s="143">
        <v>0.110871927766717</v>
      </c>
      <c r="N43" s="144">
        <v>1.86831754029342</v>
      </c>
      <c r="O43" s="147">
        <v>26.476230984027499</v>
      </c>
      <c r="P43" s="144">
        <v>1.70526657613455</v>
      </c>
      <c r="Q43" s="147">
        <v>35.843125667018597</v>
      </c>
    </row>
    <row r="44" spans="1:17" x14ac:dyDescent="0.25">
      <c r="A44" s="17"/>
      <c r="B44" s="17"/>
      <c r="C44" s="17"/>
      <c r="D44" s="17"/>
      <c r="E44" s="17"/>
      <c r="F44" s="17"/>
      <c r="J44" s="29" t="s">
        <v>549</v>
      </c>
      <c r="K44" s="143">
        <v>1.57706637509368</v>
      </c>
      <c r="L44" s="143">
        <v>3.3886403938990899</v>
      </c>
      <c r="M44" s="143">
        <v>0.37580238955991702</v>
      </c>
      <c r="N44" s="144"/>
      <c r="O44" s="147"/>
      <c r="P44" s="144"/>
      <c r="Q44" s="147"/>
    </row>
    <row r="45" spans="1:17" x14ac:dyDescent="0.25">
      <c r="A45" s="17"/>
      <c r="J45" s="29" t="s">
        <v>202</v>
      </c>
      <c r="K45" s="143">
        <v>2.1243043078563999</v>
      </c>
      <c r="L45" s="143">
        <v>2.4369259201358102</v>
      </c>
      <c r="M45" s="143">
        <v>0.16948196917682101</v>
      </c>
      <c r="N45" s="144">
        <v>16.332169444259002</v>
      </c>
      <c r="O45" s="147">
        <v>89.088905198563907</v>
      </c>
      <c r="P45" s="144">
        <v>5.9090520013212897</v>
      </c>
      <c r="Q45" s="147">
        <v>83.653704236772597</v>
      </c>
    </row>
    <row r="46" spans="1:17" x14ac:dyDescent="0.25">
      <c r="A46" s="17"/>
      <c r="J46" s="29" t="s">
        <v>203</v>
      </c>
      <c r="K46" s="143">
        <v>2.6409689873675699</v>
      </c>
      <c r="L46" s="143">
        <v>2.5304883420581699</v>
      </c>
      <c r="M46" s="143">
        <v>0.222882806332797</v>
      </c>
      <c r="N46" s="144"/>
      <c r="O46" s="147"/>
      <c r="P46" s="144">
        <v>0.91647420088004306</v>
      </c>
      <c r="Q46" s="147">
        <v>7.6981272263755001</v>
      </c>
    </row>
    <row r="47" spans="1:17" x14ac:dyDescent="0.25">
      <c r="A47" s="17"/>
      <c r="J47" s="29" t="s">
        <v>204</v>
      </c>
      <c r="K47" s="143">
        <v>7.5624534954496996</v>
      </c>
      <c r="L47" s="143">
        <v>4.6532349351846403</v>
      </c>
      <c r="M47" s="143">
        <v>0.23023793479688401</v>
      </c>
      <c r="N47" s="144"/>
      <c r="O47" s="147"/>
      <c r="P47" s="144"/>
      <c r="Q47" s="147"/>
    </row>
    <row r="48" spans="1:17" x14ac:dyDescent="0.25">
      <c r="A48" s="17"/>
      <c r="J48" s="29" t="s">
        <v>205</v>
      </c>
      <c r="K48" s="143">
        <v>6.1122352550903702</v>
      </c>
      <c r="L48" s="143">
        <v>4.1297673538939703</v>
      </c>
      <c r="M48" s="143">
        <v>0.89086320562780497</v>
      </c>
      <c r="N48" s="144"/>
      <c r="O48" s="147"/>
      <c r="P48" s="144"/>
      <c r="Q48" s="147"/>
    </row>
    <row r="49" spans="1:17" x14ac:dyDescent="0.25">
      <c r="A49" s="17"/>
      <c r="J49" s="29" t="s">
        <v>206</v>
      </c>
      <c r="K49" s="143">
        <v>6.1395981434643998</v>
      </c>
      <c r="L49" s="143">
        <v>9.3955678640584406</v>
      </c>
      <c r="M49" s="143">
        <v>3.1674727642353502</v>
      </c>
      <c r="N49" s="144">
        <v>17.223760878452602</v>
      </c>
      <c r="O49" s="147">
        <v>24.835387046312899</v>
      </c>
      <c r="P49" s="144"/>
      <c r="Q49" s="147"/>
    </row>
    <row r="50" spans="1:17" x14ac:dyDescent="0.25">
      <c r="J50" s="29" t="s">
        <v>207</v>
      </c>
      <c r="K50" s="143">
        <v>3.02841930683811</v>
      </c>
      <c r="L50" s="143">
        <v>2.7894767427631799</v>
      </c>
      <c r="M50" s="143">
        <v>0.82173610836192201</v>
      </c>
      <c r="N50" s="144"/>
      <c r="O50" s="147"/>
      <c r="P50" s="144"/>
      <c r="Q50" s="147"/>
    </row>
    <row r="51" spans="1:17" x14ac:dyDescent="0.25">
      <c r="J51" s="29" t="s">
        <v>208</v>
      </c>
      <c r="K51" s="143">
        <v>1.84294290766128</v>
      </c>
      <c r="L51" s="143">
        <v>2.1199405394107398</v>
      </c>
      <c r="M51" s="143">
        <v>0.43286207101138702</v>
      </c>
      <c r="N51" s="144"/>
      <c r="O51" s="147"/>
      <c r="P51" s="144"/>
      <c r="Q51" s="147"/>
    </row>
    <row r="52" spans="1:17" x14ac:dyDescent="0.25">
      <c r="J52" s="143" t="s">
        <v>209</v>
      </c>
      <c r="K52" s="143">
        <v>5.6102694185094002</v>
      </c>
      <c r="L52" s="143">
        <v>4.2855668449156603</v>
      </c>
      <c r="M52" s="143">
        <v>5.1024420407225604</v>
      </c>
      <c r="N52" s="144"/>
      <c r="O52" s="146"/>
      <c r="P52" s="144"/>
      <c r="Q52" s="147"/>
    </row>
    <row r="53" spans="1:17" x14ac:dyDescent="0.25">
      <c r="J53" s="43" t="s">
        <v>732</v>
      </c>
      <c r="K53" s="43">
        <v>100</v>
      </c>
      <c r="L53" s="43">
        <v>99.999999999999901</v>
      </c>
      <c r="M53" s="43">
        <v>99.999999999999901</v>
      </c>
      <c r="N53" s="144">
        <v>99.999999999999901</v>
      </c>
      <c r="O53" s="146">
        <v>12.943171793024</v>
      </c>
      <c r="P53" s="144">
        <v>100</v>
      </c>
      <c r="Q53" s="147">
        <v>24.721842980583101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HF218"/>
  <sheetViews>
    <sheetView zoomScale="85" zoomScaleNormal="85" workbookViewId="0">
      <pane xSplit="1" ySplit="7" topLeftCell="B100" activePane="bottomRight" state="frozen"/>
      <selection pane="topRight" activeCell="B1" sqref="B1"/>
      <selection pane="bottomLeft" activeCell="A8" sqref="A8"/>
      <selection pane="bottomRight" activeCell="J5" sqref="J5"/>
    </sheetView>
  </sheetViews>
  <sheetFormatPr defaultRowHeight="15" x14ac:dyDescent="0.25"/>
  <sheetData>
    <row r="1" spans="1:214" ht="18.75" x14ac:dyDescent="0.3">
      <c r="A1" s="2" t="s">
        <v>227</v>
      </c>
    </row>
    <row r="2" spans="1:214" x14ac:dyDescent="0.25">
      <c r="A2" s="3" t="s">
        <v>364</v>
      </c>
      <c r="B2" s="4" t="s">
        <v>228</v>
      </c>
      <c r="AL2" s="11"/>
      <c r="DE2" s="11"/>
      <c r="DG2" s="11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</row>
    <row r="3" spans="1:214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214" x14ac:dyDescent="0.25">
      <c r="B4" s="31"/>
      <c r="C4" s="2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L4" s="11"/>
      <c r="AP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FU4" s="11"/>
      <c r="FV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</row>
    <row r="5" spans="1:214" x14ac:dyDescent="0.25">
      <c r="B5" s="154">
        <f>B104/SUM(B100:B108)</f>
        <v>0.47094117254487095</v>
      </c>
      <c r="C5" s="154">
        <f t="shared" ref="C5:I5" si="0">C104/SUM(C100:C108)</f>
        <v>0.3458996383489466</v>
      </c>
      <c r="D5" s="154">
        <f t="shared" si="0"/>
        <v>0.44280743303624936</v>
      </c>
      <c r="E5" s="154">
        <f t="shared" si="0"/>
        <v>0.47171800954132498</v>
      </c>
      <c r="F5" s="154">
        <f t="shared" si="0"/>
        <v>0.39275717093644791</v>
      </c>
      <c r="G5" s="154">
        <f t="shared" si="0"/>
        <v>0.20980196778616611</v>
      </c>
      <c r="H5" s="154">
        <f t="shared" si="0"/>
        <v>0.34010800540458958</v>
      </c>
      <c r="I5" s="154">
        <f t="shared" si="0"/>
        <v>0.39526124121042933</v>
      </c>
      <c r="J5" s="155" cm="1">
        <f t="array" ref="J5">SUM(B104:I104/SUM(B100:I106))</f>
        <v>0.41063560535660826</v>
      </c>
    </row>
    <row r="6" spans="1:214" x14ac:dyDescent="0.25">
      <c r="B6" s="31"/>
      <c r="C6" s="24"/>
    </row>
    <row r="7" spans="1:214" x14ac:dyDescent="0.25">
      <c r="A7" s="31"/>
      <c r="B7" s="32" t="s">
        <v>675</v>
      </c>
      <c r="C7" s="32" t="s">
        <v>138</v>
      </c>
      <c r="D7" s="32" t="s">
        <v>140</v>
      </c>
      <c r="E7" s="32" t="s">
        <v>142</v>
      </c>
      <c r="F7" s="32" t="s">
        <v>143</v>
      </c>
      <c r="G7" s="32" t="s">
        <v>716</v>
      </c>
      <c r="H7" s="32" t="s">
        <v>148</v>
      </c>
      <c r="I7" s="32" t="s">
        <v>147</v>
      </c>
      <c r="J7" s="32" t="s">
        <v>676</v>
      </c>
      <c r="K7" s="32" t="s">
        <v>281</v>
      </c>
      <c r="L7" s="32" t="s">
        <v>151</v>
      </c>
      <c r="M7" s="32" t="s">
        <v>152</v>
      </c>
      <c r="N7" s="32" t="s">
        <v>714</v>
      </c>
      <c r="O7" s="32" t="s">
        <v>677</v>
      </c>
      <c r="P7" s="32" t="s">
        <v>153</v>
      </c>
      <c r="Q7" s="32" t="s">
        <v>284</v>
      </c>
      <c r="R7" s="32" t="s">
        <v>286</v>
      </c>
      <c r="S7" s="32" t="s">
        <v>287</v>
      </c>
      <c r="T7" s="32" t="s">
        <v>285</v>
      </c>
      <c r="U7" s="32" t="s">
        <v>154</v>
      </c>
      <c r="V7" s="32" t="s">
        <v>678</v>
      </c>
      <c r="W7" s="32" t="s">
        <v>679</v>
      </c>
      <c r="X7" s="32" t="s">
        <v>155</v>
      </c>
      <c r="Y7" s="32" t="s">
        <v>156</v>
      </c>
      <c r="Z7" s="32" t="s">
        <v>288</v>
      </c>
      <c r="AA7" s="32" t="s">
        <v>158</v>
      </c>
      <c r="AB7" s="32" t="s">
        <v>159</v>
      </c>
      <c r="AC7" s="32" t="s">
        <v>160</v>
      </c>
      <c r="AD7" s="32" t="s">
        <v>161</v>
      </c>
      <c r="AE7" s="32" t="s">
        <v>162</v>
      </c>
      <c r="AF7" s="32" t="s">
        <v>163</v>
      </c>
      <c r="AG7" s="32" t="s">
        <v>164</v>
      </c>
      <c r="AH7" s="32" t="s">
        <v>165</v>
      </c>
      <c r="AI7" s="32" t="s">
        <v>166</v>
      </c>
      <c r="AJ7" s="32" t="s">
        <v>167</v>
      </c>
      <c r="AK7" s="32" t="s">
        <v>168</v>
      </c>
      <c r="AL7" s="32" t="s">
        <v>548</v>
      </c>
      <c r="AM7" s="32" t="s">
        <v>169</v>
      </c>
      <c r="AN7" s="32" t="s">
        <v>170</v>
      </c>
      <c r="AO7" s="32" t="s">
        <v>171</v>
      </c>
      <c r="AP7" s="32" t="s">
        <v>172</v>
      </c>
      <c r="AQ7" s="32" t="s">
        <v>173</v>
      </c>
      <c r="AR7" s="32" t="s">
        <v>174</v>
      </c>
      <c r="AS7" s="32" t="s">
        <v>175</v>
      </c>
      <c r="AT7" s="32" t="s">
        <v>176</v>
      </c>
      <c r="AU7" s="32" t="s">
        <v>680</v>
      </c>
      <c r="AV7" s="32" t="s">
        <v>177</v>
      </c>
      <c r="AW7" s="32" t="s">
        <v>178</v>
      </c>
      <c r="AX7" s="32" t="s">
        <v>179</v>
      </c>
      <c r="AY7" s="32" t="s">
        <v>180</v>
      </c>
      <c r="AZ7" s="32" t="s">
        <v>717</v>
      </c>
      <c r="BA7" s="32" t="s">
        <v>182</v>
      </c>
      <c r="BB7" s="32" t="s">
        <v>181</v>
      </c>
      <c r="BC7" s="32" t="s">
        <v>681</v>
      </c>
      <c r="BD7" s="32" t="s">
        <v>289</v>
      </c>
      <c r="BE7" s="32" t="s">
        <v>183</v>
      </c>
      <c r="BF7" s="32" t="s">
        <v>184</v>
      </c>
      <c r="BG7" s="32" t="s">
        <v>682</v>
      </c>
      <c r="BH7" s="32" t="s">
        <v>683</v>
      </c>
      <c r="BI7" s="32" t="s">
        <v>185</v>
      </c>
      <c r="BJ7" s="32" t="s">
        <v>290</v>
      </c>
      <c r="BK7" s="32" t="s">
        <v>292</v>
      </c>
      <c r="BL7" s="32" t="s">
        <v>293</v>
      </c>
      <c r="BM7" s="32" t="s">
        <v>291</v>
      </c>
      <c r="BN7" s="32" t="s">
        <v>186</v>
      </c>
      <c r="BO7" s="32" t="s">
        <v>684</v>
      </c>
      <c r="BP7" s="32" t="s">
        <v>685</v>
      </c>
      <c r="BQ7" s="32" t="s">
        <v>187</v>
      </c>
      <c r="BR7" s="32" t="s">
        <v>188</v>
      </c>
      <c r="BS7" s="32" t="s">
        <v>189</v>
      </c>
      <c r="BT7" s="32" t="s">
        <v>190</v>
      </c>
      <c r="BU7" s="32" t="s">
        <v>191</v>
      </c>
      <c r="BV7" s="32" t="s">
        <v>192</v>
      </c>
      <c r="BW7" s="32" t="s">
        <v>193</v>
      </c>
      <c r="BX7" s="32" t="s">
        <v>194</v>
      </c>
      <c r="BY7" s="32" t="s">
        <v>195</v>
      </c>
      <c r="BZ7" s="32" t="s">
        <v>196</v>
      </c>
      <c r="CA7" s="32" t="s">
        <v>197</v>
      </c>
      <c r="CB7" s="32" t="s">
        <v>198</v>
      </c>
      <c r="CC7" s="32" t="s">
        <v>199</v>
      </c>
      <c r="CD7" s="32" t="s">
        <v>200</v>
      </c>
      <c r="CE7" s="32" t="s">
        <v>201</v>
      </c>
      <c r="CF7" s="32" t="s">
        <v>549</v>
      </c>
      <c r="CG7" s="32" t="s">
        <v>202</v>
      </c>
      <c r="CH7" s="32" t="s">
        <v>203</v>
      </c>
      <c r="CI7" s="32" t="s">
        <v>204</v>
      </c>
      <c r="CJ7" s="32" t="s">
        <v>205</v>
      </c>
      <c r="CK7" s="32" t="s">
        <v>206</v>
      </c>
      <c r="CL7" s="32" t="s">
        <v>207</v>
      </c>
      <c r="CM7" s="32" t="s">
        <v>208</v>
      </c>
      <c r="CN7" s="32" t="s">
        <v>209</v>
      </c>
      <c r="CO7" s="32" t="s">
        <v>102</v>
      </c>
      <c r="CP7" s="32" t="s">
        <v>552</v>
      </c>
      <c r="CQ7" s="32" t="s">
        <v>553</v>
      </c>
      <c r="CR7" s="32" t="s">
        <v>554</v>
      </c>
      <c r="CS7" s="32" t="s">
        <v>555</v>
      </c>
      <c r="CT7" s="32" t="s">
        <v>216</v>
      </c>
      <c r="CU7" s="32" t="s">
        <v>557</v>
      </c>
      <c r="CV7" s="32" t="s">
        <v>558</v>
      </c>
      <c r="CW7" s="32" t="s">
        <v>559</v>
      </c>
      <c r="CX7" s="32" t="s">
        <v>560</v>
      </c>
      <c r="CY7" s="32" t="s">
        <v>104</v>
      </c>
      <c r="CZ7" s="32" t="s">
        <v>217</v>
      </c>
      <c r="DA7" s="32" t="s">
        <v>218</v>
      </c>
      <c r="DB7" s="32" t="s">
        <v>219</v>
      </c>
      <c r="DC7" s="32" t="s">
        <v>220</v>
      </c>
      <c r="DD7" s="32" t="s">
        <v>221</v>
      </c>
      <c r="DE7" s="32" t="s">
        <v>595</v>
      </c>
      <c r="DF7" s="32" t="s">
        <v>596</v>
      </c>
      <c r="DG7" s="32" t="s">
        <v>597</v>
      </c>
      <c r="DH7" s="32" t="s">
        <v>598</v>
      </c>
      <c r="DI7" s="32" t="s">
        <v>599</v>
      </c>
      <c r="DJ7" s="32" t="s">
        <v>222</v>
      </c>
      <c r="DK7" s="32" t="s">
        <v>223</v>
      </c>
      <c r="DL7" s="32" t="s">
        <v>224</v>
      </c>
      <c r="DM7" s="32" t="s">
        <v>225</v>
      </c>
      <c r="DN7" s="32" t="s">
        <v>226</v>
      </c>
      <c r="DO7" s="32" t="s">
        <v>106</v>
      </c>
      <c r="DP7" s="32" t="s">
        <v>110</v>
      </c>
      <c r="DQ7" s="32" t="s">
        <v>116</v>
      </c>
      <c r="DR7" s="32" t="s">
        <v>118</v>
      </c>
      <c r="DS7" s="32" t="s">
        <v>120</v>
      </c>
      <c r="DT7" s="32" t="s">
        <v>124</v>
      </c>
      <c r="DU7" s="32" t="s">
        <v>126</v>
      </c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1"/>
      <c r="HF7" s="31"/>
    </row>
    <row r="8" spans="1:214" x14ac:dyDescent="0.25">
      <c r="A8" s="32" t="s">
        <v>675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>
        <v>145.0982134303629</v>
      </c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>
        <v>1.782072438919198</v>
      </c>
      <c r="DA8" s="31">
        <v>3.1392521495569707</v>
      </c>
      <c r="DB8" s="31">
        <v>3.4494678061525512</v>
      </c>
      <c r="DC8" s="31">
        <v>4.2713718519553945</v>
      </c>
      <c r="DD8" s="31">
        <v>1.8633421767397491</v>
      </c>
      <c r="DE8" s="31">
        <v>0.2910897260100847</v>
      </c>
      <c r="DF8" s="31">
        <v>0.72137473769194593</v>
      </c>
      <c r="DG8" s="31">
        <v>0.60155906371666501</v>
      </c>
      <c r="DH8" s="31">
        <v>0.73595379919975756</v>
      </c>
      <c r="DI8" s="31">
        <v>0.41571702584064346</v>
      </c>
      <c r="DJ8" s="31">
        <v>2.4624876034425442E-2</v>
      </c>
      <c r="DK8" s="31">
        <v>8.6573362868356499E-2</v>
      </c>
      <c r="DL8" s="31">
        <v>7.5457567554560484E-2</v>
      </c>
      <c r="DM8" s="31">
        <v>0.14457011012506688</v>
      </c>
      <c r="DN8" s="31">
        <v>0.21219830200320497</v>
      </c>
      <c r="DO8" s="31"/>
      <c r="DP8" s="31"/>
      <c r="DQ8" s="31"/>
      <c r="DR8" s="31"/>
      <c r="DS8" s="31"/>
      <c r="DT8" s="31"/>
      <c r="DU8" s="31">
        <v>162.91283842473149</v>
      </c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</row>
    <row r="9" spans="1:214" x14ac:dyDescent="0.25">
      <c r="A9" s="32" t="s">
        <v>138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99.520761547150926</v>
      </c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>
        <v>2.489338511484426</v>
      </c>
      <c r="DA9" s="31">
        <v>4.2393935374934815</v>
      </c>
      <c r="DB9" s="31">
        <v>5.6110610853473677</v>
      </c>
      <c r="DC9" s="31">
        <v>7.029404257538447</v>
      </c>
      <c r="DD9" s="31">
        <v>3.9288660281438812</v>
      </c>
      <c r="DE9" s="31">
        <v>0.56070403097905142</v>
      </c>
      <c r="DF9" s="31">
        <v>0.93306067859139175</v>
      </c>
      <c r="DG9" s="31">
        <v>1.0558421008170373</v>
      </c>
      <c r="DH9" s="31">
        <v>1.0823771558346724</v>
      </c>
      <c r="DI9" s="31">
        <v>0.6073141450728945</v>
      </c>
      <c r="DJ9" s="31">
        <v>7.1234165436845534E-2</v>
      </c>
      <c r="DK9" s="31">
        <v>0.1398733220489099</v>
      </c>
      <c r="DL9" s="31">
        <v>0.24626211468581236</v>
      </c>
      <c r="DM9" s="31">
        <v>0.40529715389506615</v>
      </c>
      <c r="DN9" s="31">
        <v>0.8999617719402091</v>
      </c>
      <c r="DO9" s="31"/>
      <c r="DP9" s="31"/>
      <c r="DQ9" s="31"/>
      <c r="DR9" s="31"/>
      <c r="DS9" s="31"/>
      <c r="DT9" s="31"/>
      <c r="DU9" s="31">
        <v>128.82075160646042</v>
      </c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</row>
    <row r="10" spans="1:214" x14ac:dyDescent="0.25">
      <c r="A10" s="32" t="s">
        <v>140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>
        <v>60.304901800892353</v>
      </c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>
        <v>6.675453690904265E-2</v>
      </c>
      <c r="DA10" s="31">
        <v>0.47476600504376648</v>
      </c>
      <c r="DB10" s="31">
        <v>0.51146257828963515</v>
      </c>
      <c r="DC10" s="31">
        <v>2.0501750196446058</v>
      </c>
      <c r="DD10" s="31">
        <v>1.2453565954889778</v>
      </c>
      <c r="DE10" s="31">
        <v>0.11179547323440343</v>
      </c>
      <c r="DF10" s="31">
        <v>0.1911496586633788</v>
      </c>
      <c r="DG10" s="31"/>
      <c r="DH10" s="31">
        <v>0.34784657032143046</v>
      </c>
      <c r="DI10" s="31">
        <v>3.3580209822984645E-2</v>
      </c>
      <c r="DJ10" s="31"/>
      <c r="DK10" s="31"/>
      <c r="DL10" s="31"/>
      <c r="DM10" s="31">
        <v>2.0303786524459907E-2</v>
      </c>
      <c r="DN10" s="31">
        <v>0.32493121464331093</v>
      </c>
      <c r="DO10" s="31"/>
      <c r="DP10" s="31"/>
      <c r="DQ10" s="31"/>
      <c r="DR10" s="31"/>
      <c r="DS10" s="31"/>
      <c r="DT10" s="31"/>
      <c r="DU10" s="31">
        <v>65.68302344947837</v>
      </c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</row>
    <row r="11" spans="1:214" x14ac:dyDescent="0.25">
      <c r="A11" s="32" t="s">
        <v>142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325.84099268360131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>
        <v>17.039033123095855</v>
      </c>
      <c r="DA11" s="31">
        <v>33.437973706013324</v>
      </c>
      <c r="DB11" s="31">
        <v>46.567662279843773</v>
      </c>
      <c r="DC11" s="31">
        <v>54.837767525463306</v>
      </c>
      <c r="DD11" s="31">
        <v>26.865785500381136</v>
      </c>
      <c r="DE11" s="31">
        <v>3.7988360053545982</v>
      </c>
      <c r="DF11" s="31">
        <v>6.6830325485908553</v>
      </c>
      <c r="DG11" s="31">
        <v>9.3374121929135967</v>
      </c>
      <c r="DH11" s="31">
        <v>9.194142587622526</v>
      </c>
      <c r="DI11" s="31">
        <v>4.3758532591533417</v>
      </c>
      <c r="DJ11" s="31">
        <v>0.37170608954264728</v>
      </c>
      <c r="DK11" s="31">
        <v>1.4679745481731186</v>
      </c>
      <c r="DL11" s="31">
        <v>1.6377807260251263</v>
      </c>
      <c r="DM11" s="31">
        <v>2.0660144399171001</v>
      </c>
      <c r="DN11" s="31">
        <v>3.5819084417717932</v>
      </c>
      <c r="DO11" s="31"/>
      <c r="DP11" s="31"/>
      <c r="DQ11" s="31"/>
      <c r="DR11" s="31"/>
      <c r="DS11" s="31"/>
      <c r="DT11" s="31"/>
      <c r="DU11" s="31">
        <v>547.10387565746339</v>
      </c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</row>
    <row r="12" spans="1:214" x14ac:dyDescent="0.25">
      <c r="A12" s="32" t="s">
        <v>143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>
        <v>78.999376023583878</v>
      </c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>
        <v>0.98642824223808745</v>
      </c>
      <c r="DA12" s="31">
        <v>1.1297520349839161</v>
      </c>
      <c r="DB12" s="31">
        <v>1.3454563900900371</v>
      </c>
      <c r="DC12" s="31">
        <v>1.3456928062066602</v>
      </c>
      <c r="DD12" s="31">
        <v>0.69813727759410926</v>
      </c>
      <c r="DE12" s="31">
        <v>0.21015604807263999</v>
      </c>
      <c r="DF12" s="31">
        <v>0.22810181925314676</v>
      </c>
      <c r="DG12" s="31">
        <v>0.23602143289036795</v>
      </c>
      <c r="DH12" s="31">
        <v>0.1930160075296326</v>
      </c>
      <c r="DI12" s="31">
        <v>0.15412739081791299</v>
      </c>
      <c r="DJ12" s="31">
        <v>6.8304875832425449E-2</v>
      </c>
      <c r="DK12" s="31">
        <v>8.681432713553254E-2</v>
      </c>
      <c r="DL12" s="31">
        <v>0.11652082266303415</v>
      </c>
      <c r="DM12" s="31">
        <v>0.13546358487987209</v>
      </c>
      <c r="DN12" s="31">
        <v>0.24868201300621609</v>
      </c>
      <c r="DO12" s="31"/>
      <c r="DP12" s="31"/>
      <c r="DQ12" s="31"/>
      <c r="DR12" s="31"/>
      <c r="DS12" s="31"/>
      <c r="DT12" s="31"/>
      <c r="DU12" s="31">
        <v>86.182051096777457</v>
      </c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</row>
    <row r="13" spans="1:214" x14ac:dyDescent="0.25">
      <c r="A13" s="32" t="s">
        <v>716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>
        <v>207.0994703962532</v>
      </c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>
        <v>2.0909497749821208E-2</v>
      </c>
      <c r="DA13" s="31">
        <v>0.14862247566744335</v>
      </c>
      <c r="DB13" s="31">
        <v>0.16010200110929351</v>
      </c>
      <c r="DC13" s="31">
        <v>0.64028895972579647</v>
      </c>
      <c r="DD13" s="31">
        <v>0.38937660251478123</v>
      </c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>
        <v>208.45876993302033</v>
      </c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</row>
    <row r="14" spans="1:214" x14ac:dyDescent="0.25">
      <c r="A14" s="32" t="s">
        <v>148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>
        <v>6.2139680557634591</v>
      </c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>
        <v>3.1915992600719699E-3</v>
      </c>
      <c r="DA14" s="31">
        <v>7.5054861309965517E-3</v>
      </c>
      <c r="DB14" s="31">
        <v>6.7278263925970327E-5</v>
      </c>
      <c r="DC14" s="31">
        <v>3.2288100483607592E-2</v>
      </c>
      <c r="DD14" s="31">
        <v>8.592611675556143E-2</v>
      </c>
      <c r="DE14" s="31"/>
      <c r="DF14" s="31"/>
      <c r="DG14" s="31"/>
      <c r="DH14" s="31">
        <v>7.7965610158791498E-2</v>
      </c>
      <c r="DI14" s="31"/>
      <c r="DJ14" s="31"/>
      <c r="DK14" s="31"/>
      <c r="DL14" s="31"/>
      <c r="DM14" s="31"/>
      <c r="DN14" s="31">
        <v>2.1857577647959713E-2</v>
      </c>
      <c r="DO14" s="31"/>
      <c r="DP14" s="31"/>
      <c r="DQ14" s="31"/>
      <c r="DR14" s="31"/>
      <c r="DS14" s="31"/>
      <c r="DT14" s="31"/>
      <c r="DU14" s="31">
        <v>6.4427698244643743</v>
      </c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</row>
    <row r="15" spans="1:214" x14ac:dyDescent="0.25">
      <c r="A15" s="32" t="s">
        <v>147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>
        <v>238.88929855291838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>
        <v>3.9033868333325854</v>
      </c>
      <c r="DA15" s="31">
        <v>7.490773463830851</v>
      </c>
      <c r="DB15" s="31">
        <v>12.816528182309137</v>
      </c>
      <c r="DC15" s="31">
        <v>21.126911361692279</v>
      </c>
      <c r="DD15" s="31">
        <v>16.380037341129952</v>
      </c>
      <c r="DE15" s="31">
        <v>0.57414546631461083</v>
      </c>
      <c r="DF15" s="31">
        <v>1.9738400063726145</v>
      </c>
      <c r="DG15" s="31">
        <v>2.1171638588925865</v>
      </c>
      <c r="DH15" s="31">
        <v>2.989425568033147</v>
      </c>
      <c r="DI15" s="31">
        <v>2.2074637187981203</v>
      </c>
      <c r="DJ15" s="31">
        <v>9.5860698176806383E-2</v>
      </c>
      <c r="DK15" s="31">
        <v>0.33230952609275521</v>
      </c>
      <c r="DL15" s="31">
        <v>1.113941151332261</v>
      </c>
      <c r="DM15" s="31">
        <v>1.469590236577996</v>
      </c>
      <c r="DN15" s="31">
        <v>4.8741653404866199</v>
      </c>
      <c r="DO15" s="31"/>
      <c r="DP15" s="31"/>
      <c r="DQ15" s="31"/>
      <c r="DR15" s="31"/>
      <c r="DS15" s="31"/>
      <c r="DT15" s="31"/>
      <c r="DU15" s="31">
        <v>318.35484130629067</v>
      </c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</row>
    <row r="16" spans="1:214" x14ac:dyDescent="0.25">
      <c r="A16" s="32" t="s">
        <v>676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>
        <v>159.59660450305239</v>
      </c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>
        <v>0.4663992110475747</v>
      </c>
      <c r="DA16" s="31">
        <v>0.95987787958519855</v>
      </c>
      <c r="DB16" s="31">
        <v>1.5816904264476634</v>
      </c>
      <c r="DC16" s="31">
        <v>2.6660497103286867</v>
      </c>
      <c r="DD16" s="31">
        <v>4.3651154694160157</v>
      </c>
      <c r="DE16" s="31">
        <v>9.0104945953717416E-2</v>
      </c>
      <c r="DF16" s="31">
        <v>0.16675720077574965</v>
      </c>
      <c r="DG16" s="31">
        <v>0.2637558842710947</v>
      </c>
      <c r="DH16" s="31">
        <v>0.55935128354869978</v>
      </c>
      <c r="DI16" s="31">
        <v>0.69822616469079335</v>
      </c>
      <c r="DJ16" s="31">
        <v>1.520596815779833E-2</v>
      </c>
      <c r="DK16" s="31">
        <v>5.3003564151378836E-2</v>
      </c>
      <c r="DL16" s="31">
        <v>3.88254631950622E-2</v>
      </c>
      <c r="DM16" s="31">
        <v>7.2125096851138659E-2</v>
      </c>
      <c r="DN16" s="31">
        <v>4.0917430555785659</v>
      </c>
      <c r="DO16" s="31"/>
      <c r="DP16" s="31"/>
      <c r="DQ16" s="31"/>
      <c r="DR16" s="31"/>
      <c r="DS16" s="31"/>
      <c r="DT16" s="31"/>
      <c r="DU16" s="31">
        <v>175.68483582705156</v>
      </c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</row>
    <row r="17" spans="1:214" x14ac:dyDescent="0.25">
      <c r="A17" s="32" t="s">
        <v>281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>
        <v>82.945319924435012</v>
      </c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>
        <v>0.29871704237761609</v>
      </c>
      <c r="DA17" s="31">
        <v>1.8652034961558404</v>
      </c>
      <c r="DB17" s="31">
        <v>3.4592335956733282</v>
      </c>
      <c r="DC17" s="31">
        <v>9.0587726215223743</v>
      </c>
      <c r="DD17" s="31">
        <v>10.367880117543406</v>
      </c>
      <c r="DE17" s="31">
        <v>3.6381651372694751E-2</v>
      </c>
      <c r="DF17" s="31">
        <v>0.26036541045556066</v>
      </c>
      <c r="DG17" s="31">
        <v>0.59420170370552716</v>
      </c>
      <c r="DH17" s="31">
        <v>1.2106904768810645</v>
      </c>
      <c r="DI17" s="31">
        <v>0.63797884857118237</v>
      </c>
      <c r="DJ17" s="31">
        <v>1.5797377509547461E-2</v>
      </c>
      <c r="DK17" s="31">
        <v>0.17724890097989612</v>
      </c>
      <c r="DL17" s="31">
        <v>0.32283471272788988</v>
      </c>
      <c r="DM17" s="31">
        <v>0.92540094203139278</v>
      </c>
      <c r="DN17" s="31">
        <v>3.6867975570537119</v>
      </c>
      <c r="DO17" s="31"/>
      <c r="DP17" s="31"/>
      <c r="DQ17" s="31"/>
      <c r="DR17" s="31"/>
      <c r="DS17" s="31"/>
      <c r="DT17" s="31"/>
      <c r="DU17" s="31">
        <v>115.86282437899604</v>
      </c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</row>
    <row r="18" spans="1:214" x14ac:dyDescent="0.25">
      <c r="A18" s="32" t="s">
        <v>151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>
        <v>69.964671318545129</v>
      </c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>
        <v>79.115102452240919</v>
      </c>
      <c r="DA18" s="31">
        <v>90.832291638875247</v>
      </c>
      <c r="DB18" s="31">
        <v>98.451838875741458</v>
      </c>
      <c r="DC18" s="31">
        <v>97.144045919350589</v>
      </c>
      <c r="DD18" s="31">
        <v>52.975166514351898</v>
      </c>
      <c r="DE18" s="31">
        <v>12.233701164144708</v>
      </c>
      <c r="DF18" s="31">
        <v>14.67681217621989</v>
      </c>
      <c r="DG18" s="31">
        <v>13.341029148037061</v>
      </c>
      <c r="DH18" s="31">
        <v>14.344895296978169</v>
      </c>
      <c r="DI18" s="31">
        <v>8.2614425303518981</v>
      </c>
      <c r="DJ18" s="31">
        <v>5.7746827142365831</v>
      </c>
      <c r="DK18" s="31">
        <v>7.9225167632270042</v>
      </c>
      <c r="DL18" s="31">
        <v>11.369502091982898</v>
      </c>
      <c r="DM18" s="31">
        <v>14.319445939986993</v>
      </c>
      <c r="DN18" s="31">
        <v>8.9315510645432941</v>
      </c>
      <c r="DO18" s="31"/>
      <c r="DP18" s="31"/>
      <c r="DQ18" s="31"/>
      <c r="DR18" s="31"/>
      <c r="DS18" s="31"/>
      <c r="DT18" s="31"/>
      <c r="DU18" s="31">
        <v>599.65869560881379</v>
      </c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</row>
    <row r="19" spans="1:214" x14ac:dyDescent="0.25">
      <c r="A19" s="32" t="s">
        <v>152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>
        <v>33.642322577576493</v>
      </c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>
        <v>0.11437143211056069</v>
      </c>
      <c r="DA19" s="31">
        <v>0.28374003540264547</v>
      </c>
      <c r="DB19" s="31">
        <v>0.47849884291984862</v>
      </c>
      <c r="DC19" s="31">
        <v>0.32159524629594211</v>
      </c>
      <c r="DD19" s="31">
        <v>0.43390640530477298</v>
      </c>
      <c r="DE19" s="31">
        <v>1.9076325347954716E-3</v>
      </c>
      <c r="DF19" s="31">
        <v>1.0221411271526669E-2</v>
      </c>
      <c r="DG19" s="31">
        <v>3.959628716975714E-2</v>
      </c>
      <c r="DH19" s="31">
        <v>1.660513131763151E-2</v>
      </c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>
        <v>35.342765001903977</v>
      </c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</row>
    <row r="20" spans="1:214" x14ac:dyDescent="0.25">
      <c r="A20" s="32" t="s">
        <v>714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>
        <v>5.0369698728873971</v>
      </c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>
        <v>5.0369698728873971</v>
      </c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</row>
    <row r="21" spans="1:214" x14ac:dyDescent="0.25">
      <c r="A21" s="32" t="s">
        <v>677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>
        <v>188.76314864227942</v>
      </c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>
        <v>188.76314864227942</v>
      </c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</row>
    <row r="22" spans="1:214" x14ac:dyDescent="0.25">
      <c r="A22" s="32" t="s">
        <v>153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>
        <v>106.61091007307355</v>
      </c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>
        <v>106.61091007307355</v>
      </c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</row>
    <row r="23" spans="1:214" x14ac:dyDescent="0.25">
      <c r="A23" s="32" t="s">
        <v>284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>
        <v>1.0624986859168637</v>
      </c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>
        <v>1.0624986859168637</v>
      </c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</row>
    <row r="24" spans="1:214" x14ac:dyDescent="0.25">
      <c r="A24" s="32" t="s">
        <v>286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>
        <v>36.388925888861046</v>
      </c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>
        <v>36.388925888861046</v>
      </c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</row>
    <row r="25" spans="1:214" x14ac:dyDescent="0.25">
      <c r="A25" s="32" t="s">
        <v>287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>
        <v>56.683935855908004</v>
      </c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>
        <v>56.683935855908004</v>
      </c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</row>
    <row r="26" spans="1:214" x14ac:dyDescent="0.25">
      <c r="A26" s="32" t="s">
        <v>285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>
        <v>9.5578740697331845</v>
      </c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>
        <v>0.40362685933428993</v>
      </c>
      <c r="DA26" s="31">
        <v>1.623344261614837</v>
      </c>
      <c r="DB26" s="31">
        <v>2.8280151785373264</v>
      </c>
      <c r="DC26" s="31">
        <v>6.022505604289714</v>
      </c>
      <c r="DD26" s="31">
        <v>5.2531040860028231</v>
      </c>
      <c r="DE26" s="31">
        <v>0.10996782308868987</v>
      </c>
      <c r="DF26" s="31">
        <v>0.47454756217242045</v>
      </c>
      <c r="DG26" s="31">
        <v>0.4633698588403205</v>
      </c>
      <c r="DH26" s="31">
        <v>0.92197240045552098</v>
      </c>
      <c r="DI26" s="31">
        <v>0.36630071159325822</v>
      </c>
      <c r="DJ26" s="31">
        <v>6.8747358320487895E-2</v>
      </c>
      <c r="DK26" s="31"/>
      <c r="DL26" s="31">
        <v>0.32053677827925958</v>
      </c>
      <c r="DM26" s="31">
        <v>0.48395548330432547</v>
      </c>
      <c r="DN26" s="31">
        <v>0.37357414862411764</v>
      </c>
      <c r="DO26" s="31"/>
      <c r="DP26" s="31"/>
      <c r="DQ26" s="31"/>
      <c r="DR26" s="31"/>
      <c r="DS26" s="31"/>
      <c r="DT26" s="31"/>
      <c r="DU26" s="31">
        <v>29.271442184190576</v>
      </c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</row>
    <row r="27" spans="1:214" x14ac:dyDescent="0.25">
      <c r="A27" s="32" t="s">
        <v>154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>
        <v>141.31635264599535</v>
      </c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>
        <v>0.32198242018389034</v>
      </c>
      <c r="DA27" s="31">
        <v>0.78378157849100893</v>
      </c>
      <c r="DB27" s="31">
        <v>1.1874142945147215</v>
      </c>
      <c r="DC27" s="31">
        <v>1.5925571055378165</v>
      </c>
      <c r="DD27" s="31">
        <v>1.2480283468037625</v>
      </c>
      <c r="DE27" s="31">
        <v>4.6170184520189339E-2</v>
      </c>
      <c r="DF27" s="31">
        <v>0.13559998914804941</v>
      </c>
      <c r="DG27" s="31">
        <v>0.18283368888714865</v>
      </c>
      <c r="DH27" s="31">
        <v>0.19339316454347566</v>
      </c>
      <c r="DI27" s="31">
        <v>0.1389651776957409</v>
      </c>
      <c r="DJ27" s="31">
        <v>1.3071076366973314E-2</v>
      </c>
      <c r="DK27" s="31">
        <v>1.6059854721845981E-2</v>
      </c>
      <c r="DL27" s="31">
        <v>4.5165061540112773E-2</v>
      </c>
      <c r="DM27" s="31">
        <v>0.10577160760439443</v>
      </c>
      <c r="DN27" s="31">
        <v>0.12545317102145026</v>
      </c>
      <c r="DO27" s="31"/>
      <c r="DP27" s="31"/>
      <c r="DQ27" s="31"/>
      <c r="DR27" s="31"/>
      <c r="DS27" s="31"/>
      <c r="DT27" s="31"/>
      <c r="DU27" s="31">
        <v>147.45259936757594</v>
      </c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</row>
    <row r="28" spans="1:214" x14ac:dyDescent="0.25">
      <c r="A28" s="32" t="s">
        <v>678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>
        <v>580.15587868085402</v>
      </c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>
        <v>2.9228081006886701</v>
      </c>
      <c r="DA28" s="31">
        <v>5.3369041889962991</v>
      </c>
      <c r="DB28" s="31">
        <v>13.591555603084364</v>
      </c>
      <c r="DC28" s="31">
        <v>34.682693818303726</v>
      </c>
      <c r="DD28" s="31">
        <v>32.962727793148858</v>
      </c>
      <c r="DE28" s="31">
        <v>0.50394281299524479</v>
      </c>
      <c r="DF28" s="31">
        <v>2.1598575591531217</v>
      </c>
      <c r="DG28" s="31">
        <v>4.3488145924943593</v>
      </c>
      <c r="DH28" s="31">
        <v>4.0375208611627329</v>
      </c>
      <c r="DI28" s="31">
        <v>4.6875274582850004</v>
      </c>
      <c r="DJ28" s="31">
        <v>1.1359115419754686E-5</v>
      </c>
      <c r="DK28" s="31">
        <v>0.88532664658445637</v>
      </c>
      <c r="DL28" s="31">
        <v>0.68465486777919748</v>
      </c>
      <c r="DM28" s="31">
        <v>1.0224212398126529</v>
      </c>
      <c r="DN28" s="31">
        <v>8.9134267853745985</v>
      </c>
      <c r="DO28" s="31"/>
      <c r="DP28" s="31"/>
      <c r="DQ28" s="31"/>
      <c r="DR28" s="31"/>
      <c r="DS28" s="31"/>
      <c r="DT28" s="31"/>
      <c r="DU28" s="31">
        <v>696.89607236783252</v>
      </c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</row>
    <row r="29" spans="1:214" x14ac:dyDescent="0.25">
      <c r="A29" s="32" t="s">
        <v>679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>
        <v>37.508228384492952</v>
      </c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>
        <v>37.508228384492952</v>
      </c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</row>
    <row r="30" spans="1:214" x14ac:dyDescent="0.25">
      <c r="A30" s="32" t="s">
        <v>155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>
        <v>146.05316511988079</v>
      </c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>
        <v>146.05316511988079</v>
      </c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</row>
    <row r="31" spans="1:214" x14ac:dyDescent="0.25">
      <c r="A31" s="32" t="s">
        <v>156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>
        <v>72.749180562573741</v>
      </c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>
        <v>72.749180562573741</v>
      </c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</row>
    <row r="32" spans="1:214" x14ac:dyDescent="0.25">
      <c r="A32" s="32" t="s">
        <v>288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>
        <v>0.69963231620544508</v>
      </c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>
        <v>0.69963231620544508</v>
      </c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</row>
    <row r="33" spans="1:214" x14ac:dyDescent="0.25">
      <c r="A33" s="32" t="s">
        <v>158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>
        <v>111.65256968843599</v>
      </c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>
        <v>111.65256968843599</v>
      </c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</row>
    <row r="34" spans="1:214" x14ac:dyDescent="0.25">
      <c r="A34" s="32" t="s">
        <v>159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>
        <v>98.698386304703405</v>
      </c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>
        <v>98.698386304703405</v>
      </c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</row>
    <row r="35" spans="1:214" x14ac:dyDescent="0.25">
      <c r="A35" s="32" t="s">
        <v>160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>
        <v>75.890286922689128</v>
      </c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>
        <v>75.890286922689128</v>
      </c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</row>
    <row r="36" spans="1:214" x14ac:dyDescent="0.25">
      <c r="A36" s="32" t="s">
        <v>161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>
        <v>135.94788688959085</v>
      </c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>
        <v>135.94788688959085</v>
      </c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</row>
    <row r="37" spans="1:214" x14ac:dyDescent="0.25">
      <c r="A37" s="32" t="s">
        <v>162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>
        <v>31.884648668978123</v>
      </c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>
        <v>31.884648668978123</v>
      </c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</row>
    <row r="38" spans="1:214" x14ac:dyDescent="0.25">
      <c r="A38" s="32" t="s">
        <v>163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>
        <v>220.60694048128116</v>
      </c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>
        <v>220.60694048128116</v>
      </c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</row>
    <row r="39" spans="1:214" x14ac:dyDescent="0.25">
      <c r="A39" s="32" t="s">
        <v>164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>
        <v>75.773856834360913</v>
      </c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>
        <v>75.773856834360913</v>
      </c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</row>
    <row r="40" spans="1:214" x14ac:dyDescent="0.25">
      <c r="A40" s="32" t="s">
        <v>165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>
        <v>1864.4419405459018</v>
      </c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>
        <v>1864.4419405459018</v>
      </c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</row>
    <row r="41" spans="1:214" x14ac:dyDescent="0.25">
      <c r="A41" s="32" t="s">
        <v>166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>
        <v>1409.6057040375256</v>
      </c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>
        <v>1409.6057040375256</v>
      </c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</row>
    <row r="42" spans="1:214" x14ac:dyDescent="0.25">
      <c r="A42" s="32" t="s">
        <v>167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>
        <v>1049.707314823715</v>
      </c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>
        <v>1049.707314823715</v>
      </c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</row>
    <row r="43" spans="1:214" x14ac:dyDescent="0.25">
      <c r="A43" s="32" t="s">
        <v>168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>
        <v>136.64747783283815</v>
      </c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>
        <v>136.64747783283815</v>
      </c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</row>
    <row r="44" spans="1:214" x14ac:dyDescent="0.25">
      <c r="A44" s="32" t="s">
        <v>548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>
        <v>484.35813114114092</v>
      </c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>
        <v>484.35813114114092</v>
      </c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</row>
    <row r="45" spans="1:214" x14ac:dyDescent="0.25">
      <c r="A45" s="32" t="s">
        <v>169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>
        <v>348.32403182452788</v>
      </c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>
        <v>348.32403182452788</v>
      </c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</row>
    <row r="46" spans="1:214" x14ac:dyDescent="0.25">
      <c r="A46" s="32" t="s">
        <v>170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>
        <v>361.69745436559896</v>
      </c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>
        <v>361.69745436559896</v>
      </c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</row>
    <row r="47" spans="1:214" x14ac:dyDescent="0.25">
      <c r="A47" s="32" t="s">
        <v>171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>
        <v>665.1140029566136</v>
      </c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>
        <v>665.1140029566136</v>
      </c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</row>
    <row r="48" spans="1:214" x14ac:dyDescent="0.25">
      <c r="A48" s="32" t="s">
        <v>172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>
        <v>590.2917291492746</v>
      </c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>
        <v>590.2917291492746</v>
      </c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</row>
    <row r="49" spans="1:214" x14ac:dyDescent="0.25">
      <c r="A49" s="32" t="s">
        <v>173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>
        <v>1342.9633016942125</v>
      </c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>
        <v>1342.9633016942125</v>
      </c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</row>
    <row r="50" spans="1:214" x14ac:dyDescent="0.25">
      <c r="A50" s="32" t="s">
        <v>174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>
        <v>398.71617667634013</v>
      </c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>
        <v>398.71617667634013</v>
      </c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</row>
    <row r="51" spans="1:214" x14ac:dyDescent="0.25">
      <c r="A51" s="32" t="s">
        <v>175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>
        <v>303.01546297092926</v>
      </c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>
        <v>303.01546297092926</v>
      </c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</row>
    <row r="52" spans="1:214" x14ac:dyDescent="0.25">
      <c r="A52" s="32" t="s">
        <v>176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>
        <v>612.56105888986167</v>
      </c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>
        <v>612.56105888986167</v>
      </c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</row>
    <row r="53" spans="1:214" x14ac:dyDescent="0.25">
      <c r="A53" s="32" t="s">
        <v>680</v>
      </c>
      <c r="B53" s="31">
        <v>1.9906730247851023</v>
      </c>
      <c r="C53" s="31"/>
      <c r="D53" s="31"/>
      <c r="E53" s="31"/>
      <c r="F53" s="31"/>
      <c r="G53" s="31"/>
      <c r="H53" s="31"/>
      <c r="I53" s="31"/>
      <c r="J53" s="31">
        <v>7.4487625554317258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>
        <v>82.051765111407732</v>
      </c>
      <c r="V53" s="31">
        <v>8.1652637171147671</v>
      </c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>
        <v>8.3784421331211778</v>
      </c>
      <c r="DA53" s="31">
        <v>12.279521813341118</v>
      </c>
      <c r="DB53" s="31">
        <v>13.873731322039617</v>
      </c>
      <c r="DC53" s="31">
        <v>13.893501189199011</v>
      </c>
      <c r="DD53" s="31">
        <v>9.2052915114603024</v>
      </c>
      <c r="DE53" s="31">
        <v>1.6815114458340876</v>
      </c>
      <c r="DF53" s="31">
        <v>1.3080257588804933</v>
      </c>
      <c r="DG53" s="31">
        <v>2.8195568123247612</v>
      </c>
      <c r="DH53" s="31">
        <v>2.4491432614820088</v>
      </c>
      <c r="DI53" s="31">
        <v>1.4579352428318455</v>
      </c>
      <c r="DJ53" s="31">
        <v>0.35515689597726202</v>
      </c>
      <c r="DK53" s="31">
        <v>0.7670015056913283</v>
      </c>
      <c r="DL53" s="31">
        <v>0.75515549137598281</v>
      </c>
      <c r="DM53" s="31">
        <v>1.6170539942256623</v>
      </c>
      <c r="DN53" s="31">
        <v>4.6805724842558023</v>
      </c>
      <c r="DO53" s="31"/>
      <c r="DP53" s="31"/>
      <c r="DQ53" s="31"/>
      <c r="DR53" s="31"/>
      <c r="DS53" s="31"/>
      <c r="DT53" s="31"/>
      <c r="DU53" s="31">
        <v>175.17806527077977</v>
      </c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</row>
    <row r="54" spans="1:214" x14ac:dyDescent="0.25">
      <c r="A54" s="32" t="s">
        <v>177</v>
      </c>
      <c r="B54" s="31"/>
      <c r="C54" s="31">
        <v>1.0093276912763116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>
        <v>2.2417398958419148</v>
      </c>
      <c r="AL54" s="31">
        <v>8.196138295486243</v>
      </c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>
        <v>5.4119485693871638</v>
      </c>
      <c r="DA54" s="31">
        <v>7.4494450940878973</v>
      </c>
      <c r="DB54" s="31">
        <v>9.035936379451817</v>
      </c>
      <c r="DC54" s="31">
        <v>9.268804185080846</v>
      </c>
      <c r="DD54" s="31">
        <v>6.7083536823591885</v>
      </c>
      <c r="DE54" s="31">
        <v>1.1916042369405715</v>
      </c>
      <c r="DF54" s="31">
        <v>1.2926037909585253</v>
      </c>
      <c r="DG54" s="31">
        <v>1.5274884834333624</v>
      </c>
      <c r="DH54" s="31">
        <v>1.2582000150039441</v>
      </c>
      <c r="DI54" s="31">
        <v>1.3624336356479834</v>
      </c>
      <c r="DJ54" s="31">
        <v>0.60777679054825584</v>
      </c>
      <c r="DK54" s="31">
        <v>1.1692167649438652</v>
      </c>
      <c r="DL54" s="31">
        <v>1.6930729482174525</v>
      </c>
      <c r="DM54" s="31">
        <v>2.8298048765109325</v>
      </c>
      <c r="DN54" s="31">
        <v>11.444245130853766</v>
      </c>
      <c r="DO54" s="31"/>
      <c r="DP54" s="31"/>
      <c r="DQ54" s="31"/>
      <c r="DR54" s="31"/>
      <c r="DS54" s="31"/>
      <c r="DT54" s="31">
        <v>36.897744509032357</v>
      </c>
      <c r="DU54" s="31">
        <v>110.5958849750624</v>
      </c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</row>
    <row r="55" spans="1:214" x14ac:dyDescent="0.25">
      <c r="A55" s="32" t="s">
        <v>178</v>
      </c>
      <c r="B55" s="31"/>
      <c r="C55" s="31"/>
      <c r="D55" s="31">
        <v>7.5988349459437794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>
        <v>24.734088899454118</v>
      </c>
      <c r="T55" s="31"/>
      <c r="U55" s="31">
        <v>0.39027333683229243</v>
      </c>
      <c r="V55" s="31">
        <v>7.0817223513328731</v>
      </c>
      <c r="W55" s="31">
        <v>13.380256000320722</v>
      </c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>
        <v>3.5991548368509208E-3</v>
      </c>
      <c r="AL55" s="31">
        <v>1.330310525883158E-2</v>
      </c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>
        <v>8.284864426061575E-2</v>
      </c>
      <c r="DA55" s="31">
        <v>0.15732568415697007</v>
      </c>
      <c r="DB55" s="31">
        <v>0.35745287947582244</v>
      </c>
      <c r="DC55" s="31">
        <v>0.84763119496559913</v>
      </c>
      <c r="DD55" s="31">
        <v>1.9707705025011524</v>
      </c>
      <c r="DE55" s="31"/>
      <c r="DF55" s="31">
        <v>7.6334911832862368E-2</v>
      </c>
      <c r="DG55" s="31">
        <v>6.8371712801916187E-2</v>
      </c>
      <c r="DH55" s="31">
        <v>0.14775492282337122</v>
      </c>
      <c r="DI55" s="31">
        <v>0.43170521521360727</v>
      </c>
      <c r="DJ55" s="31">
        <v>6.2514218322439655E-2</v>
      </c>
      <c r="DK55" s="31">
        <v>0.17910417234625861</v>
      </c>
      <c r="DL55" s="31">
        <v>0.415298108466018</v>
      </c>
      <c r="DM55" s="31">
        <v>0.8634834358786353</v>
      </c>
      <c r="DN55" s="31">
        <v>13.065844009301262</v>
      </c>
      <c r="DO55" s="31"/>
      <c r="DP55" s="31"/>
      <c r="DQ55" s="31"/>
      <c r="DR55" s="31"/>
      <c r="DS55" s="31"/>
      <c r="DT55" s="31"/>
      <c r="DU55" s="31">
        <v>71.928517406326009</v>
      </c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</row>
    <row r="56" spans="1:214" x14ac:dyDescent="0.25">
      <c r="A56" s="32" t="s">
        <v>179</v>
      </c>
      <c r="B56" s="31"/>
      <c r="C56" s="31"/>
      <c r="D56" s="31"/>
      <c r="E56" s="31">
        <v>7.7105441533365031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>
        <v>0.38980857717922862</v>
      </c>
      <c r="V56" s="31">
        <v>44.451336392251633</v>
      </c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>
        <v>10.565578746445798</v>
      </c>
      <c r="AL56" s="31">
        <v>38.451811826274209</v>
      </c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>
        <v>28.031862519418674</v>
      </c>
      <c r="DA56" s="31">
        <v>33.687296339411233</v>
      </c>
      <c r="DB56" s="31">
        <v>37.351415927348391</v>
      </c>
      <c r="DC56" s="31">
        <v>40.154543070066012</v>
      </c>
      <c r="DD56" s="31">
        <v>23.834845128470853</v>
      </c>
      <c r="DE56" s="31">
        <v>5.6427770684038361</v>
      </c>
      <c r="DF56" s="31">
        <v>6.3829730598285757</v>
      </c>
      <c r="DG56" s="31">
        <v>5.1005826405293826</v>
      </c>
      <c r="DH56" s="31">
        <v>6.1397041417136498</v>
      </c>
      <c r="DI56" s="31">
        <v>4.7273714062587207</v>
      </c>
      <c r="DJ56" s="31">
        <v>4.3842554744387954</v>
      </c>
      <c r="DK56" s="31">
        <v>7.041422322939642</v>
      </c>
      <c r="DL56" s="31">
        <v>8.5175707981750683</v>
      </c>
      <c r="DM56" s="31">
        <v>11.369426211175096</v>
      </c>
      <c r="DN56" s="31">
        <v>30.743447848996734</v>
      </c>
      <c r="DO56" s="31"/>
      <c r="DP56" s="31"/>
      <c r="DQ56" s="31"/>
      <c r="DR56" s="31"/>
      <c r="DS56" s="31"/>
      <c r="DT56" s="31"/>
      <c r="DU56" s="31">
        <v>354.67857365266212</v>
      </c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</row>
    <row r="57" spans="1:214" x14ac:dyDescent="0.25">
      <c r="A57" s="32" t="s">
        <v>180</v>
      </c>
      <c r="B57" s="31"/>
      <c r="C57" s="31"/>
      <c r="D57" s="31"/>
      <c r="E57" s="31"/>
      <c r="F57" s="31">
        <v>0.41677889811677005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>
        <v>5.3849376113014618</v>
      </c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>
        <v>1.5929320599880765</v>
      </c>
      <c r="AL57" s="31">
        <v>5.7982455851650512</v>
      </c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>
        <v>4.6736775510033111</v>
      </c>
      <c r="DA57" s="31">
        <v>5.8167716838063344</v>
      </c>
      <c r="DB57" s="31">
        <v>6.3007513575383278</v>
      </c>
      <c r="DC57" s="31">
        <v>6.5593797299129202</v>
      </c>
      <c r="DD57" s="31">
        <v>5.2100440952718987</v>
      </c>
      <c r="DE57" s="31">
        <v>1.0060443226434466</v>
      </c>
      <c r="DF57" s="31">
        <v>0.98575392791826166</v>
      </c>
      <c r="DG57" s="31">
        <v>1.0683735235699969</v>
      </c>
      <c r="DH57" s="31">
        <v>1.0065173019840881</v>
      </c>
      <c r="DI57" s="31">
        <v>1.0666563677300731</v>
      </c>
      <c r="DJ57" s="31">
        <v>0.43037334889324003</v>
      </c>
      <c r="DK57" s="31">
        <v>0.96724918282855377</v>
      </c>
      <c r="DL57" s="31">
        <v>1.2419948919804724</v>
      </c>
      <c r="DM57" s="31">
        <v>2.3264071614603119</v>
      </c>
      <c r="DN57" s="31">
        <v>11.529798847660626</v>
      </c>
      <c r="DO57" s="31"/>
      <c r="DP57" s="31"/>
      <c r="DQ57" s="31"/>
      <c r="DR57" s="31"/>
      <c r="DS57" s="31"/>
      <c r="DT57" s="31">
        <v>31.674154318737479</v>
      </c>
      <c r="DU57" s="31">
        <v>95.056841767510704</v>
      </c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</row>
    <row r="58" spans="1:214" x14ac:dyDescent="0.25">
      <c r="A58" s="32" t="s">
        <v>717</v>
      </c>
      <c r="B58" s="31"/>
      <c r="C58" s="31"/>
      <c r="D58" s="31"/>
      <c r="E58" s="31"/>
      <c r="F58" s="31"/>
      <c r="G58" s="31">
        <v>19.646191676010631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>
        <v>28.263986826753719</v>
      </c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>
        <v>1.592741354316948E-2</v>
      </c>
      <c r="DA58" s="31">
        <v>0.10231367056389601</v>
      </c>
      <c r="DB58" s="31">
        <v>0.11094024476718709</v>
      </c>
      <c r="DC58" s="31">
        <v>0.43401545066679581</v>
      </c>
      <c r="DD58" s="31">
        <v>0.26580537915789021</v>
      </c>
      <c r="DE58" s="31">
        <v>2.3872448010252071E-2</v>
      </c>
      <c r="DF58" s="31">
        <v>4.0610677617178577E-2</v>
      </c>
      <c r="DG58" s="31">
        <v>7.5382299264784339E-4</v>
      </c>
      <c r="DH58" s="31">
        <v>7.3546877562472815E-2</v>
      </c>
      <c r="DI58" s="31">
        <v>8.0927016694370604E-3</v>
      </c>
      <c r="DJ58" s="31">
        <v>2.6243473690686807E-4</v>
      </c>
      <c r="DK58" s="31">
        <v>5.0163675083383268E-4</v>
      </c>
      <c r="DL58" s="31">
        <v>7.3806034742308891E-4</v>
      </c>
      <c r="DM58" s="31">
        <v>5.6640571492681015E-3</v>
      </c>
      <c r="DN58" s="31">
        <v>7.9356603871641729E-2</v>
      </c>
      <c r="DO58" s="31"/>
      <c r="DP58" s="31"/>
      <c r="DQ58" s="31"/>
      <c r="DR58" s="31"/>
      <c r="DS58" s="31"/>
      <c r="DT58" s="31">
        <v>194.21406542800622</v>
      </c>
      <c r="DU58" s="31">
        <v>243.28664541017758</v>
      </c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</row>
    <row r="59" spans="1:214" x14ac:dyDescent="0.25">
      <c r="A59" s="32" t="s">
        <v>182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>
        <v>1.0158152045786115</v>
      </c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>
        <v>7.7551063243410046E-2</v>
      </c>
      <c r="DA59" s="31">
        <v>9.8551583859342401E-2</v>
      </c>
      <c r="DB59" s="31">
        <v>0.11838893898023284</v>
      </c>
      <c r="DC59" s="31">
        <v>0.12033955379430894</v>
      </c>
      <c r="DD59" s="31">
        <v>0.13012969878086839</v>
      </c>
      <c r="DE59" s="31">
        <v>2.0921082473833251E-2</v>
      </c>
      <c r="DF59" s="31">
        <v>3.0824594033235786E-2</v>
      </c>
      <c r="DG59" s="31">
        <v>2.0800858286856173E-2</v>
      </c>
      <c r="DH59" s="31">
        <v>2.1934080545409494E-2</v>
      </c>
      <c r="DI59" s="31">
        <v>1.2335056413833392E-2</v>
      </c>
      <c r="DJ59" s="31">
        <v>3.4169320334059171E-3</v>
      </c>
      <c r="DK59" s="31">
        <v>4.494977812684018E-3</v>
      </c>
      <c r="DL59" s="31">
        <v>1.9483923521012841E-2</v>
      </c>
      <c r="DM59" s="31">
        <v>5.7230073976109047E-2</v>
      </c>
      <c r="DN59" s="31">
        <v>2.1737538311574065</v>
      </c>
      <c r="DO59" s="31"/>
      <c r="DP59" s="31"/>
      <c r="DQ59" s="31"/>
      <c r="DR59" s="31"/>
      <c r="DS59" s="31"/>
      <c r="DT59" s="31">
        <v>3.1398045245264199</v>
      </c>
      <c r="DU59" s="31">
        <v>7.0657759780169807</v>
      </c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</row>
    <row r="60" spans="1:214" x14ac:dyDescent="0.25">
      <c r="A60" s="32" t="s">
        <v>181</v>
      </c>
      <c r="B60" s="31"/>
      <c r="C60" s="31"/>
      <c r="D60" s="31"/>
      <c r="E60" s="31"/>
      <c r="F60" s="31"/>
      <c r="G60" s="31"/>
      <c r="H60" s="31"/>
      <c r="I60" s="31">
        <v>1.3162401257750072</v>
      </c>
      <c r="J60" s="31"/>
      <c r="K60" s="31"/>
      <c r="L60" s="31"/>
      <c r="M60" s="31"/>
      <c r="N60" s="31"/>
      <c r="O60" s="31"/>
      <c r="P60" s="31"/>
      <c r="Q60" s="31"/>
      <c r="R60" s="31">
        <v>5.2964830782558669</v>
      </c>
      <c r="S60" s="31">
        <v>0.70066465468318728</v>
      </c>
      <c r="T60" s="31"/>
      <c r="U60" s="31"/>
      <c r="V60" s="31">
        <v>32.484559916630602</v>
      </c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>
        <v>5.1676868771487445</v>
      </c>
      <c r="AL60" s="31">
        <v>19.192370193766443</v>
      </c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>
        <v>6.5214655056339206</v>
      </c>
      <c r="DA60" s="31">
        <v>11.412929120343025</v>
      </c>
      <c r="DB60" s="31">
        <v>15.459817547994499</v>
      </c>
      <c r="DC60" s="31">
        <v>22.27004731303397</v>
      </c>
      <c r="DD60" s="31">
        <v>21.416681172105111</v>
      </c>
      <c r="DE60" s="31">
        <v>1.2379764034678573</v>
      </c>
      <c r="DF60" s="31">
        <v>1.8347024746882947</v>
      </c>
      <c r="DG60" s="31">
        <v>2.6906368884857002</v>
      </c>
      <c r="DH60" s="31">
        <v>3.2359640399962184</v>
      </c>
      <c r="DI60" s="31">
        <v>4.0304140378456514</v>
      </c>
      <c r="DJ60" s="31">
        <v>0.95805085121914035</v>
      </c>
      <c r="DK60" s="31">
        <v>1.7233061678695594</v>
      </c>
      <c r="DL60" s="31">
        <v>2.7630629488135781</v>
      </c>
      <c r="DM60" s="31">
        <v>7.1741737204002733</v>
      </c>
      <c r="DN60" s="31">
        <v>51.491860125691119</v>
      </c>
      <c r="DO60" s="31"/>
      <c r="DP60" s="31"/>
      <c r="DQ60" s="31"/>
      <c r="DR60" s="31"/>
      <c r="DS60" s="31"/>
      <c r="DT60" s="31">
        <v>51.284224579729667</v>
      </c>
      <c r="DU60" s="31">
        <v>269.66331774357741</v>
      </c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</row>
    <row r="61" spans="1:214" x14ac:dyDescent="0.25">
      <c r="A61" s="32" t="s">
        <v>681</v>
      </c>
      <c r="B61" s="31"/>
      <c r="C61" s="31"/>
      <c r="D61" s="31"/>
      <c r="E61" s="31"/>
      <c r="F61" s="31"/>
      <c r="G61" s="31"/>
      <c r="H61" s="31"/>
      <c r="I61" s="31"/>
      <c r="J61" s="31">
        <v>3.3707994362732174</v>
      </c>
      <c r="K61" s="31"/>
      <c r="L61" s="31"/>
      <c r="M61" s="31"/>
      <c r="N61" s="31"/>
      <c r="O61" s="31"/>
      <c r="P61" s="31">
        <v>77.306270033579722</v>
      </c>
      <c r="Q61" s="31">
        <v>0.74966067671766234</v>
      </c>
      <c r="R61" s="31"/>
      <c r="S61" s="31"/>
      <c r="T61" s="31"/>
      <c r="U61" s="31"/>
      <c r="V61" s="31">
        <v>0.10053313407343306</v>
      </c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>
        <v>3.5314238673814233</v>
      </c>
      <c r="AL61" s="31">
        <v>13.321687086680589</v>
      </c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>
        <v>1.9960694654749644</v>
      </c>
      <c r="DA61" s="31">
        <v>3.4673568679174536</v>
      </c>
      <c r="DB61" s="31">
        <v>5.5825009816840865</v>
      </c>
      <c r="DC61" s="31">
        <v>9.3557917568489906</v>
      </c>
      <c r="DD61" s="31">
        <v>12.9595049448004</v>
      </c>
      <c r="DE61" s="31">
        <v>0.83700206180969183</v>
      </c>
      <c r="DF61" s="31">
        <v>0.57468904735374271</v>
      </c>
      <c r="DG61" s="31">
        <v>1.3252963970666096</v>
      </c>
      <c r="DH61" s="31">
        <v>1.5138392001712904</v>
      </c>
      <c r="DI61" s="31">
        <v>3.1937490705463278</v>
      </c>
      <c r="DJ61" s="31">
        <v>0.182978177125597</v>
      </c>
      <c r="DK61" s="31">
        <v>0.40042751900482998</v>
      </c>
      <c r="DL61" s="31">
        <v>1.063510734970802</v>
      </c>
      <c r="DM61" s="31">
        <v>1.6674503450461438</v>
      </c>
      <c r="DN61" s="31">
        <v>20.021666226474125</v>
      </c>
      <c r="DO61" s="31"/>
      <c r="DP61" s="31"/>
      <c r="DQ61" s="31"/>
      <c r="DR61" s="31"/>
      <c r="DS61" s="31">
        <v>8.1051688233912778</v>
      </c>
      <c r="DT61" s="31"/>
      <c r="DU61" s="31">
        <v>170.62737585439234</v>
      </c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</row>
    <row r="62" spans="1:214" x14ac:dyDescent="0.25">
      <c r="A62" s="32" t="s">
        <v>289</v>
      </c>
      <c r="B62" s="31"/>
      <c r="C62" s="31"/>
      <c r="D62" s="31"/>
      <c r="E62" s="31"/>
      <c r="F62" s="31"/>
      <c r="G62" s="31"/>
      <c r="H62" s="31"/>
      <c r="I62" s="31"/>
      <c r="J62" s="31"/>
      <c r="K62" s="31">
        <v>9.8494374280461408</v>
      </c>
      <c r="L62" s="31"/>
      <c r="M62" s="31"/>
      <c r="N62" s="31"/>
      <c r="O62" s="31"/>
      <c r="P62" s="31"/>
      <c r="Q62" s="31"/>
      <c r="R62" s="31">
        <v>1.4741718268282966</v>
      </c>
      <c r="S62" s="31"/>
      <c r="T62" s="31">
        <v>8.0694824162574985</v>
      </c>
      <c r="U62" s="31"/>
      <c r="V62" s="31">
        <v>9.2765791005754323</v>
      </c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>
        <v>6.0156848463786237E-2</v>
      </c>
      <c r="AL62" s="31">
        <v>0.22250046140889027</v>
      </c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>
        <v>0.46355097978645327</v>
      </c>
      <c r="DA62" s="31">
        <v>1.4035606607072189</v>
      </c>
      <c r="DB62" s="31">
        <v>2.2376938571673555</v>
      </c>
      <c r="DC62" s="31">
        <v>5.3211500713597442</v>
      </c>
      <c r="DD62" s="31">
        <v>9.1199547158846652</v>
      </c>
      <c r="DE62" s="31">
        <v>0.12610133283548225</v>
      </c>
      <c r="DF62" s="31">
        <v>0.13592274798179491</v>
      </c>
      <c r="DG62" s="31">
        <v>0.36508629422089273</v>
      </c>
      <c r="DH62" s="31">
        <v>0.79980612627631487</v>
      </c>
      <c r="DI62" s="31">
        <v>2.2730095014067611</v>
      </c>
      <c r="DJ62" s="31">
        <v>8.0579276626807569E-2</v>
      </c>
      <c r="DK62" s="31">
        <v>0.3124283857510422</v>
      </c>
      <c r="DL62" s="31">
        <v>0.77466561495757413</v>
      </c>
      <c r="DM62" s="31">
        <v>2.212016796646</v>
      </c>
      <c r="DN62" s="31">
        <v>37.241074638982454</v>
      </c>
      <c r="DO62" s="31"/>
      <c r="DP62" s="31"/>
      <c r="DQ62" s="31"/>
      <c r="DR62" s="31"/>
      <c r="DS62" s="31"/>
      <c r="DT62" s="31"/>
      <c r="DU62" s="31">
        <v>91.818929082170612</v>
      </c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</row>
    <row r="63" spans="1:214" x14ac:dyDescent="0.25">
      <c r="A63" s="32" t="s">
        <v>183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>
        <v>20.981762147911482</v>
      </c>
      <c r="M63" s="31"/>
      <c r="N63" s="31">
        <v>1.4979306732640696E-2</v>
      </c>
      <c r="O63" s="31">
        <v>0.45725808401079104</v>
      </c>
      <c r="P63" s="31"/>
      <c r="Q63" s="31"/>
      <c r="R63" s="31">
        <v>0.29487240353718741</v>
      </c>
      <c r="S63" s="31"/>
      <c r="T63" s="31"/>
      <c r="U63" s="31"/>
      <c r="V63" s="31">
        <v>1.3009022744863028</v>
      </c>
      <c r="W63" s="31"/>
      <c r="X63" s="31"/>
      <c r="Y63" s="31">
        <v>14.807926954048403</v>
      </c>
      <c r="Z63" s="31"/>
      <c r="AA63" s="31"/>
      <c r="AB63" s="31">
        <v>2.373539039788472E-2</v>
      </c>
      <c r="AC63" s="31"/>
      <c r="AD63" s="31"/>
      <c r="AE63" s="31"/>
      <c r="AF63" s="31">
        <v>1.2192272933025112</v>
      </c>
      <c r="AG63" s="31"/>
      <c r="AH63" s="31">
        <v>41.393198669302457</v>
      </c>
      <c r="AI63" s="31"/>
      <c r="AJ63" s="31"/>
      <c r="AK63" s="31">
        <v>4.1745375258175965</v>
      </c>
      <c r="AL63" s="31">
        <v>15.386634181331589</v>
      </c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>
        <v>7.8059218557118594E-3</v>
      </c>
      <c r="DA63" s="31">
        <v>2.3117667252889183E-2</v>
      </c>
      <c r="DB63" s="31">
        <v>5.6233424270107316E-2</v>
      </c>
      <c r="DC63" s="31">
        <v>0.1120336046158885</v>
      </c>
      <c r="DD63" s="31">
        <v>0.17897657212453177</v>
      </c>
      <c r="DE63" s="31">
        <v>3.086081327129302E-3</v>
      </c>
      <c r="DF63" s="31">
        <v>5.5738233128326733E-3</v>
      </c>
      <c r="DG63" s="31">
        <v>6.6159200592348262E-3</v>
      </c>
      <c r="DH63" s="31">
        <v>1.5742561112660841E-2</v>
      </c>
      <c r="DI63" s="31">
        <v>3.6959734917975738E-2</v>
      </c>
      <c r="DJ63" s="31">
        <v>8.0516903133731801E-3</v>
      </c>
      <c r="DK63" s="31">
        <v>4.0060680152182573E-2</v>
      </c>
      <c r="DL63" s="31">
        <v>6.3310901335791939E-2</v>
      </c>
      <c r="DM63" s="31">
        <v>0.2094316166985023</v>
      </c>
      <c r="DN63" s="31">
        <v>1.2289076598304394</v>
      </c>
      <c r="DO63" s="31"/>
      <c r="DP63" s="31"/>
      <c r="DQ63" s="31"/>
      <c r="DR63" s="31"/>
      <c r="DS63" s="31"/>
      <c r="DT63" s="31"/>
      <c r="DU63" s="31">
        <v>102.05094209005807</v>
      </c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</row>
    <row r="64" spans="1:214" x14ac:dyDescent="0.25">
      <c r="A64" s="32" t="s">
        <v>184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>
        <v>0.11504800673694095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>
        <v>0.2791576240964066</v>
      </c>
      <c r="AL64" s="31">
        <v>1.0415886945129997</v>
      </c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>
        <v>1.3576105559213587</v>
      </c>
      <c r="DA64" s="31">
        <v>1.5253723350116728</v>
      </c>
      <c r="DB64" s="31">
        <v>2.5341818565109606</v>
      </c>
      <c r="DC64" s="31">
        <v>4.626403822017247</v>
      </c>
      <c r="DD64" s="31">
        <v>5.4175748234509431</v>
      </c>
      <c r="DE64" s="31">
        <v>0.15535855604766746</v>
      </c>
      <c r="DF64" s="31">
        <v>0.29583384393665801</v>
      </c>
      <c r="DG64" s="31">
        <v>0.34684633329150583</v>
      </c>
      <c r="DH64" s="31">
        <v>0.62496685636722993</v>
      </c>
      <c r="DI64" s="31">
        <v>0.75592624626614413</v>
      </c>
      <c r="DJ64" s="31">
        <v>4.9966169860935022E-2</v>
      </c>
      <c r="DK64" s="31">
        <v>0.23483029111994408</v>
      </c>
      <c r="DL64" s="31">
        <v>0.39886360794840947</v>
      </c>
      <c r="DM64" s="31">
        <v>1.5635654357162794</v>
      </c>
      <c r="DN64" s="31">
        <v>15.2297183460485</v>
      </c>
      <c r="DO64" s="31"/>
      <c r="DP64" s="31"/>
      <c r="DQ64" s="31"/>
      <c r="DR64" s="31"/>
      <c r="DS64" s="31"/>
      <c r="DT64" s="31"/>
      <c r="DU64" s="31">
        <v>36.552813404861801</v>
      </c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</row>
    <row r="65" spans="1:214" x14ac:dyDescent="0.25">
      <c r="A65" s="32" t="s">
        <v>682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>
        <v>5.1844858000031913E-3</v>
      </c>
      <c r="O65" s="31">
        <v>0.15969140931502146</v>
      </c>
      <c r="P65" s="31"/>
      <c r="Q65" s="31"/>
      <c r="R65" s="31"/>
      <c r="S65" s="31"/>
      <c r="T65" s="31"/>
      <c r="U65" s="31"/>
      <c r="V65" s="31">
        <v>0.36405973270640568</v>
      </c>
      <c r="W65" s="31"/>
      <c r="X65" s="31"/>
      <c r="Y65" s="31"/>
      <c r="Z65" s="31">
        <v>0.10352232066894985</v>
      </c>
      <c r="AA65" s="31"/>
      <c r="AB65" s="31"/>
      <c r="AC65" s="31">
        <v>8.5299333890543436E-2</v>
      </c>
      <c r="AD65" s="31"/>
      <c r="AE65" s="31"/>
      <c r="AF65" s="31"/>
      <c r="AG65" s="31"/>
      <c r="AH65" s="31"/>
      <c r="AI65" s="31"/>
      <c r="AJ65" s="31"/>
      <c r="AK65" s="31">
        <v>0.8204828330357955</v>
      </c>
      <c r="AL65" s="31">
        <v>3.759633258451808</v>
      </c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>
        <v>5.2978733738685273</v>
      </c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</row>
    <row r="66" spans="1:214" x14ac:dyDescent="0.25">
      <c r="A66" s="32" t="s">
        <v>683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>
        <v>2.3298470950283347E-2</v>
      </c>
      <c r="O66" s="31">
        <v>0.7511976453127539</v>
      </c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>
        <v>6.167017291394731</v>
      </c>
      <c r="AC66" s="31">
        <v>5.5143035665376301</v>
      </c>
      <c r="AD66" s="31">
        <v>4.2128393373434839E-2</v>
      </c>
      <c r="AE66" s="31"/>
      <c r="AF66" s="31"/>
      <c r="AG66" s="31"/>
      <c r="AH66" s="31">
        <v>100.17689682628179</v>
      </c>
      <c r="AI66" s="31"/>
      <c r="AJ66" s="31">
        <v>0.25368206348237177</v>
      </c>
      <c r="AK66" s="31">
        <v>0.13361998657210911</v>
      </c>
      <c r="AL66" s="31">
        <v>0.49343643177413993</v>
      </c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>
        <v>280.76758747309236</v>
      </c>
      <c r="DU66" s="31">
        <v>394.32316814877163</v>
      </c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</row>
    <row r="67" spans="1:214" x14ac:dyDescent="0.25">
      <c r="A67" s="32" t="s">
        <v>185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>
        <v>5.6209481246312538E-2</v>
      </c>
      <c r="Q67" s="31">
        <v>5.9252082324760032E-4</v>
      </c>
      <c r="R67" s="31"/>
      <c r="S67" s="31"/>
      <c r="T67" s="31"/>
      <c r="U67" s="31"/>
      <c r="V67" s="31">
        <v>13.432203446876684</v>
      </c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>
        <v>3.2408344558465316</v>
      </c>
      <c r="AL67" s="31">
        <v>12.031711045296094</v>
      </c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>
        <v>0.71219578142653461</v>
      </c>
      <c r="DA67" s="31">
        <v>2.4493540743161217</v>
      </c>
      <c r="DB67" s="31">
        <v>4.3388518404380587</v>
      </c>
      <c r="DC67" s="31">
        <v>10.278341899820264</v>
      </c>
      <c r="DD67" s="31">
        <v>18.257760333350582</v>
      </c>
      <c r="DE67" s="31">
        <v>0.10773925182590154</v>
      </c>
      <c r="DF67" s="31">
        <v>0.45469334442793591</v>
      </c>
      <c r="DG67" s="31">
        <v>0.6026406134843777</v>
      </c>
      <c r="DH67" s="31">
        <v>1.4374905912712677</v>
      </c>
      <c r="DI67" s="31">
        <v>2.6859359204200604</v>
      </c>
      <c r="DJ67" s="31">
        <v>0.15198395322768099</v>
      </c>
      <c r="DK67" s="31">
        <v>0.58356960115861845</v>
      </c>
      <c r="DL67" s="31">
        <v>1.3309473246831849</v>
      </c>
      <c r="DM67" s="31">
        <v>3.2902213344869402</v>
      </c>
      <c r="DN67" s="31">
        <v>43.720710782483366</v>
      </c>
      <c r="DO67" s="31"/>
      <c r="DP67" s="31"/>
      <c r="DQ67" s="31"/>
      <c r="DR67" s="31"/>
      <c r="DS67" s="31"/>
      <c r="DT67" s="31"/>
      <c r="DU67" s="31">
        <v>119.16398759690978</v>
      </c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</row>
    <row r="68" spans="1:214" x14ac:dyDescent="0.25">
      <c r="A68" s="32" t="s">
        <v>290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>
        <v>1.8480428961871149</v>
      </c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>
        <v>1.0668238711937812</v>
      </c>
      <c r="DA68" s="31">
        <v>1.6631788513251466</v>
      </c>
      <c r="DB68" s="31">
        <v>2.3133819222371006</v>
      </c>
      <c r="DC68" s="31">
        <v>3.1127847328249145</v>
      </c>
      <c r="DD68" s="31">
        <v>2.9077932127925563</v>
      </c>
      <c r="DE68" s="31">
        <v>0.2972592965166645</v>
      </c>
      <c r="DF68" s="31">
        <v>0.36729993361188118</v>
      </c>
      <c r="DG68" s="31">
        <v>0.41790208981894938</v>
      </c>
      <c r="DH68" s="31">
        <v>0.51906638112117187</v>
      </c>
      <c r="DI68" s="31">
        <v>0.47825172232424701</v>
      </c>
      <c r="DJ68" s="31">
        <v>0.18219506838054736</v>
      </c>
      <c r="DK68" s="31">
        <v>0.32946650884996809</v>
      </c>
      <c r="DL68" s="31">
        <v>0.50912251181172052</v>
      </c>
      <c r="DM68" s="31">
        <v>1.0982475434060799</v>
      </c>
      <c r="DN68" s="31">
        <v>4.1171609704894809</v>
      </c>
      <c r="DO68" s="31"/>
      <c r="DP68" s="31"/>
      <c r="DQ68" s="31"/>
      <c r="DR68" s="31"/>
      <c r="DS68" s="31"/>
      <c r="DT68" s="31"/>
      <c r="DU68" s="31">
        <v>21.227977512891322</v>
      </c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</row>
    <row r="69" spans="1:214" x14ac:dyDescent="0.25">
      <c r="A69" s="32" t="s">
        <v>292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>
        <v>3.7450693982110581E-2</v>
      </c>
      <c r="AL69" s="31">
        <v>0.13847035928608156</v>
      </c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>
        <v>2.5741910779929579E-2</v>
      </c>
      <c r="DA69" s="31">
        <v>0.15625205402365391</v>
      </c>
      <c r="DB69" s="31">
        <v>0.3924311847536941</v>
      </c>
      <c r="DC69" s="31">
        <v>1.2658461069339393</v>
      </c>
      <c r="DD69" s="31">
        <v>2.8951632378076764</v>
      </c>
      <c r="DE69" s="31"/>
      <c r="DF69" s="31">
        <v>2.1054123251966542E-2</v>
      </c>
      <c r="DG69" s="31">
        <v>2.7912399980310278E-2</v>
      </c>
      <c r="DH69" s="31">
        <v>9.4961976214917698E-2</v>
      </c>
      <c r="DI69" s="31">
        <v>1.0646285478180035</v>
      </c>
      <c r="DJ69" s="31">
        <v>1.696815380206743E-2</v>
      </c>
      <c r="DK69" s="31">
        <v>3.1286403753543204E-2</v>
      </c>
      <c r="DL69" s="31">
        <v>0.20849520998327081</v>
      </c>
      <c r="DM69" s="31">
        <v>0.75100001480511858</v>
      </c>
      <c r="DN69" s="31">
        <v>37.111015941905791</v>
      </c>
      <c r="DO69" s="31"/>
      <c r="DP69" s="31"/>
      <c r="DQ69" s="31"/>
      <c r="DR69" s="31"/>
      <c r="DS69" s="31"/>
      <c r="DT69" s="31"/>
      <c r="DU69" s="31">
        <v>44.238678319082069</v>
      </c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</row>
    <row r="70" spans="1:214" x14ac:dyDescent="0.25">
      <c r="A70" s="32" t="s">
        <v>293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>
        <v>5.0164908856508337</v>
      </c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>
        <v>1.9928938228712973</v>
      </c>
      <c r="AL70" s="31">
        <v>7.3291350978030989</v>
      </c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>
        <v>3.9799703117797476</v>
      </c>
      <c r="DA70" s="31">
        <v>6.9682787111780646</v>
      </c>
      <c r="DB70" s="31">
        <v>10.225512127486086</v>
      </c>
      <c r="DC70" s="31">
        <v>15.282409766455698</v>
      </c>
      <c r="DD70" s="31">
        <v>14.964950069379679</v>
      </c>
      <c r="DE70" s="31">
        <v>0.83784388629508888</v>
      </c>
      <c r="DF70" s="31">
        <v>1.4129162393795318</v>
      </c>
      <c r="DG70" s="31">
        <v>1.7550301125345835</v>
      </c>
      <c r="DH70" s="31">
        <v>2.2508181442129431</v>
      </c>
      <c r="DI70" s="31">
        <v>3.024370023365277</v>
      </c>
      <c r="DJ70" s="31">
        <v>0.57017479976245367</v>
      </c>
      <c r="DK70" s="31">
        <v>1.2915371699660052</v>
      </c>
      <c r="DL70" s="31">
        <v>2.2281863968744755</v>
      </c>
      <c r="DM70" s="31">
        <v>4.1441267732582894</v>
      </c>
      <c r="DN70" s="31">
        <v>26.289546789549661</v>
      </c>
      <c r="DO70" s="31"/>
      <c r="DP70" s="31"/>
      <c r="DQ70" s="31"/>
      <c r="DR70" s="31"/>
      <c r="DS70" s="31"/>
      <c r="DT70" s="31"/>
      <c r="DU70" s="31">
        <v>109.56419112780283</v>
      </c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</row>
    <row r="71" spans="1:214" x14ac:dyDescent="0.25">
      <c r="A71" s="32" t="s">
        <v>291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>
        <v>0.67875776233330909</v>
      </c>
      <c r="AL71" s="31">
        <v>2.5449546220134081</v>
      </c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>
        <v>0.18501356157196674</v>
      </c>
      <c r="DA71" s="31">
        <v>0.44252413048447975</v>
      </c>
      <c r="DB71" s="31">
        <v>0.82860759859665334</v>
      </c>
      <c r="DC71" s="31">
        <v>1.8097728823392556</v>
      </c>
      <c r="DD71" s="31">
        <v>2.8274095053106683</v>
      </c>
      <c r="DE71" s="31">
        <v>5.5618926495063559E-2</v>
      </c>
      <c r="DF71" s="31">
        <v>0.11571258355928067</v>
      </c>
      <c r="DG71" s="31">
        <v>0.19440160441085827</v>
      </c>
      <c r="DH71" s="31">
        <v>0.23524752977919602</v>
      </c>
      <c r="DI71" s="31">
        <v>0.72242376116035112</v>
      </c>
      <c r="DJ71" s="31">
        <v>6.6980269172461967E-3</v>
      </c>
      <c r="DK71" s="31">
        <v>6.9148773979829353E-2</v>
      </c>
      <c r="DL71" s="31">
        <v>0.11769390862304779</v>
      </c>
      <c r="DM71" s="31">
        <v>0.26339892707613055</v>
      </c>
      <c r="DN71" s="31">
        <v>9.2745340972055104</v>
      </c>
      <c r="DO71" s="31"/>
      <c r="DP71" s="31"/>
      <c r="DQ71" s="31"/>
      <c r="DR71" s="31"/>
      <c r="DS71" s="31"/>
      <c r="DT71" s="31"/>
      <c r="DU71" s="31">
        <v>20.371918201856253</v>
      </c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</row>
    <row r="72" spans="1:214" x14ac:dyDescent="0.25">
      <c r="A72" s="32" t="s">
        <v>186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>
        <v>53.286805455552127</v>
      </c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>
        <v>0.39105641394457613</v>
      </c>
      <c r="AL72" s="31">
        <v>1.4137391558850139</v>
      </c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>
        <v>6.7101614496970496</v>
      </c>
      <c r="DA72" s="31">
        <v>9.1164499510699812</v>
      </c>
      <c r="DB72" s="31">
        <v>12.122151657308498</v>
      </c>
      <c r="DC72" s="31">
        <v>18.269509507160109</v>
      </c>
      <c r="DD72" s="31">
        <v>18.313719292191823</v>
      </c>
      <c r="DE72" s="31">
        <v>1.6341303094429189</v>
      </c>
      <c r="DF72" s="31">
        <v>2.1342829297639399</v>
      </c>
      <c r="DG72" s="31">
        <v>2.2616671462560278</v>
      </c>
      <c r="DH72" s="31">
        <v>2.8003277571754674</v>
      </c>
      <c r="DI72" s="31">
        <v>3.3990166888203679</v>
      </c>
      <c r="DJ72" s="31">
        <v>0.95087392197782672</v>
      </c>
      <c r="DK72" s="31">
        <v>1.9416742597120982</v>
      </c>
      <c r="DL72" s="31">
        <v>2.9933354463969417</v>
      </c>
      <c r="DM72" s="31">
        <v>6.1289787859038762</v>
      </c>
      <c r="DN72" s="31">
        <v>33.463332378834828</v>
      </c>
      <c r="DO72" s="31"/>
      <c r="DP72" s="31"/>
      <c r="DQ72" s="31"/>
      <c r="DR72" s="31"/>
      <c r="DS72" s="31"/>
      <c r="DT72" s="31"/>
      <c r="DU72" s="31">
        <v>177.33121250709348</v>
      </c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</row>
    <row r="73" spans="1:214" x14ac:dyDescent="0.25">
      <c r="A73" s="32" t="s">
        <v>684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>
        <v>0.68435962853113574</v>
      </c>
      <c r="S73" s="31"/>
      <c r="T73" s="31">
        <v>0.23598559240833203</v>
      </c>
      <c r="U73" s="31"/>
      <c r="V73" s="31">
        <v>89.814412447605562</v>
      </c>
      <c r="W73" s="31"/>
      <c r="X73" s="31"/>
      <c r="Y73" s="31"/>
      <c r="Z73" s="31"/>
      <c r="AA73" s="31"/>
      <c r="AB73" s="31"/>
      <c r="AC73" s="31"/>
      <c r="AD73" s="31"/>
      <c r="AE73" s="31">
        <v>1.0899573840187938E-2</v>
      </c>
      <c r="AF73" s="31"/>
      <c r="AG73" s="31"/>
      <c r="AH73" s="31">
        <v>0.22607678051036523</v>
      </c>
      <c r="AI73" s="31"/>
      <c r="AJ73" s="31"/>
      <c r="AK73" s="31">
        <v>42.548719739262566</v>
      </c>
      <c r="AL73" s="31">
        <v>151.81663127706852</v>
      </c>
      <c r="AM73" s="31"/>
      <c r="AN73" s="31"/>
      <c r="AO73" s="31"/>
      <c r="AP73" s="31"/>
      <c r="AQ73" s="31"/>
      <c r="AR73" s="31"/>
      <c r="AS73" s="31"/>
      <c r="AT73" s="31">
        <v>0.60740249186448736</v>
      </c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>
        <v>16.056954656401267</v>
      </c>
      <c r="DA73" s="31">
        <v>26.878492964834258</v>
      </c>
      <c r="DB73" s="31">
        <v>40.727030518786485</v>
      </c>
      <c r="DC73" s="31">
        <v>63.19004672724563</v>
      </c>
      <c r="DD73" s="31">
        <v>86.411487977532829</v>
      </c>
      <c r="DE73" s="31">
        <v>3.5671098683101063</v>
      </c>
      <c r="DF73" s="31">
        <v>5.625640653585835</v>
      </c>
      <c r="DG73" s="31">
        <v>7.4791135398837874</v>
      </c>
      <c r="DH73" s="31">
        <v>10.751017766540627</v>
      </c>
      <c r="DI73" s="31">
        <v>15.164868067772279</v>
      </c>
      <c r="DJ73" s="31">
        <v>1.6616656817789648</v>
      </c>
      <c r="DK73" s="31">
        <v>3.8003876701919683</v>
      </c>
      <c r="DL73" s="31">
        <v>7.66377495823179</v>
      </c>
      <c r="DM73" s="31">
        <v>16.064734619628069</v>
      </c>
      <c r="DN73" s="31">
        <v>222.99700003480086</v>
      </c>
      <c r="DO73" s="31"/>
      <c r="DP73" s="31"/>
      <c r="DQ73" s="31"/>
      <c r="DR73" s="31"/>
      <c r="DS73" s="31"/>
      <c r="DT73" s="31">
        <v>57.60112629077701</v>
      </c>
      <c r="DU73" s="31">
        <v>871.58493952739286</v>
      </c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</row>
    <row r="74" spans="1:214" x14ac:dyDescent="0.25">
      <c r="A74" s="32" t="s">
        <v>685</v>
      </c>
      <c r="B74" s="31"/>
      <c r="C74" s="31"/>
      <c r="D74" s="31"/>
      <c r="E74" s="31"/>
      <c r="F74" s="31"/>
      <c r="G74" s="31"/>
      <c r="H74" s="31"/>
      <c r="I74" s="31"/>
      <c r="J74" s="31">
        <v>17.648922413554146</v>
      </c>
      <c r="K74" s="31">
        <v>8.2332198386402009</v>
      </c>
      <c r="L74" s="31"/>
      <c r="M74" s="31">
        <v>1.0264107694553362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>
        <v>0.41828540234461126</v>
      </c>
      <c r="AL74" s="31">
        <v>1.5369230892989767</v>
      </c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>
        <v>0.95090287523729133</v>
      </c>
      <c r="DA74" s="31">
        <v>1.6011533022223414</v>
      </c>
      <c r="DB74" s="31">
        <v>2.3500116728832001</v>
      </c>
      <c r="DC74" s="31">
        <v>3.1670134245845132</v>
      </c>
      <c r="DD74" s="31">
        <v>2.0097710881814694</v>
      </c>
      <c r="DE74" s="31">
        <v>0.15452340551503085</v>
      </c>
      <c r="DF74" s="31">
        <v>0.34357123072661189</v>
      </c>
      <c r="DG74" s="31">
        <v>0.36590323653568352</v>
      </c>
      <c r="DH74" s="31">
        <v>0.38730183525126449</v>
      </c>
      <c r="DI74" s="31">
        <v>0.32319005761734004</v>
      </c>
      <c r="DJ74" s="31">
        <v>0.33377582950642348</v>
      </c>
      <c r="DK74" s="31">
        <v>0.40020776847670247</v>
      </c>
      <c r="DL74" s="31">
        <v>1.0581355889864352</v>
      </c>
      <c r="DM74" s="31">
        <v>1.2907555153995696</v>
      </c>
      <c r="DN74" s="31">
        <v>7.2885293492827214</v>
      </c>
      <c r="DO74" s="31"/>
      <c r="DP74" s="31"/>
      <c r="DQ74" s="31"/>
      <c r="DR74" s="31"/>
      <c r="DS74" s="31"/>
      <c r="DT74" s="31"/>
      <c r="DU74" s="31">
        <v>50.888507693699857</v>
      </c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</row>
    <row r="75" spans="1:214" x14ac:dyDescent="0.25">
      <c r="A75" s="32" t="s">
        <v>187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>
        <v>3.3609127190514349E-3</v>
      </c>
      <c r="O75" s="31">
        <v>0.19852274725539737</v>
      </c>
      <c r="P75" s="31"/>
      <c r="Q75" s="31"/>
      <c r="R75" s="31"/>
      <c r="S75" s="31"/>
      <c r="T75" s="31"/>
      <c r="U75" s="31"/>
      <c r="V75" s="31"/>
      <c r="W75" s="31"/>
      <c r="X75" s="31">
        <v>28.627956435065656</v>
      </c>
      <c r="Y75" s="31"/>
      <c r="Z75" s="31"/>
      <c r="AA75" s="31"/>
      <c r="AB75" s="31"/>
      <c r="AC75" s="31"/>
      <c r="AD75" s="31">
        <v>2.8203503416784952</v>
      </c>
      <c r="AE75" s="31"/>
      <c r="AF75" s="31">
        <v>0.10183900330162785</v>
      </c>
      <c r="AG75" s="31"/>
      <c r="AH75" s="31">
        <v>5.3255095617626642</v>
      </c>
      <c r="AI75" s="31"/>
      <c r="AJ75" s="31">
        <v>2.7273064794687301</v>
      </c>
      <c r="AK75" s="31">
        <v>2.2902585533440805</v>
      </c>
      <c r="AL75" s="31">
        <v>8.452315028942003</v>
      </c>
      <c r="AM75" s="31">
        <v>6.2229115399153949</v>
      </c>
      <c r="AN75" s="31">
        <v>8.0080453887108174</v>
      </c>
      <c r="AO75" s="31"/>
      <c r="AP75" s="31">
        <v>10.328617629224523</v>
      </c>
      <c r="AQ75" s="31">
        <v>9.0461956482251846</v>
      </c>
      <c r="AR75" s="31">
        <v>3.1075683136144181</v>
      </c>
      <c r="AS75" s="31">
        <v>2.2338982678210113E-2</v>
      </c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>
        <v>13.152642166509573</v>
      </c>
      <c r="DA75" s="31">
        <v>22.164772393852495</v>
      </c>
      <c r="DB75" s="31">
        <v>32.345699881319746</v>
      </c>
      <c r="DC75" s="31">
        <v>46.243383895115905</v>
      </c>
      <c r="DD75" s="31">
        <v>52.622714852210528</v>
      </c>
      <c r="DE75" s="31">
        <v>3.0360187181960736</v>
      </c>
      <c r="DF75" s="31">
        <v>4.5041248896312256</v>
      </c>
      <c r="DG75" s="31">
        <v>5.5424245868851125</v>
      </c>
      <c r="DH75" s="31">
        <v>7.3506884350232395</v>
      </c>
      <c r="DI75" s="31">
        <v>9.032960147916226</v>
      </c>
      <c r="DJ75" s="31">
        <v>1.2272681530127381</v>
      </c>
      <c r="DK75" s="31">
        <v>2.6945780755435655</v>
      </c>
      <c r="DL75" s="31">
        <v>5.2739212972027421</v>
      </c>
      <c r="DM75" s="31">
        <v>11.615766934821135</v>
      </c>
      <c r="DN75" s="31">
        <v>142.80202914734255</v>
      </c>
      <c r="DO75" s="31"/>
      <c r="DP75" s="31"/>
      <c r="DQ75" s="31"/>
      <c r="DR75" s="31"/>
      <c r="DS75" s="31"/>
      <c r="DT75" s="31"/>
      <c r="DU75" s="31">
        <v>446.89209014048902</v>
      </c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</row>
    <row r="76" spans="1:214" x14ac:dyDescent="0.25">
      <c r="A76" s="32" t="s">
        <v>188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>
        <v>1.356400474149367E-2</v>
      </c>
      <c r="O76" s="31">
        <v>0.45428766107168222</v>
      </c>
      <c r="P76" s="31">
        <v>0.56183588039742338</v>
      </c>
      <c r="Q76" s="31">
        <v>5.9299514545939919E-3</v>
      </c>
      <c r="R76" s="31">
        <v>3.6890378752726045</v>
      </c>
      <c r="S76" s="31">
        <v>8.0770438762759866E-3</v>
      </c>
      <c r="T76" s="31">
        <v>1.3377990443097534</v>
      </c>
      <c r="U76" s="31">
        <v>1.2826429012155529</v>
      </c>
      <c r="V76" s="31">
        <v>13.187784695551143</v>
      </c>
      <c r="W76" s="31"/>
      <c r="X76" s="31">
        <v>0.66640372426642858</v>
      </c>
      <c r="Y76" s="31">
        <v>14.062871266288237</v>
      </c>
      <c r="Z76" s="31">
        <v>2.7583198142042993E-6</v>
      </c>
      <c r="AA76" s="31">
        <v>2.5797940600740996</v>
      </c>
      <c r="AB76" s="31">
        <v>0.25246375724547504</v>
      </c>
      <c r="AC76" s="31">
        <v>0.1000695823280625</v>
      </c>
      <c r="AD76" s="31">
        <v>9.8671822094532242</v>
      </c>
      <c r="AE76" s="31">
        <v>5.1637602422688438E-2</v>
      </c>
      <c r="AF76" s="31">
        <v>0.22309559420806424</v>
      </c>
      <c r="AG76" s="31">
        <v>0.11208234301223259</v>
      </c>
      <c r="AH76" s="31">
        <v>50.648008321642394</v>
      </c>
      <c r="AI76" s="31">
        <v>1.2031684929909146</v>
      </c>
      <c r="AJ76" s="31">
        <v>3.9637416070055154</v>
      </c>
      <c r="AK76" s="31">
        <v>0.37574664232578248</v>
      </c>
      <c r="AL76" s="31">
        <v>1.3875222743765214</v>
      </c>
      <c r="AM76" s="31">
        <v>8.7075059176973488E-2</v>
      </c>
      <c r="AN76" s="31">
        <v>2.2872250374297385E-3</v>
      </c>
      <c r="AO76" s="31">
        <v>0.2258860625409278</v>
      </c>
      <c r="AP76" s="31">
        <v>1.9482301167823208</v>
      </c>
      <c r="AQ76" s="31">
        <v>14.334300130270352</v>
      </c>
      <c r="AR76" s="31">
        <v>13.32433087513845</v>
      </c>
      <c r="AS76" s="31">
        <v>3.2263364318201551</v>
      </c>
      <c r="AT76" s="31">
        <v>9.5750041518872244</v>
      </c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>
        <v>0.45978841425953215</v>
      </c>
      <c r="DA76" s="31">
        <v>0.77380942467927227</v>
      </c>
      <c r="DB76" s="31">
        <v>2.7834335486443726</v>
      </c>
      <c r="DC76" s="31">
        <v>3.4207354299850996</v>
      </c>
      <c r="DD76" s="31">
        <v>5.2584010508267989</v>
      </c>
      <c r="DE76" s="31">
        <v>5.0050955029932634E-2</v>
      </c>
      <c r="DF76" s="31">
        <v>0.22319252993795835</v>
      </c>
      <c r="DG76" s="31">
        <v>0.29253178120731327</v>
      </c>
      <c r="DH76" s="31">
        <v>0.43835986115962933</v>
      </c>
      <c r="DI76" s="31">
        <v>1.0601161249664199</v>
      </c>
      <c r="DJ76" s="31">
        <v>8.2427248674790593E-2</v>
      </c>
      <c r="DK76" s="31">
        <v>0.15247151729749864</v>
      </c>
      <c r="DL76" s="31">
        <v>0.37101678456765419</v>
      </c>
      <c r="DM76" s="31">
        <v>1.336290309266277</v>
      </c>
      <c r="DN76" s="31">
        <v>22.697335817496537</v>
      </c>
      <c r="DO76" s="31"/>
      <c r="DP76" s="31"/>
      <c r="DQ76" s="31"/>
      <c r="DR76" s="31"/>
      <c r="DS76" s="31">
        <v>0.28980168208933432</v>
      </c>
      <c r="DT76" s="31"/>
      <c r="DU76" s="31">
        <v>188.44796182659223</v>
      </c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</row>
    <row r="77" spans="1:214" x14ac:dyDescent="0.25">
      <c r="A77" s="32" t="s">
        <v>189</v>
      </c>
      <c r="B77" s="31">
        <v>0.24234109154458477</v>
      </c>
      <c r="C77" s="31">
        <v>6.7082951000099226E-3</v>
      </c>
      <c r="D77" s="31">
        <v>0.21025715911686024</v>
      </c>
      <c r="E77" s="31">
        <v>9.4344147651733171E-2</v>
      </c>
      <c r="F77" s="31">
        <v>2.7694826238982779E-3</v>
      </c>
      <c r="G77" s="31">
        <v>3.6291478467325362</v>
      </c>
      <c r="H77" s="31">
        <v>1.6656804949964639E-2</v>
      </c>
      <c r="I77" s="31">
        <v>7.4480762876950837E-2</v>
      </c>
      <c r="J77" s="31">
        <v>0.54514667723772714</v>
      </c>
      <c r="K77" s="31">
        <v>2.9171732725670516</v>
      </c>
      <c r="L77" s="31">
        <v>20.686124776831587</v>
      </c>
      <c r="M77" s="31">
        <v>0.21398859125714187</v>
      </c>
      <c r="N77" s="31">
        <v>0.24292138496789667</v>
      </c>
      <c r="O77" s="31">
        <v>11.520402344255164</v>
      </c>
      <c r="P77" s="31">
        <v>1.4759348882968535</v>
      </c>
      <c r="Q77" s="31">
        <v>1.56026825831183E-2</v>
      </c>
      <c r="R77" s="31">
        <v>0.81081100964093189</v>
      </c>
      <c r="S77" s="31">
        <v>2.5405062052303586</v>
      </c>
      <c r="T77" s="31">
        <v>1.2035334936099882</v>
      </c>
      <c r="U77" s="31">
        <v>0.94288503227286125</v>
      </c>
      <c r="V77" s="31">
        <v>16.99192813706054</v>
      </c>
      <c r="W77" s="31"/>
      <c r="X77" s="31">
        <v>1.0979673813949007</v>
      </c>
      <c r="Y77" s="31">
        <v>0.35775245744470074</v>
      </c>
      <c r="Z77" s="31">
        <v>2.274673337589784E-5</v>
      </c>
      <c r="AA77" s="31">
        <v>3.4138896070076368</v>
      </c>
      <c r="AB77" s="31">
        <v>14.593297153201382</v>
      </c>
      <c r="AC77" s="31">
        <v>1.4496411188681821</v>
      </c>
      <c r="AD77" s="31">
        <v>3.8790232798451822</v>
      </c>
      <c r="AE77" s="31"/>
      <c r="AF77" s="31">
        <v>84.722280660524504</v>
      </c>
      <c r="AG77" s="31">
        <v>3.621958989820381</v>
      </c>
      <c r="AH77" s="31">
        <v>49.221062798290703</v>
      </c>
      <c r="AI77" s="31">
        <v>9.1529913482145009</v>
      </c>
      <c r="AJ77" s="31">
        <v>219.02262596823613</v>
      </c>
      <c r="AK77" s="31">
        <v>1.3160053495321997</v>
      </c>
      <c r="AL77" s="31">
        <v>4.8482584521964478</v>
      </c>
      <c r="AM77" s="31">
        <v>13.278607619500189</v>
      </c>
      <c r="AN77" s="31">
        <v>1.1909680912710439</v>
      </c>
      <c r="AO77" s="31">
        <v>0.4875004795276765</v>
      </c>
      <c r="AP77" s="31">
        <v>4.0416422760646622</v>
      </c>
      <c r="AQ77" s="31">
        <v>80.087566801257694</v>
      </c>
      <c r="AR77" s="31">
        <v>7.7256428615447694</v>
      </c>
      <c r="AS77" s="31">
        <v>3.7784331285220394</v>
      </c>
      <c r="AT77" s="31">
        <v>14.958969819437385</v>
      </c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>
        <v>0.34341211309980885</v>
      </c>
      <c r="DA77" s="31">
        <v>0.47429724740151546</v>
      </c>
      <c r="DB77" s="31">
        <v>0.75450406361694955</v>
      </c>
      <c r="DC77" s="31">
        <v>1.9943355471165021</v>
      </c>
      <c r="DD77" s="31">
        <v>8.2405276108441914</v>
      </c>
      <c r="DE77" s="31">
        <v>5.8536622143598532E-2</v>
      </c>
      <c r="DF77" s="31">
        <v>5.2557355714376586E-2</v>
      </c>
      <c r="DG77" s="31">
        <v>9.2985021574413726E-2</v>
      </c>
      <c r="DH77" s="31">
        <v>0.25585851099929635</v>
      </c>
      <c r="DI77" s="31">
        <v>1.414491290031036</v>
      </c>
      <c r="DJ77" s="31">
        <v>8.563653943856378E-2</v>
      </c>
      <c r="DK77" s="31">
        <v>9.1569380347183094E-2</v>
      </c>
      <c r="DL77" s="31">
        <v>0.16222536123073061</v>
      </c>
      <c r="DM77" s="31">
        <v>0.14501447080694549</v>
      </c>
      <c r="DN77" s="31">
        <v>72.198178731103908</v>
      </c>
      <c r="DO77" s="31"/>
      <c r="DP77" s="31"/>
      <c r="DQ77" s="31"/>
      <c r="DR77" s="31"/>
      <c r="DS77" s="31"/>
      <c r="DT77" s="31"/>
      <c r="DU77" s="31">
        <v>672.9939023403125</v>
      </c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</row>
    <row r="78" spans="1:214" x14ac:dyDescent="0.25">
      <c r="A78" s="32" t="s">
        <v>190</v>
      </c>
      <c r="B78" s="31">
        <v>7.7807633737351587</v>
      </c>
      <c r="C78" s="31">
        <v>4.6454324263600197</v>
      </c>
      <c r="D78" s="31">
        <v>3.1222585989805882</v>
      </c>
      <c r="E78" s="31">
        <v>2.3504585976573642</v>
      </c>
      <c r="F78" s="31">
        <v>1.9205131586532795</v>
      </c>
      <c r="G78" s="31">
        <v>9.8585790827928967</v>
      </c>
      <c r="H78" s="31">
        <v>7.8216857706206996E-2</v>
      </c>
      <c r="I78" s="31">
        <v>1.1264914541816629</v>
      </c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>
        <v>2.6346071455085663E-3</v>
      </c>
      <c r="AR78" s="31"/>
      <c r="AS78" s="31">
        <v>87.445031785544074</v>
      </c>
      <c r="AT78" s="31">
        <v>4.402287826870453E-4</v>
      </c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>
        <v>118.33082017153946</v>
      </c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</row>
    <row r="79" spans="1:214" x14ac:dyDescent="0.25">
      <c r="A79" s="32" t="s">
        <v>191</v>
      </c>
      <c r="B79" s="31">
        <v>0.74512631376234051</v>
      </c>
      <c r="C79" s="31">
        <v>0.38463877916769756</v>
      </c>
      <c r="D79" s="31">
        <v>5.4882465523310042</v>
      </c>
      <c r="E79" s="31">
        <v>25.19302800126809</v>
      </c>
      <c r="F79" s="31">
        <v>0.1588231307383553</v>
      </c>
      <c r="G79" s="31">
        <v>35.889598085742698</v>
      </c>
      <c r="H79" s="31">
        <v>0.37728490730020559</v>
      </c>
      <c r="I79" s="31">
        <v>4.5407872221499721</v>
      </c>
      <c r="J79" s="31">
        <v>7.4880922282330134E-2</v>
      </c>
      <c r="K79" s="31">
        <v>0.40199582915411514</v>
      </c>
      <c r="L79" s="31"/>
      <c r="M79" s="31">
        <v>1.9881313185712891E-2</v>
      </c>
      <c r="N79" s="31">
        <v>0.39295027725664766</v>
      </c>
      <c r="O79" s="31">
        <v>12.291036360626853</v>
      </c>
      <c r="P79" s="31">
        <v>0.12059553550765742</v>
      </c>
      <c r="Q79" s="31">
        <v>1.2716013408688191E-3</v>
      </c>
      <c r="R79" s="31">
        <v>1.0037016118466491</v>
      </c>
      <c r="S79" s="31">
        <v>0.89754895722956352</v>
      </c>
      <c r="T79" s="31">
        <v>0.63039075289516522</v>
      </c>
      <c r="U79" s="31">
        <v>0.10909259973716194</v>
      </c>
      <c r="V79" s="31">
        <v>22.717630379575031</v>
      </c>
      <c r="W79" s="31">
        <v>0.88444849835321659</v>
      </c>
      <c r="X79" s="31">
        <v>14.528508149348047</v>
      </c>
      <c r="Y79" s="31">
        <v>4.9501636920927519</v>
      </c>
      <c r="Z79" s="31"/>
      <c r="AA79" s="31">
        <v>3.2288273844711712</v>
      </c>
      <c r="AB79" s="31">
        <v>5.830744655754172</v>
      </c>
      <c r="AC79" s="31">
        <v>5.2880703306594943E-3</v>
      </c>
      <c r="AD79" s="31">
        <v>5.8163454232412413</v>
      </c>
      <c r="AE79" s="31">
        <v>4.4285224518847635</v>
      </c>
      <c r="AF79" s="31"/>
      <c r="AG79" s="31">
        <v>2.1231438622274603</v>
      </c>
      <c r="AH79" s="31">
        <v>129.77963665476224</v>
      </c>
      <c r="AI79" s="31">
        <v>16.90227107858863</v>
      </c>
      <c r="AJ79" s="31">
        <v>61.830901059062647</v>
      </c>
      <c r="AK79" s="31">
        <v>0.38655522815370497</v>
      </c>
      <c r="AL79" s="31">
        <v>1.4263121850712788</v>
      </c>
      <c r="AM79" s="31"/>
      <c r="AN79" s="31"/>
      <c r="AO79" s="31"/>
      <c r="AP79" s="31"/>
      <c r="AQ79" s="31">
        <v>3.3225417387422014</v>
      </c>
      <c r="AR79" s="31">
        <v>2.3027188865594298E-2</v>
      </c>
      <c r="AS79" s="31">
        <v>2.5858491776437265</v>
      </c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>
        <v>6.7813852639311731</v>
      </c>
      <c r="DA79" s="31">
        <v>10.54782466108753</v>
      </c>
      <c r="DB79" s="31">
        <v>15.086033966488808</v>
      </c>
      <c r="DC79" s="31">
        <v>18.177265414013853</v>
      </c>
      <c r="DD79" s="31">
        <v>16.540063811728324</v>
      </c>
      <c r="DE79" s="31">
        <v>1.3409173362989857</v>
      </c>
      <c r="DF79" s="31">
        <v>2.1681749460412858</v>
      </c>
      <c r="DG79" s="31">
        <v>2.529598877432595</v>
      </c>
      <c r="DH79" s="31">
        <v>2.7790332358199934</v>
      </c>
      <c r="DI79" s="31">
        <v>3.2033960371472467</v>
      </c>
      <c r="DJ79" s="31">
        <v>0.84983886360796523</v>
      </c>
      <c r="DK79" s="31">
        <v>1.7103982845847776</v>
      </c>
      <c r="DL79" s="31">
        <v>2.7923394628426244</v>
      </c>
      <c r="DM79" s="31">
        <v>5.0977823868050374</v>
      </c>
      <c r="DN79" s="31">
        <v>44.071376582733826</v>
      </c>
      <c r="DO79" s="31"/>
      <c r="DP79" s="31"/>
      <c r="DQ79" s="31"/>
      <c r="DR79" s="31"/>
      <c r="DS79" s="31"/>
      <c r="DT79" s="31">
        <v>89.468848322156873</v>
      </c>
      <c r="DU79" s="31">
        <v>592.63587308441231</v>
      </c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</row>
    <row r="80" spans="1:214" x14ac:dyDescent="0.25">
      <c r="A80" s="32" t="s">
        <v>192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>
        <v>1.7828497315893421</v>
      </c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>
        <v>8.076694552803712</v>
      </c>
      <c r="AG80" s="31"/>
      <c r="AH80" s="31">
        <v>139.96952045224569</v>
      </c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>
        <v>0.6543246547709346</v>
      </c>
      <c r="DA80" s="31">
        <v>0.99576985114108363</v>
      </c>
      <c r="DB80" s="31">
        <v>1.598141121988633</v>
      </c>
      <c r="DC80" s="31">
        <v>2.4447192629357155</v>
      </c>
      <c r="DD80" s="31">
        <v>3.2281565554995093</v>
      </c>
      <c r="DE80" s="31">
        <v>0.12832104536749472</v>
      </c>
      <c r="DF80" s="31">
        <v>0.20114911562720944</v>
      </c>
      <c r="DG80" s="31">
        <v>0.2783025144552097</v>
      </c>
      <c r="DH80" s="31">
        <v>0.40855337384118456</v>
      </c>
      <c r="DI80" s="31">
        <v>0.64506846029183873</v>
      </c>
      <c r="DJ80" s="31">
        <v>5.9371122208223902E-2</v>
      </c>
      <c r="DK80" s="31">
        <v>0.12436287411042922</v>
      </c>
      <c r="DL80" s="31">
        <v>0.26380035819663272</v>
      </c>
      <c r="DM80" s="31">
        <v>0.60263603793539855</v>
      </c>
      <c r="DN80" s="31">
        <v>8.1987305094702254</v>
      </c>
      <c r="DO80" s="31"/>
      <c r="DP80" s="31"/>
      <c r="DQ80" s="31"/>
      <c r="DR80" s="31"/>
      <c r="DS80" s="31"/>
      <c r="DT80" s="31">
        <v>48.838450690011385</v>
      </c>
      <c r="DU80" s="31">
        <v>218.49892228448988</v>
      </c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</row>
    <row r="81" spans="1:214" x14ac:dyDescent="0.25">
      <c r="A81" s="32" t="s">
        <v>193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>
        <v>6.0832321410376746E-3</v>
      </c>
      <c r="O81" s="31">
        <v>0.1854816743038713</v>
      </c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>
        <v>12.783129322840493</v>
      </c>
      <c r="AC81" s="31">
        <v>31.753556401386994</v>
      </c>
      <c r="AD81" s="31">
        <v>2.2870475575770755</v>
      </c>
      <c r="AE81" s="31">
        <v>0.50234887596860212</v>
      </c>
      <c r="AF81" s="31">
        <v>8.4697875165625103</v>
      </c>
      <c r="AG81" s="31"/>
      <c r="AH81" s="31">
        <v>377.18589330544756</v>
      </c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>
        <v>0.21656609556452419</v>
      </c>
      <c r="DA81" s="31">
        <v>0.3708786109731243</v>
      </c>
      <c r="DB81" s="31">
        <v>0.51803141119825713</v>
      </c>
      <c r="DC81" s="31">
        <v>0.73128068174426986</v>
      </c>
      <c r="DD81" s="31">
        <v>0.80877195286966186</v>
      </c>
      <c r="DE81" s="31">
        <v>4.6113534373087656E-2</v>
      </c>
      <c r="DF81" s="31">
        <v>7.0889709826979369E-2</v>
      </c>
      <c r="DG81" s="31">
        <v>9.5743153438441558E-2</v>
      </c>
      <c r="DH81" s="31">
        <v>0.13476243876458682</v>
      </c>
      <c r="DI81" s="31">
        <v>0.17838241547385739</v>
      </c>
      <c r="DJ81" s="31">
        <v>1.6860149464911475E-2</v>
      </c>
      <c r="DK81" s="31">
        <v>3.1591256427682561E-2</v>
      </c>
      <c r="DL81" s="31">
        <v>6.2688548651930381E-2</v>
      </c>
      <c r="DM81" s="31">
        <v>0.2202794994428568</v>
      </c>
      <c r="DN81" s="31">
        <v>1.9903853994843548</v>
      </c>
      <c r="DO81" s="31"/>
      <c r="DP81" s="31"/>
      <c r="DQ81" s="31"/>
      <c r="DR81" s="31"/>
      <c r="DS81" s="31"/>
      <c r="DT81" s="31"/>
      <c r="DU81" s="31">
        <v>438.66655274392673</v>
      </c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</row>
    <row r="82" spans="1:214" x14ac:dyDescent="0.25">
      <c r="A82" s="32" t="s">
        <v>194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>
        <v>4.447614218564138E-3</v>
      </c>
      <c r="O82" s="31">
        <v>0.16123411341523353</v>
      </c>
      <c r="P82" s="31">
        <v>0.17683865072761579</v>
      </c>
      <c r="Q82" s="31">
        <v>1.8647253549348593E-3</v>
      </c>
      <c r="R82" s="31">
        <v>0.59182714475775855</v>
      </c>
      <c r="S82" s="31"/>
      <c r="T82" s="31"/>
      <c r="U82" s="31">
        <v>0.26069773509734012</v>
      </c>
      <c r="V82" s="31">
        <v>8.2114889605475838</v>
      </c>
      <c r="W82" s="31">
        <v>0.93453830325397136</v>
      </c>
      <c r="X82" s="31">
        <v>3.2603205055646183</v>
      </c>
      <c r="Y82" s="31">
        <v>0.34225326569898978</v>
      </c>
      <c r="Z82" s="31">
        <v>2.2009215761104735E-5</v>
      </c>
      <c r="AA82" s="31">
        <v>2.320521455016888</v>
      </c>
      <c r="AB82" s="31">
        <v>0.23142026870243651</v>
      </c>
      <c r="AC82" s="31">
        <v>0.96775925951865438</v>
      </c>
      <c r="AD82" s="31">
        <v>11.396362764480664</v>
      </c>
      <c r="AE82" s="31">
        <v>0.30861966844188227</v>
      </c>
      <c r="AF82" s="31">
        <v>0.90877760356683379</v>
      </c>
      <c r="AG82" s="31">
        <v>7.3011830828751467</v>
      </c>
      <c r="AH82" s="31">
        <v>99.828901473006567</v>
      </c>
      <c r="AI82" s="31">
        <v>315.9185188554282</v>
      </c>
      <c r="AJ82" s="31">
        <v>4.018810858170295</v>
      </c>
      <c r="AK82" s="31">
        <v>0.64422841024080613</v>
      </c>
      <c r="AL82" s="31">
        <v>2.3790688538372753</v>
      </c>
      <c r="AM82" s="31">
        <v>0.18101996522923133</v>
      </c>
      <c r="AN82" s="31"/>
      <c r="AO82" s="31">
        <v>0.27030524239782766</v>
      </c>
      <c r="AP82" s="31">
        <v>6.2900758256934335</v>
      </c>
      <c r="AQ82" s="31">
        <v>10.8629217398564</v>
      </c>
      <c r="AR82" s="31">
        <v>2.1243634766128241</v>
      </c>
      <c r="AS82" s="31">
        <v>1.2164420295068166</v>
      </c>
      <c r="AT82" s="31">
        <v>5.5657616285103177</v>
      </c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>
        <v>5.4341529305478007</v>
      </c>
      <c r="DA82" s="31">
        <v>9.4153002505062933</v>
      </c>
      <c r="DB82" s="31">
        <v>15.727916173695167</v>
      </c>
      <c r="DC82" s="31">
        <v>28.065899174506576</v>
      </c>
      <c r="DD82" s="31">
        <v>42.684111933514039</v>
      </c>
      <c r="DE82" s="31">
        <v>1.2525448906103129</v>
      </c>
      <c r="DF82" s="31">
        <v>2.349459634990386</v>
      </c>
      <c r="DG82" s="31">
        <v>2.4216256305074952</v>
      </c>
      <c r="DH82" s="31">
        <v>4.4088319718228863</v>
      </c>
      <c r="DI82" s="31">
        <v>7.615390018491718</v>
      </c>
      <c r="DJ82" s="31">
        <v>0.55598210523405112</v>
      </c>
      <c r="DK82" s="31">
        <v>0.87205329822787736</v>
      </c>
      <c r="DL82" s="31">
        <v>2.9298603292896295</v>
      </c>
      <c r="DM82" s="31">
        <v>5.8118510769940803</v>
      </c>
      <c r="DN82" s="31">
        <v>126.16127419651986</v>
      </c>
      <c r="DO82" s="31"/>
      <c r="DP82" s="31"/>
      <c r="DQ82" s="31"/>
      <c r="DR82" s="31"/>
      <c r="DS82" s="31">
        <v>540.36043891632414</v>
      </c>
      <c r="DT82" s="31"/>
      <c r="DU82" s="31">
        <v>1282.7472880207274</v>
      </c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</row>
    <row r="83" spans="1:214" x14ac:dyDescent="0.25">
      <c r="A83" s="32" t="s">
        <v>195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>
        <v>12.194146011078121</v>
      </c>
      <c r="AR83" s="31">
        <v>2.4168123028801531</v>
      </c>
      <c r="AS83" s="31">
        <v>13.572952572847836</v>
      </c>
      <c r="AT83" s="31">
        <v>4.343993848892307E-4</v>
      </c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>
        <v>0.58884902276990503</v>
      </c>
      <c r="DA83" s="31">
        <v>0.94354841030195014</v>
      </c>
      <c r="DB83" s="31">
        <v>1.4082015509175148</v>
      </c>
      <c r="DC83" s="31">
        <v>2.24485059457297</v>
      </c>
      <c r="DD83" s="31">
        <v>3.2649886738184972</v>
      </c>
      <c r="DE83" s="31">
        <v>0.13977541742967192</v>
      </c>
      <c r="DF83" s="31">
        <v>0.21348849216635715</v>
      </c>
      <c r="DG83" s="31">
        <v>0.25402496821957526</v>
      </c>
      <c r="DH83" s="31">
        <v>0.35686259306520857</v>
      </c>
      <c r="DI83" s="31">
        <v>0.62814462723970488</v>
      </c>
      <c r="DJ83" s="31">
        <v>6.0427865301711403E-2</v>
      </c>
      <c r="DK83" s="31">
        <v>0.13357083037670309</v>
      </c>
      <c r="DL83" s="31">
        <v>0.25505953207012083</v>
      </c>
      <c r="DM83" s="31">
        <v>0.61525528844502841</v>
      </c>
      <c r="DN83" s="31">
        <v>12.181537773050048</v>
      </c>
      <c r="DO83" s="31"/>
      <c r="DP83" s="31"/>
      <c r="DQ83" s="31"/>
      <c r="DR83" s="31"/>
      <c r="DS83" s="31">
        <v>16.692710345010649</v>
      </c>
      <c r="DT83" s="31"/>
      <c r="DU83" s="31">
        <v>68.165641270946622</v>
      </c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</row>
    <row r="84" spans="1:214" x14ac:dyDescent="0.25">
      <c r="A84" s="32" t="s">
        <v>196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>
        <v>7.8226468222041642E-2</v>
      </c>
      <c r="O84" s="31">
        <v>2.861215767336676</v>
      </c>
      <c r="P84" s="31">
        <v>0.60682082216175026</v>
      </c>
      <c r="Q84" s="31">
        <v>6.4810569880313319E-3</v>
      </c>
      <c r="R84" s="31">
        <v>2.5130108364318344</v>
      </c>
      <c r="S84" s="31">
        <v>2.6034038267871248E-2</v>
      </c>
      <c r="T84" s="31">
        <v>0.60878701181568329</v>
      </c>
      <c r="U84" s="31">
        <v>11.70976315932028</v>
      </c>
      <c r="V84" s="31">
        <v>17.03144157456515</v>
      </c>
      <c r="W84" s="31">
        <v>0.20732249868225494</v>
      </c>
      <c r="X84" s="31">
        <v>4.1515420778281351</v>
      </c>
      <c r="Y84" s="31">
        <v>0.7641562654889732</v>
      </c>
      <c r="Z84" s="31">
        <v>2.7889892247983542E-5</v>
      </c>
      <c r="AA84" s="31">
        <v>14.546005682135284</v>
      </c>
      <c r="AB84" s="31">
        <v>8.5104080596624705</v>
      </c>
      <c r="AC84" s="31">
        <v>12.560366456733657</v>
      </c>
      <c r="AD84" s="31">
        <v>3.0633412659937873</v>
      </c>
      <c r="AE84" s="31">
        <v>3.0597658650934192</v>
      </c>
      <c r="AF84" s="31">
        <v>8.2466027677964977</v>
      </c>
      <c r="AG84" s="31">
        <v>14.388593844113084</v>
      </c>
      <c r="AH84" s="31">
        <v>39.645838717761677</v>
      </c>
      <c r="AI84" s="31">
        <v>6.7303091336185767</v>
      </c>
      <c r="AJ84" s="31">
        <v>1.0542817983517547</v>
      </c>
      <c r="AK84" s="31">
        <v>5.2411262511176639</v>
      </c>
      <c r="AL84" s="31">
        <v>9.296840388023746</v>
      </c>
      <c r="AM84" s="31">
        <v>6.8447144793718273</v>
      </c>
      <c r="AN84" s="31">
        <v>1.8206534428117096</v>
      </c>
      <c r="AO84" s="31">
        <v>3.8838900048992984</v>
      </c>
      <c r="AP84" s="31">
        <v>3.9589369807303307</v>
      </c>
      <c r="AQ84" s="31">
        <v>7.4299099506895736</v>
      </c>
      <c r="AR84" s="31">
        <v>7.7538846601369773</v>
      </c>
      <c r="AS84" s="31">
        <v>3.9670227757399728</v>
      </c>
      <c r="AT84" s="31">
        <v>6.8192732493040431</v>
      </c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>
        <v>7.6637193710664964E-2</v>
      </c>
      <c r="DA84" s="31">
        <v>0.16275086596590194</v>
      </c>
      <c r="DB84" s="31">
        <v>0.40617711523135064</v>
      </c>
      <c r="DC84" s="31">
        <v>0.67899016846350413</v>
      </c>
      <c r="DD84" s="31">
        <v>1.1769034307797384</v>
      </c>
      <c r="DE84" s="31">
        <v>1.0933863498308332E-2</v>
      </c>
      <c r="DF84" s="31">
        <v>4.2374548503283635E-2</v>
      </c>
      <c r="DG84" s="31">
        <v>6.7199468574779556E-2</v>
      </c>
      <c r="DH84" s="31">
        <v>9.3303486403411656E-2</v>
      </c>
      <c r="DI84" s="31">
        <v>0.1782765008747795</v>
      </c>
      <c r="DJ84" s="31">
        <v>2.8137340307654725E-2</v>
      </c>
      <c r="DK84" s="31">
        <v>8.3753537534186739E-2</v>
      </c>
      <c r="DL84" s="31">
        <v>0.23302973750349384</v>
      </c>
      <c r="DM84" s="31">
        <v>0.67330447474705946</v>
      </c>
      <c r="DN84" s="31">
        <v>7.4017181645274333</v>
      </c>
      <c r="DO84" s="31"/>
      <c r="DP84" s="31"/>
      <c r="DQ84" s="31"/>
      <c r="DR84" s="31"/>
      <c r="DS84" s="31"/>
      <c r="DT84" s="31"/>
      <c r="DU84" s="31">
        <v>220.70008513771182</v>
      </c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</row>
    <row r="85" spans="1:214" x14ac:dyDescent="0.25">
      <c r="A85" s="32" t="s">
        <v>197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>
        <v>1.4254957734226655E-3</v>
      </c>
      <c r="O85" s="31">
        <v>0.10647284814359556</v>
      </c>
      <c r="P85" s="31">
        <v>0.89898103023824216</v>
      </c>
      <c r="Q85" s="31">
        <v>9.5757529722120625E-3</v>
      </c>
      <c r="R85" s="31"/>
      <c r="S85" s="31">
        <v>8.2563240494841776E-5</v>
      </c>
      <c r="T85" s="31">
        <v>0.1497302881237377</v>
      </c>
      <c r="U85" s="31">
        <v>0.24688186661474076</v>
      </c>
      <c r="V85" s="31">
        <v>4.3141096909224679</v>
      </c>
      <c r="W85" s="31">
        <v>5.9854202272825105E-3</v>
      </c>
      <c r="X85" s="31">
        <v>0.52785868052371643</v>
      </c>
      <c r="Y85" s="31">
        <v>8.6104169631992328E-2</v>
      </c>
      <c r="Z85" s="31">
        <v>6.6510072238041765E-6</v>
      </c>
      <c r="AA85" s="31">
        <v>5.0248620497667371</v>
      </c>
      <c r="AB85" s="31">
        <v>3.7656731509679378</v>
      </c>
      <c r="AC85" s="31">
        <v>6.6100712473471299</v>
      </c>
      <c r="AD85" s="31">
        <v>0.37669085476650838</v>
      </c>
      <c r="AE85" s="31"/>
      <c r="AF85" s="31"/>
      <c r="AG85" s="31">
        <v>0.80987994524956752</v>
      </c>
      <c r="AH85" s="31">
        <v>2.6488456414042822</v>
      </c>
      <c r="AI85" s="31">
        <v>2.8491900599062037</v>
      </c>
      <c r="AJ85" s="31">
        <v>0.63560528139940586</v>
      </c>
      <c r="AK85" s="31">
        <v>2.0425059953819944</v>
      </c>
      <c r="AL85" s="31">
        <v>7.0167872299064848</v>
      </c>
      <c r="AM85" s="31">
        <v>0.64369119302136002</v>
      </c>
      <c r="AN85" s="31">
        <v>1.5638508310624747E-5</v>
      </c>
      <c r="AO85" s="31">
        <v>2.4505966275993378</v>
      </c>
      <c r="AP85" s="31">
        <v>1.1533987196617863</v>
      </c>
      <c r="AQ85" s="31"/>
      <c r="AR85" s="31">
        <v>11.133078194869954</v>
      </c>
      <c r="AS85" s="31">
        <v>1.0970081071205682</v>
      </c>
      <c r="AT85" s="31">
        <v>3.1698992050103554</v>
      </c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>
        <v>0.25471635385245789</v>
      </c>
      <c r="DA85" s="31">
        <v>0.49334693896066933</v>
      </c>
      <c r="DB85" s="31">
        <v>0.72983991753603394</v>
      </c>
      <c r="DC85" s="31">
        <v>1.307682632626201</v>
      </c>
      <c r="DD85" s="31">
        <v>2.3592161371858396</v>
      </c>
      <c r="DE85" s="31">
        <v>4.5372273766714585E-2</v>
      </c>
      <c r="DF85" s="31">
        <v>9.9834688927334117E-2</v>
      </c>
      <c r="DG85" s="31">
        <v>0.13316252467830667</v>
      </c>
      <c r="DH85" s="31">
        <v>0.21009872222310283</v>
      </c>
      <c r="DI85" s="31">
        <v>0.43661858927666891</v>
      </c>
      <c r="DJ85" s="31">
        <v>6.7996612767781392E-2</v>
      </c>
      <c r="DK85" s="31">
        <v>0.34203238572455136</v>
      </c>
      <c r="DL85" s="31">
        <v>0.52041812790931841</v>
      </c>
      <c r="DM85" s="31">
        <v>1.1127151384453482</v>
      </c>
      <c r="DN85" s="31">
        <v>11.214533108229761</v>
      </c>
      <c r="DO85" s="31"/>
      <c r="DP85" s="31"/>
      <c r="DQ85" s="31"/>
      <c r="DR85" s="31"/>
      <c r="DS85" s="31"/>
      <c r="DT85" s="31"/>
      <c r="DU85" s="31">
        <v>77.102597751417136</v>
      </c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</row>
    <row r="86" spans="1:214" x14ac:dyDescent="0.25">
      <c r="A86" s="32" t="s">
        <v>198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>
        <v>2.3120047840221682E-2</v>
      </c>
      <c r="O86" s="31">
        <v>22.791723899818464</v>
      </c>
      <c r="P86" s="31"/>
      <c r="Q86" s="31"/>
      <c r="R86" s="31">
        <v>0.3376688282976541</v>
      </c>
      <c r="S86" s="31"/>
      <c r="T86" s="31">
        <v>0.22984625801924999</v>
      </c>
      <c r="U86" s="31">
        <v>0.32029527712544487</v>
      </c>
      <c r="V86" s="31">
        <v>2.6088961353002778</v>
      </c>
      <c r="W86" s="31"/>
      <c r="X86" s="31">
        <v>3.2172395637636905E-3</v>
      </c>
      <c r="Y86" s="31">
        <v>0.37634347881170732</v>
      </c>
      <c r="Z86" s="31"/>
      <c r="AA86" s="31">
        <v>4.1253318124166434</v>
      </c>
      <c r="AB86" s="31"/>
      <c r="AC86" s="31">
        <v>0.18905851920726577</v>
      </c>
      <c r="AD86" s="31">
        <v>0.11470355391511279</v>
      </c>
      <c r="AE86" s="31">
        <v>1.3125762611907179</v>
      </c>
      <c r="AF86" s="31">
        <v>0.42172848336234137</v>
      </c>
      <c r="AG86" s="31">
        <v>6.6872199873254948E-2</v>
      </c>
      <c r="AH86" s="31">
        <v>25.014677122423301</v>
      </c>
      <c r="AI86" s="31">
        <v>3.2990552982372279</v>
      </c>
      <c r="AJ86" s="31">
        <v>3.0257204487215907</v>
      </c>
      <c r="AK86" s="31">
        <v>1.12213008377375</v>
      </c>
      <c r="AL86" s="31">
        <v>4.1318592557527474</v>
      </c>
      <c r="AM86" s="31"/>
      <c r="AN86" s="31"/>
      <c r="AO86" s="31">
        <v>5.3916998596881172</v>
      </c>
      <c r="AP86" s="31">
        <v>1.3123028322011971</v>
      </c>
      <c r="AQ86" s="31">
        <v>94.467489463629306</v>
      </c>
      <c r="AR86" s="31">
        <v>10.968045784995498</v>
      </c>
      <c r="AS86" s="31">
        <v>2.2004102049217922</v>
      </c>
      <c r="AT86" s="31">
        <v>11.575943695422662</v>
      </c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>
        <v>1.4962895204106827</v>
      </c>
      <c r="DA86" s="31">
        <v>2.9976291788363763</v>
      </c>
      <c r="DB86" s="31">
        <v>5.1637530924316586</v>
      </c>
      <c r="DC86" s="31">
        <v>10.708253829470493</v>
      </c>
      <c r="DD86" s="31">
        <v>18.559485546691228</v>
      </c>
      <c r="DE86" s="31">
        <v>0.2798738659327481</v>
      </c>
      <c r="DF86" s="31">
        <v>0.64946887730957514</v>
      </c>
      <c r="DG86" s="31">
        <v>1.128619125404847</v>
      </c>
      <c r="DH86" s="31">
        <v>1.9115449764552372</v>
      </c>
      <c r="DI86" s="31">
        <v>2.3844117292860627</v>
      </c>
      <c r="DJ86" s="31">
        <v>0.12491128180225841</v>
      </c>
      <c r="DK86" s="31">
        <v>0.23398813710115124</v>
      </c>
      <c r="DL86" s="31">
        <v>0.82514079693737763</v>
      </c>
      <c r="DM86" s="31">
        <v>1.2149915560618629</v>
      </c>
      <c r="DN86" s="31">
        <v>27.597149071673513</v>
      </c>
      <c r="DO86" s="31"/>
      <c r="DP86" s="31"/>
      <c r="DQ86" s="31"/>
      <c r="DR86" s="31"/>
      <c r="DS86" s="31">
        <v>1609.2127444401651</v>
      </c>
      <c r="DT86" s="31"/>
      <c r="DU86" s="31">
        <v>1879.9189710704795</v>
      </c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</row>
    <row r="87" spans="1:214" x14ac:dyDescent="0.25">
      <c r="A87" s="32" t="s">
        <v>199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>
        <v>3.3492565119999704</v>
      </c>
      <c r="M87" s="31">
        <v>3.3268986082195917E-2</v>
      </c>
      <c r="N87" s="31">
        <v>2.6087049845984066E-3</v>
      </c>
      <c r="O87" s="31">
        <v>1.9319098728633417</v>
      </c>
      <c r="P87" s="31">
        <v>2.1228777669658166E-2</v>
      </c>
      <c r="Q87" s="31">
        <v>2.237825783200248E-4</v>
      </c>
      <c r="R87" s="31">
        <v>0.14274513809671086</v>
      </c>
      <c r="S87" s="31"/>
      <c r="T87" s="31">
        <v>0.20809849426472768</v>
      </c>
      <c r="U87" s="31">
        <v>0.44293871221305259</v>
      </c>
      <c r="V87" s="31">
        <v>2.0461348833523698</v>
      </c>
      <c r="W87" s="31">
        <v>0.14889211157253923</v>
      </c>
      <c r="X87" s="31">
        <v>0.34119637537428421</v>
      </c>
      <c r="Y87" s="31">
        <v>9.3491375158799878E-2</v>
      </c>
      <c r="Z87" s="31"/>
      <c r="AA87" s="31">
        <v>1.66524495971793</v>
      </c>
      <c r="AB87" s="31">
        <v>6.7495216270403993E-3</v>
      </c>
      <c r="AC87" s="31">
        <v>0.28920729217315694</v>
      </c>
      <c r="AD87" s="31">
        <v>0.88680509932335638</v>
      </c>
      <c r="AE87" s="31"/>
      <c r="AF87" s="31">
        <v>1.1521205037715982</v>
      </c>
      <c r="AG87" s="31">
        <v>6.0194090626296083E-2</v>
      </c>
      <c r="AH87" s="31">
        <v>2.7501885545830551</v>
      </c>
      <c r="AI87" s="31">
        <v>93.718194613259257</v>
      </c>
      <c r="AJ87" s="31">
        <v>39.161222825654093</v>
      </c>
      <c r="AK87" s="31">
        <v>0.43595894940759322</v>
      </c>
      <c r="AL87" s="31">
        <v>1.6091459574520974</v>
      </c>
      <c r="AM87" s="31">
        <v>2.7007853022511656</v>
      </c>
      <c r="AN87" s="31"/>
      <c r="AO87" s="31">
        <v>6.109043074379391E-2</v>
      </c>
      <c r="AP87" s="31">
        <v>3.4445521361418483</v>
      </c>
      <c r="AQ87" s="31">
        <v>2.2045851642407128</v>
      </c>
      <c r="AR87" s="31">
        <v>1.7411836660391269</v>
      </c>
      <c r="AS87" s="31">
        <v>1.5686640588348024</v>
      </c>
      <c r="AT87" s="31">
        <v>10.136260654500786</v>
      </c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>
        <v>1141.0153852992255</v>
      </c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>
        <v>0.68412402101936987</v>
      </c>
      <c r="DA87" s="31">
        <v>1.6521636417326195</v>
      </c>
      <c r="DB87" s="31">
        <v>3.8562522355788027</v>
      </c>
      <c r="DC87" s="31">
        <v>8.0745807225715929</v>
      </c>
      <c r="DD87" s="31">
        <v>18.395543638848604</v>
      </c>
      <c r="DE87" s="31">
        <v>4.9758061823074552E-2</v>
      </c>
      <c r="DF87" s="31">
        <v>0.17859489129728401</v>
      </c>
      <c r="DG87" s="31">
        <v>0.34771245405737089</v>
      </c>
      <c r="DH87" s="31">
        <v>0.705175130017201</v>
      </c>
      <c r="DI87" s="31">
        <v>1.4419879059038361</v>
      </c>
      <c r="DJ87" s="31">
        <v>6.4936187772255197E-2</v>
      </c>
      <c r="DK87" s="31">
        <v>0.21279527146076338</v>
      </c>
      <c r="DL87" s="31">
        <v>0.75985245938912538</v>
      </c>
      <c r="DM87" s="31">
        <v>0.60996313951620018</v>
      </c>
      <c r="DN87" s="31">
        <v>59.202731470753704</v>
      </c>
      <c r="DO87" s="31"/>
      <c r="DP87" s="31"/>
      <c r="DQ87" s="31"/>
      <c r="DR87" s="31"/>
      <c r="DS87" s="31"/>
      <c r="DT87" s="31"/>
      <c r="DU87" s="31">
        <v>1409.6057040375251</v>
      </c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</row>
    <row r="88" spans="1:214" x14ac:dyDescent="0.25">
      <c r="A88" s="32" t="s">
        <v>200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>
        <v>1.4183623783336614E-2</v>
      </c>
      <c r="O88" s="31">
        <v>0.62356055079896866</v>
      </c>
      <c r="P88" s="31">
        <v>1.0534037736314958</v>
      </c>
      <c r="Q88" s="31">
        <v>1.1122167314426022E-2</v>
      </c>
      <c r="R88" s="31">
        <v>0.32693349725204407</v>
      </c>
      <c r="S88" s="31"/>
      <c r="T88" s="31">
        <v>0.13920084667963248</v>
      </c>
      <c r="U88" s="31">
        <v>1.8198543515813312</v>
      </c>
      <c r="V88" s="31">
        <v>2.8802117098849731</v>
      </c>
      <c r="W88" s="31">
        <v>1.2591422818399098E-2</v>
      </c>
      <c r="X88" s="31">
        <v>4.2415816198937488</v>
      </c>
      <c r="Y88" s="31">
        <v>0.92181806786885301</v>
      </c>
      <c r="Z88" s="31">
        <v>2.70727081751892E-5</v>
      </c>
      <c r="AA88" s="31">
        <v>2.5660284498219093</v>
      </c>
      <c r="AB88" s="31">
        <v>1.5803080835408576E-2</v>
      </c>
      <c r="AC88" s="31">
        <v>0.6833713818153021</v>
      </c>
      <c r="AD88" s="31">
        <v>0.89951371312366546</v>
      </c>
      <c r="AE88" s="31"/>
      <c r="AF88" s="31">
        <v>0.58968078697569759</v>
      </c>
      <c r="AG88" s="31">
        <v>0.49605673166685132</v>
      </c>
      <c r="AH88" s="31">
        <v>21.81235726788378</v>
      </c>
      <c r="AI88" s="31">
        <v>47.151324972774944</v>
      </c>
      <c r="AJ88" s="31">
        <v>70.397131986640346</v>
      </c>
      <c r="AK88" s="31">
        <v>0.82020372838297406</v>
      </c>
      <c r="AL88" s="31">
        <v>3.0280081837997539</v>
      </c>
      <c r="AM88" s="31">
        <v>4.1851119599236517</v>
      </c>
      <c r="AN88" s="31">
        <v>4.9331739594244274E-4</v>
      </c>
      <c r="AO88" s="31">
        <v>0.82761595695370427</v>
      </c>
      <c r="AP88" s="31">
        <v>5.7208166221823289</v>
      </c>
      <c r="AQ88" s="31">
        <v>21.897671387457187</v>
      </c>
      <c r="AR88" s="31">
        <v>10.965560370761745</v>
      </c>
      <c r="AS88" s="31">
        <v>4.1996543098370278</v>
      </c>
      <c r="AT88" s="31">
        <v>10.153249218090618</v>
      </c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>
        <v>4.0152788313150545</v>
      </c>
      <c r="DA88" s="31">
        <v>8.5352835918509218</v>
      </c>
      <c r="DB88" s="31">
        <v>17.971151212945671</v>
      </c>
      <c r="DC88" s="31">
        <v>44.493358664873398</v>
      </c>
      <c r="DD88" s="31">
        <v>104.80842115276053</v>
      </c>
      <c r="DE88" s="31">
        <v>0.48846280590650631</v>
      </c>
      <c r="DF88" s="31">
        <v>1.4014005233445366</v>
      </c>
      <c r="DG88" s="31">
        <v>2.9514903804168813</v>
      </c>
      <c r="DH88" s="31">
        <v>4.9814850383625267</v>
      </c>
      <c r="DI88" s="31">
        <v>16.451995040093603</v>
      </c>
      <c r="DJ88" s="31">
        <v>1.3419290265182162</v>
      </c>
      <c r="DK88" s="31">
        <v>4.2824182221783236</v>
      </c>
      <c r="DL88" s="31">
        <v>8.4734591707336033</v>
      </c>
      <c r="DM88" s="31">
        <v>35.702107867392542</v>
      </c>
      <c r="DN88" s="31">
        <v>639.260900383852</v>
      </c>
      <c r="DO88" s="31"/>
      <c r="DP88" s="31"/>
      <c r="DQ88" s="31"/>
      <c r="DR88" s="31"/>
      <c r="DS88" s="31"/>
      <c r="DT88" s="31">
        <v>461.78413197951858</v>
      </c>
      <c r="DU88" s="31">
        <v>1575.3974160226012</v>
      </c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</row>
    <row r="89" spans="1:214" x14ac:dyDescent="0.25">
      <c r="A89" s="32" t="s">
        <v>201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>
        <v>1.1201989363724548E-2</v>
      </c>
      <c r="O89" s="31">
        <v>0.6884982880737478</v>
      </c>
      <c r="P89" s="31">
        <v>0.19626660411052493</v>
      </c>
      <c r="Q89" s="31">
        <v>2.0701958111232935E-3</v>
      </c>
      <c r="R89" s="31">
        <v>4.0614436642599609E-3</v>
      </c>
      <c r="S89" s="31">
        <v>0.14979704152586917</v>
      </c>
      <c r="T89" s="31"/>
      <c r="U89" s="31">
        <v>0.31654168412360917</v>
      </c>
      <c r="V89" s="31">
        <v>1.5525424371484955</v>
      </c>
      <c r="W89" s="31"/>
      <c r="X89" s="31">
        <v>1.9555751933533134</v>
      </c>
      <c r="Y89" s="31">
        <v>0.16885572859831119</v>
      </c>
      <c r="Z89" s="31">
        <v>4.1044045259008181E-6</v>
      </c>
      <c r="AA89" s="31">
        <v>2.6121578126146567</v>
      </c>
      <c r="AB89" s="31">
        <v>0.13762271100883616</v>
      </c>
      <c r="AC89" s="31">
        <v>0.6670098438234956</v>
      </c>
      <c r="AD89" s="31">
        <v>0.55741387465022063</v>
      </c>
      <c r="AE89" s="31">
        <v>2.0851939951874932</v>
      </c>
      <c r="AF89" s="31">
        <v>1.5849860733502248</v>
      </c>
      <c r="AG89" s="31">
        <v>0.36814042641626582</v>
      </c>
      <c r="AH89" s="31">
        <v>17.006115273144655</v>
      </c>
      <c r="AI89" s="31">
        <v>3.4940168035895969</v>
      </c>
      <c r="AJ89" s="31">
        <v>10.1675096272161</v>
      </c>
      <c r="AK89" s="31">
        <v>0.73160518630012394</v>
      </c>
      <c r="AL89" s="31">
        <v>2.691697624434267</v>
      </c>
      <c r="AM89" s="31">
        <v>1.8076486608932896</v>
      </c>
      <c r="AN89" s="31">
        <v>5.0548125413159152E-2</v>
      </c>
      <c r="AO89" s="31">
        <v>1.1416953546208104</v>
      </c>
      <c r="AP89" s="31">
        <v>6.3351062223639225</v>
      </c>
      <c r="AQ89" s="31">
        <v>53.646044683114752</v>
      </c>
      <c r="AR89" s="31">
        <v>15.599550897763065</v>
      </c>
      <c r="AS89" s="31">
        <v>5.1713001123735758</v>
      </c>
      <c r="AT89" s="31">
        <v>5.5365484380969354</v>
      </c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>
        <v>0.55754749594932729</v>
      </c>
      <c r="DA89" s="31">
        <v>1.2119793957312617</v>
      </c>
      <c r="DB89" s="31">
        <v>2.2304576505734133</v>
      </c>
      <c r="DC89" s="31">
        <v>3.5478847665455557</v>
      </c>
      <c r="DD89" s="31">
        <v>4.6607259061236865</v>
      </c>
      <c r="DE89" s="31">
        <v>0.13650065592161176</v>
      </c>
      <c r="DF89" s="31">
        <v>0.27536849478186648</v>
      </c>
      <c r="DG89" s="31">
        <v>0.41244578008839916</v>
      </c>
      <c r="DH89" s="31">
        <v>0.58689949725577828</v>
      </c>
      <c r="DI89" s="31">
        <v>1.1150420754686252</v>
      </c>
      <c r="DJ89" s="31">
        <v>4.0362632524035075E-2</v>
      </c>
      <c r="DK89" s="31">
        <v>0.16556566581048238</v>
      </c>
      <c r="DL89" s="31">
        <v>0.2216249021983725</v>
      </c>
      <c r="DM89" s="31">
        <v>0.77315108002564814</v>
      </c>
      <c r="DN89" s="31">
        <v>11.596380405993932</v>
      </c>
      <c r="DO89" s="31"/>
      <c r="DP89" s="31"/>
      <c r="DQ89" s="31"/>
      <c r="DR89" s="31"/>
      <c r="DS89" s="31"/>
      <c r="DT89" s="31">
        <v>36.179101864870063</v>
      </c>
      <c r="DU89" s="31">
        <v>200.14836472641502</v>
      </c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</row>
    <row r="90" spans="1:214" x14ac:dyDescent="0.25">
      <c r="A90" s="32" t="s">
        <v>549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>
        <v>60.394424564145055</v>
      </c>
      <c r="AR90" s="31">
        <v>16.057886741806254</v>
      </c>
      <c r="AS90" s="31">
        <v>5.2192232447123512</v>
      </c>
      <c r="AT90" s="31">
        <v>5.5922146693832131</v>
      </c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>
        <v>8.0325197329503322</v>
      </c>
      <c r="DA90" s="31">
        <v>17.435491178208352</v>
      </c>
      <c r="DB90" s="31">
        <v>32.009657745838176</v>
      </c>
      <c r="DC90" s="31">
        <v>50.751492125157021</v>
      </c>
      <c r="DD90" s="31">
        <v>66.918957613945707</v>
      </c>
      <c r="DE90" s="31">
        <v>1.9682317057389325</v>
      </c>
      <c r="DF90" s="31">
        <v>3.9691545012811731</v>
      </c>
      <c r="DG90" s="31">
        <v>5.9419538624572512</v>
      </c>
      <c r="DH90" s="31">
        <v>8.4531136456840468</v>
      </c>
      <c r="DI90" s="31">
        <v>16.071045951213236</v>
      </c>
      <c r="DJ90" s="31">
        <v>0.58213255699632749</v>
      </c>
      <c r="DK90" s="31">
        <v>2.3877948488186291</v>
      </c>
      <c r="DL90" s="31">
        <v>3.1963462927092978</v>
      </c>
      <c r="DM90" s="31">
        <v>11.153042962711684</v>
      </c>
      <c r="DN90" s="31">
        <v>168.22344719738382</v>
      </c>
      <c r="DO90" s="31"/>
      <c r="DP90" s="31"/>
      <c r="DQ90" s="31"/>
      <c r="DR90" s="31"/>
      <c r="DS90" s="31"/>
      <c r="DT90" s="31"/>
      <c r="DU90" s="31">
        <v>484.35813114114092</v>
      </c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</row>
    <row r="91" spans="1:214" x14ac:dyDescent="0.25">
      <c r="A91" s="32" t="s">
        <v>202</v>
      </c>
      <c r="B91" s="31"/>
      <c r="C91" s="31"/>
      <c r="D91" s="31"/>
      <c r="E91" s="31"/>
      <c r="F91" s="31"/>
      <c r="G91" s="31">
        <v>3.1542483125298659</v>
      </c>
      <c r="H91" s="31">
        <v>1.5214508555624711E-2</v>
      </c>
      <c r="I91" s="31"/>
      <c r="J91" s="31">
        <v>0.13546508287218262</v>
      </c>
      <c r="K91" s="31">
        <v>1.0955262613095798</v>
      </c>
      <c r="L91" s="31">
        <v>9.696092368942633</v>
      </c>
      <c r="M91" s="31">
        <v>5.3456058671572618E-2</v>
      </c>
      <c r="N91" s="31">
        <v>1.0471889669820668E-3</v>
      </c>
      <c r="O91" s="31">
        <v>9.9879913315209651E-2</v>
      </c>
      <c r="P91" s="31">
        <v>0.12639086799107116</v>
      </c>
      <c r="Q91" s="31">
        <v>1.3325058920193827E-3</v>
      </c>
      <c r="R91" s="31">
        <v>7.5512785157370671E-2</v>
      </c>
      <c r="S91" s="31">
        <v>7.6362040224084264E-3</v>
      </c>
      <c r="T91" s="31">
        <v>3.4337314567177498E-3</v>
      </c>
      <c r="U91" s="31">
        <v>3.8689809952093354E-2</v>
      </c>
      <c r="V91" s="31">
        <v>1.0783377724089895</v>
      </c>
      <c r="W91" s="31">
        <v>6.2590279976849324E-3</v>
      </c>
      <c r="X91" s="31">
        <v>0.5055152572040551</v>
      </c>
      <c r="Y91" s="31">
        <v>7.6970396017988579E-2</v>
      </c>
      <c r="Z91" s="31">
        <v>4.4827426764353153E-6</v>
      </c>
      <c r="AA91" s="31">
        <v>0.70432506709951526</v>
      </c>
      <c r="AB91" s="31">
        <v>3.621993109295224E-2</v>
      </c>
      <c r="AC91" s="31">
        <v>2.8272551368714049E-2</v>
      </c>
      <c r="AD91" s="31">
        <v>0.32110898307297114</v>
      </c>
      <c r="AE91" s="31">
        <v>0.13658428106298873</v>
      </c>
      <c r="AF91" s="31">
        <v>2.4162380736375701E-2</v>
      </c>
      <c r="AG91" s="31">
        <v>0.49327946435146519</v>
      </c>
      <c r="AH91" s="31">
        <v>1.2092838055116719</v>
      </c>
      <c r="AI91" s="31">
        <v>2.9693675658953866</v>
      </c>
      <c r="AJ91" s="31">
        <v>0.60918162776470253</v>
      </c>
      <c r="AK91" s="31">
        <v>0.37424471944778448</v>
      </c>
      <c r="AL91" s="31">
        <v>1.3828367516563034</v>
      </c>
      <c r="AM91" s="31">
        <v>48.054845509430194</v>
      </c>
      <c r="AN91" s="31">
        <v>0.62625816699508763</v>
      </c>
      <c r="AO91" s="31">
        <v>0.2217727898893164</v>
      </c>
      <c r="AP91" s="31">
        <v>2.7795294314794488</v>
      </c>
      <c r="AQ91" s="31">
        <v>18.924681181332115</v>
      </c>
      <c r="AR91" s="31">
        <v>8.2546369472256753</v>
      </c>
      <c r="AS91" s="31">
        <v>2.3556229441583674</v>
      </c>
      <c r="AT91" s="31">
        <v>2.5512614457209097</v>
      </c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>
        <v>2.4183840085623522</v>
      </c>
      <c r="DA91" s="31">
        <v>5.9029363970035362</v>
      </c>
      <c r="DB91" s="31">
        <v>10.854397196826978</v>
      </c>
      <c r="DC91" s="31">
        <v>18.2475789223116</v>
      </c>
      <c r="DD91" s="31">
        <v>22.113195023330345</v>
      </c>
      <c r="DE91" s="31">
        <v>0.43386075089599224</v>
      </c>
      <c r="DF91" s="31">
        <v>1.19782314963174</v>
      </c>
      <c r="DG91" s="31">
        <v>1.8916186780758202</v>
      </c>
      <c r="DH91" s="31">
        <v>2.5975904996350145</v>
      </c>
      <c r="DI91" s="31">
        <v>3.6363315134853678</v>
      </c>
      <c r="DJ91" s="31">
        <v>0.42566920342122061</v>
      </c>
      <c r="DK91" s="31">
        <v>1.1645507786506464</v>
      </c>
      <c r="DL91" s="31">
        <v>2.4427853487798226</v>
      </c>
      <c r="DM91" s="31">
        <v>6.9593059176223839</v>
      </c>
      <c r="DN91" s="31">
        <v>80.532812264442157</v>
      </c>
      <c r="DO91" s="31"/>
      <c r="DP91" s="31"/>
      <c r="DQ91" s="31"/>
      <c r="DR91" s="31"/>
      <c r="DS91" s="31"/>
      <c r="DT91" s="31">
        <v>316.2648796335593</v>
      </c>
      <c r="DU91" s="31">
        <v>585.31220736753289</v>
      </c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</row>
    <row r="92" spans="1:214" x14ac:dyDescent="0.25">
      <c r="A92" s="32" t="s">
        <v>203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>
        <v>1.9441252290718389E-2</v>
      </c>
      <c r="O92" s="31">
        <v>0.61315143016595264</v>
      </c>
      <c r="P92" s="31">
        <v>0.43951082816304837</v>
      </c>
      <c r="Q92" s="31">
        <v>4.6361964308965385E-3</v>
      </c>
      <c r="R92" s="31">
        <v>6.3800011125951045E-2</v>
      </c>
      <c r="S92" s="31">
        <v>0.36897915230109785</v>
      </c>
      <c r="T92" s="31">
        <v>3.9652805615491636E-2</v>
      </c>
      <c r="U92" s="31">
        <v>0.58440417037035608</v>
      </c>
      <c r="V92" s="31">
        <v>1.5833148213354857</v>
      </c>
      <c r="W92" s="31">
        <v>0.23648000286859652</v>
      </c>
      <c r="X92" s="31">
        <v>7.0460176407895156</v>
      </c>
      <c r="Y92" s="31">
        <v>0.34956482649436138</v>
      </c>
      <c r="Z92" s="31">
        <v>9.1184041900763932E-5</v>
      </c>
      <c r="AA92" s="31">
        <v>5.3833500481566432</v>
      </c>
      <c r="AB92" s="31">
        <v>0.11909408447043847</v>
      </c>
      <c r="AC92" s="31">
        <v>0.98318189859341321</v>
      </c>
      <c r="AD92" s="31">
        <v>0.56818473301646277</v>
      </c>
      <c r="AE92" s="31">
        <v>0.19257060505482648</v>
      </c>
      <c r="AF92" s="31">
        <v>0.92837761202907398</v>
      </c>
      <c r="AG92" s="31">
        <v>0.49395573067212173</v>
      </c>
      <c r="AH92" s="31">
        <v>10.066963951190534</v>
      </c>
      <c r="AI92" s="31">
        <v>20.514588308230586</v>
      </c>
      <c r="AJ92" s="31">
        <v>6.4291699579630714</v>
      </c>
      <c r="AK92" s="31">
        <v>0.70660719244881465</v>
      </c>
      <c r="AL92" s="31">
        <v>2.6086900504249888</v>
      </c>
      <c r="AM92" s="31">
        <v>3.504822415711236</v>
      </c>
      <c r="AN92" s="31">
        <v>124.82766362192703</v>
      </c>
      <c r="AO92" s="31">
        <v>1.6573252157578016</v>
      </c>
      <c r="AP92" s="31">
        <v>5.4291373660537277</v>
      </c>
      <c r="AQ92" s="31">
        <v>1.2315060486989204E-3</v>
      </c>
      <c r="AR92" s="31">
        <v>5.8605291538288897</v>
      </c>
      <c r="AS92" s="31">
        <v>0.45500502481785093</v>
      </c>
      <c r="AT92" s="31">
        <v>5.5497139422067567</v>
      </c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>
        <v>14.966023410850166</v>
      </c>
      <c r="DA92" s="31">
        <v>18.909958868329436</v>
      </c>
      <c r="DB92" s="31">
        <v>22.662180902918994</v>
      </c>
      <c r="DC92" s="31">
        <v>24.743495091611276</v>
      </c>
      <c r="DD92" s="31">
        <v>18.951267403286991</v>
      </c>
      <c r="DE92" s="31">
        <v>2.6712816209995784</v>
      </c>
      <c r="DF92" s="31">
        <v>3.7296906936109528</v>
      </c>
      <c r="DG92" s="31">
        <v>3.8781815107779622</v>
      </c>
      <c r="DH92" s="31">
        <v>3.5710983320375194</v>
      </c>
      <c r="DI92" s="31">
        <v>2.6158838514464642</v>
      </c>
      <c r="DJ92" s="31">
        <v>1.0947597706766605</v>
      </c>
      <c r="DK92" s="31">
        <v>2.0661285720155318</v>
      </c>
      <c r="DL92" s="31">
        <v>3.3125613208564655</v>
      </c>
      <c r="DM92" s="31">
        <v>5.0354991386765517</v>
      </c>
      <c r="DN92" s="31">
        <v>52.165312452838457</v>
      </c>
      <c r="DO92" s="31">
        <v>22.897405097762299</v>
      </c>
      <c r="DP92" s="31"/>
      <c r="DQ92" s="31"/>
      <c r="DR92" s="31"/>
      <c r="DS92" s="31"/>
      <c r="DT92" s="31">
        <v>15.274308434225377</v>
      </c>
      <c r="DU92" s="31">
        <v>426.17424321351706</v>
      </c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</row>
    <row r="93" spans="1:214" x14ac:dyDescent="0.25">
      <c r="A93" s="32" t="s">
        <v>204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>
        <v>2.038194722403423E-2</v>
      </c>
      <c r="O93" s="31">
        <v>1.1895496946377477</v>
      </c>
      <c r="P93" s="31">
        <v>1.6423012213868393</v>
      </c>
      <c r="Q93" s="31">
        <v>1.7359305132808745E-2</v>
      </c>
      <c r="R93" s="31"/>
      <c r="S93" s="31">
        <v>0.27129817287226948</v>
      </c>
      <c r="T93" s="31">
        <v>2.0690572818952872E-2</v>
      </c>
      <c r="U93" s="31">
        <v>8.3889259155804877E-2</v>
      </c>
      <c r="V93" s="31">
        <v>3.1253422530985286</v>
      </c>
      <c r="W93" s="31"/>
      <c r="X93" s="31">
        <v>6.8597739830468258</v>
      </c>
      <c r="Y93" s="31">
        <v>1.1453429622630851</v>
      </c>
      <c r="Z93" s="31"/>
      <c r="AA93" s="31">
        <v>0.27842413131607313</v>
      </c>
      <c r="AB93" s="31">
        <v>8.246535531286793E-2</v>
      </c>
      <c r="AC93" s="31">
        <v>0.326707441507883</v>
      </c>
      <c r="AD93" s="31">
        <v>0.40181259177455675</v>
      </c>
      <c r="AE93" s="31">
        <v>0.14051066776723456</v>
      </c>
      <c r="AF93" s="31">
        <v>0.98407650550320169</v>
      </c>
      <c r="AG93" s="31">
        <v>1.4212449264396023</v>
      </c>
      <c r="AH93" s="31">
        <v>9.7974294848675214</v>
      </c>
      <c r="AI93" s="31">
        <v>42.366087449197288</v>
      </c>
      <c r="AJ93" s="31">
        <v>10.59048945498032</v>
      </c>
      <c r="AK93" s="31">
        <v>3.7999135971025413</v>
      </c>
      <c r="AL93" s="31">
        <v>13.952947815187915</v>
      </c>
      <c r="AM93" s="31">
        <v>26.335618775648399</v>
      </c>
      <c r="AN93" s="31">
        <v>8.3238825827892642E-3</v>
      </c>
      <c r="AO93" s="31">
        <v>2.2126606976207746</v>
      </c>
      <c r="AP93" s="31">
        <v>7.5086837501095332</v>
      </c>
      <c r="AQ93" s="31">
        <v>19.274498981800331</v>
      </c>
      <c r="AR93" s="31">
        <v>0.28158268108823048</v>
      </c>
      <c r="AS93" s="31">
        <v>1.1828894359824902</v>
      </c>
      <c r="AT93" s="31">
        <v>25.201551255440915</v>
      </c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>
        <v>12.261993277875849</v>
      </c>
      <c r="DA93" s="31">
        <v>15.939678268742309</v>
      </c>
      <c r="DB93" s="31">
        <v>20.853189581426371</v>
      </c>
      <c r="DC93" s="31">
        <v>31.017428526053493</v>
      </c>
      <c r="DD93" s="31">
        <v>37.797221061602308</v>
      </c>
      <c r="DE93" s="31">
        <v>2.5205458323065821</v>
      </c>
      <c r="DF93" s="31">
        <v>3.3643012273304653</v>
      </c>
      <c r="DG93" s="31">
        <v>3.9820193405317643</v>
      </c>
      <c r="DH93" s="31">
        <v>4.8696771359308508</v>
      </c>
      <c r="DI93" s="31">
        <v>7.5866688214137268</v>
      </c>
      <c r="DJ93" s="31">
        <v>2.1072245723504861</v>
      </c>
      <c r="DK93" s="31">
        <v>5.1891071469080732</v>
      </c>
      <c r="DL93" s="31">
        <v>9.3933722708789773</v>
      </c>
      <c r="DM93" s="31">
        <v>21.120228600984465</v>
      </c>
      <c r="DN93" s="31">
        <v>306.5874990394106</v>
      </c>
      <c r="DO93" s="31"/>
      <c r="DP93" s="31"/>
      <c r="DQ93" s="31"/>
      <c r="DR93" s="31"/>
      <c r="DS93" s="31"/>
      <c r="DT93" s="31"/>
      <c r="DU93" s="31">
        <v>665.11400295661383</v>
      </c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</row>
    <row r="94" spans="1:214" x14ac:dyDescent="0.25">
      <c r="A94" s="32" t="s">
        <v>205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>
        <v>2.479055023764232E-2</v>
      </c>
      <c r="O94" s="31">
        <v>0.77558630239812854</v>
      </c>
      <c r="P94" s="31">
        <v>1.2536734760041062E-2</v>
      </c>
      <c r="Q94" s="31">
        <v>1.3215240594464529E-4</v>
      </c>
      <c r="R94" s="31"/>
      <c r="S94" s="31">
        <v>6.5207231368524146E-2</v>
      </c>
      <c r="T94" s="31">
        <v>8.2804697823032763E-2</v>
      </c>
      <c r="U94" s="31">
        <v>0.2329061339183654</v>
      </c>
      <c r="V94" s="31">
        <v>1.8028584950948987</v>
      </c>
      <c r="W94" s="31"/>
      <c r="X94" s="31">
        <v>0.96314074790685855</v>
      </c>
      <c r="Y94" s="31">
        <v>0.12013702174587938</v>
      </c>
      <c r="Z94" s="31">
        <v>3.0208476569344364E-5</v>
      </c>
      <c r="AA94" s="31">
        <v>4.9280549345690536</v>
      </c>
      <c r="AB94" s="31">
        <v>0.51195624853780097</v>
      </c>
      <c r="AC94" s="31">
        <v>0.1160508538846375</v>
      </c>
      <c r="AD94" s="31">
        <v>0.51368273507149553</v>
      </c>
      <c r="AE94" s="31">
        <v>2.8872432260054984E-2</v>
      </c>
      <c r="AF94" s="31">
        <v>0.98204981659940205</v>
      </c>
      <c r="AG94" s="31">
        <v>0.44348543691605835</v>
      </c>
      <c r="AH94" s="31">
        <v>17.554262855441376</v>
      </c>
      <c r="AI94" s="31">
        <v>4.0460147134040811</v>
      </c>
      <c r="AJ94" s="31">
        <v>10.676880762024227</v>
      </c>
      <c r="AK94" s="31">
        <v>0.78751377471620831</v>
      </c>
      <c r="AL94" s="31">
        <v>2.9063531947892094</v>
      </c>
      <c r="AM94" s="31">
        <v>6.5452413375335974</v>
      </c>
      <c r="AN94" s="31">
        <v>8.2734200820528556E-2</v>
      </c>
      <c r="AO94" s="31">
        <v>1.9944905888446594</v>
      </c>
      <c r="AP94" s="31">
        <v>8.7797923089500109</v>
      </c>
      <c r="AQ94" s="31">
        <v>401.45467530133942</v>
      </c>
      <c r="AR94" s="31">
        <v>12.056252779349261</v>
      </c>
      <c r="AS94" s="31">
        <v>4.3565911873143905</v>
      </c>
      <c r="AT94" s="31">
        <v>14.96278463850247</v>
      </c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>
        <v>3.0725900407829805</v>
      </c>
      <c r="DA94" s="31">
        <v>5.1607674611997565</v>
      </c>
      <c r="DB94" s="31">
        <v>6.3521159219864245</v>
      </c>
      <c r="DC94" s="31">
        <v>9.9711534809093116</v>
      </c>
      <c r="DD94" s="31">
        <v>11.120373686056311</v>
      </c>
      <c r="DE94" s="31">
        <v>0.57127168981433196</v>
      </c>
      <c r="DF94" s="31">
        <v>1.0685256031075807</v>
      </c>
      <c r="DG94" s="31">
        <v>1.112122442547135</v>
      </c>
      <c r="DH94" s="31">
        <v>1.525533560053177</v>
      </c>
      <c r="DI94" s="31">
        <v>1.7368371930054405</v>
      </c>
      <c r="DJ94" s="31">
        <v>0.62239293180678512</v>
      </c>
      <c r="DK94" s="31">
        <v>1.476024703678207</v>
      </c>
      <c r="DL94" s="31">
        <v>3.5509770099617546</v>
      </c>
      <c r="DM94" s="31">
        <v>5.738233079161807</v>
      </c>
      <c r="DN94" s="31">
        <v>45.373554213407544</v>
      </c>
      <c r="DO94" s="31">
        <v>69.539242856739193</v>
      </c>
      <c r="DP94" s="31"/>
      <c r="DQ94" s="31"/>
      <c r="DR94" s="31"/>
      <c r="DS94" s="31"/>
      <c r="DT94" s="31"/>
      <c r="DU94" s="31">
        <v>665.79958625122151</v>
      </c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</row>
    <row r="95" spans="1:214" x14ac:dyDescent="0.25">
      <c r="A95" s="32" t="s">
        <v>206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>
        <v>24.609901540636518</v>
      </c>
      <c r="AI95" s="31"/>
      <c r="AJ95" s="31">
        <v>33.112167284415847</v>
      </c>
      <c r="AK95" s="31"/>
      <c r="AL95" s="31"/>
      <c r="AM95" s="31">
        <v>46.950796628895134</v>
      </c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>
        <v>1.2938371927464469</v>
      </c>
      <c r="DA95" s="31">
        <v>1.5358519907837422</v>
      </c>
      <c r="DB95" s="31">
        <v>3.1158220337396521</v>
      </c>
      <c r="DC95" s="31">
        <v>4.2407319164682962</v>
      </c>
      <c r="DD95" s="31">
        <v>6.60922654031011</v>
      </c>
      <c r="DE95" s="31">
        <v>0.23712064642427144</v>
      </c>
      <c r="DF95" s="31">
        <v>0.44637633594888149</v>
      </c>
      <c r="DG95" s="31">
        <v>0.56375360315485712</v>
      </c>
      <c r="DH95" s="31">
        <v>0.90106068305876974</v>
      </c>
      <c r="DI95" s="31">
        <v>1.5539372124634103</v>
      </c>
      <c r="DJ95" s="31">
        <v>0.11789697530948576</v>
      </c>
      <c r="DK95" s="31">
        <v>0.22393239034205425</v>
      </c>
      <c r="DL95" s="31">
        <v>0.41958795816531813</v>
      </c>
      <c r="DM95" s="31">
        <v>1.0040940743410443</v>
      </c>
      <c r="DN95" s="31">
        <v>30.634602294454467</v>
      </c>
      <c r="DO95" s="31">
        <v>851.86247052685383</v>
      </c>
      <c r="DP95" s="31"/>
      <c r="DQ95" s="31"/>
      <c r="DR95" s="31"/>
      <c r="DS95" s="31"/>
      <c r="DT95" s="31">
        <v>333.53013386570063</v>
      </c>
      <c r="DU95" s="31">
        <v>1342.9633016942128</v>
      </c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</row>
    <row r="96" spans="1:214" x14ac:dyDescent="0.25">
      <c r="A96" s="32" t="s">
        <v>207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>
        <v>6.2914122931924713E-4</v>
      </c>
      <c r="O96" s="31">
        <v>1.9176211524390637E-2</v>
      </c>
      <c r="P96" s="31"/>
      <c r="Q96" s="31"/>
      <c r="R96" s="31">
        <v>4.5909021165853159E-2</v>
      </c>
      <c r="S96" s="31"/>
      <c r="T96" s="31">
        <v>7.8353813662866457E-3</v>
      </c>
      <c r="U96" s="31">
        <v>1.3143120130178565E-4</v>
      </c>
      <c r="V96" s="31">
        <v>5.3825270120188763E-2</v>
      </c>
      <c r="W96" s="31"/>
      <c r="X96" s="31">
        <v>0.54738009119909325</v>
      </c>
      <c r="Y96" s="31">
        <v>5.9468807779959443E-2</v>
      </c>
      <c r="Z96" s="31">
        <v>1.0890623962651874E-6</v>
      </c>
      <c r="AA96" s="31">
        <v>2.4751037858649965</v>
      </c>
      <c r="AB96" s="31">
        <v>2.6224183245611907E-2</v>
      </c>
      <c r="AC96" s="31">
        <v>3.1255399086970539E-3</v>
      </c>
      <c r="AD96" s="31">
        <v>8.2573687954495285E-3</v>
      </c>
      <c r="AE96" s="31">
        <v>4.9137704144087725E-2</v>
      </c>
      <c r="AF96" s="31">
        <v>0.17829949452747088</v>
      </c>
      <c r="AG96" s="31">
        <v>0.13250438565711403</v>
      </c>
      <c r="AH96" s="31">
        <v>0.37583653414288748</v>
      </c>
      <c r="AI96" s="31">
        <v>6.5826278633940805E-2</v>
      </c>
      <c r="AJ96" s="31">
        <v>4.8394166962035468E-2</v>
      </c>
      <c r="AK96" s="31">
        <v>5.1853972953607615E-2</v>
      </c>
      <c r="AL96" s="31">
        <v>0.19163528074546257</v>
      </c>
      <c r="AM96" s="31"/>
      <c r="AN96" s="31">
        <v>8.0822574996461796E-2</v>
      </c>
      <c r="AO96" s="31">
        <v>5.6043683980564873E-4</v>
      </c>
      <c r="AP96" s="31">
        <v>0.5260438773383409</v>
      </c>
      <c r="AQ96" s="31"/>
      <c r="AR96" s="31">
        <v>8.3118206041482132</v>
      </c>
      <c r="AS96" s="31">
        <v>2.2736723502089293</v>
      </c>
      <c r="AT96" s="31">
        <v>2.6347069241143442</v>
      </c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>
        <v>2.5088952091495202</v>
      </c>
      <c r="DA96" s="31">
        <v>4.4548059951806316</v>
      </c>
      <c r="DB96" s="31">
        <v>7.8041371789573128</v>
      </c>
      <c r="DC96" s="31">
        <v>14.999365686014524</v>
      </c>
      <c r="DD96" s="31">
        <v>24.38839085143821</v>
      </c>
      <c r="DE96" s="31">
        <v>0.42062912735584579</v>
      </c>
      <c r="DF96" s="31">
        <v>0.7274900561799611</v>
      </c>
      <c r="DG96" s="31">
        <v>1.0391531935162797</v>
      </c>
      <c r="DH96" s="31">
        <v>2.2689416380121448</v>
      </c>
      <c r="DI96" s="31">
        <v>3.2604064171263261</v>
      </c>
      <c r="DJ96" s="31">
        <v>0.34956396276195917</v>
      </c>
      <c r="DK96" s="31">
        <v>0.98177953506882698</v>
      </c>
      <c r="DL96" s="31">
        <v>1.8625685859057994</v>
      </c>
      <c r="DM96" s="31">
        <v>5.1668025790046466</v>
      </c>
      <c r="DN96" s="31">
        <v>101.56258815388085</v>
      </c>
      <c r="DO96" s="31">
        <v>208.75247659891102</v>
      </c>
      <c r="DP96" s="31"/>
      <c r="DQ96" s="31"/>
      <c r="DR96" s="31"/>
      <c r="DS96" s="31"/>
      <c r="DT96" s="31"/>
      <c r="DU96" s="31">
        <v>398.71617667634013</v>
      </c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</row>
    <row r="97" spans="1:214" x14ac:dyDescent="0.25">
      <c r="A97" s="32" t="s">
        <v>208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>
        <v>0.28170746657233742</v>
      </c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>
        <v>5.9101047705384735</v>
      </c>
      <c r="DA97" s="31">
        <v>7.0143656750045489</v>
      </c>
      <c r="DB97" s="31">
        <v>7.8152701435650549</v>
      </c>
      <c r="DC97" s="31">
        <v>9.0398419229885079</v>
      </c>
      <c r="DD97" s="31">
        <v>12.977856137113122</v>
      </c>
      <c r="DE97" s="31">
        <v>1.0533929679068637</v>
      </c>
      <c r="DF97" s="31">
        <v>1.3103665977960168</v>
      </c>
      <c r="DG97" s="31">
        <v>1.5020694069554004</v>
      </c>
      <c r="DH97" s="31">
        <v>2.9606186500128442</v>
      </c>
      <c r="DI97" s="31">
        <v>1.6671472841606718</v>
      </c>
      <c r="DJ97" s="31">
        <v>0.62668870820531952</v>
      </c>
      <c r="DK97" s="31">
        <v>1.3105815263018914</v>
      </c>
      <c r="DL97" s="31">
        <v>1.4164212336279742</v>
      </c>
      <c r="DM97" s="31">
        <v>2.8146165688028932</v>
      </c>
      <c r="DN97" s="31">
        <v>34.55192793354977</v>
      </c>
      <c r="DO97" s="31">
        <v>211.16812734485211</v>
      </c>
      <c r="DP97" s="31"/>
      <c r="DQ97" s="31"/>
      <c r="DR97" s="31"/>
      <c r="DS97" s="31"/>
      <c r="DT97" s="31">
        <v>9.0589672443017605E-2</v>
      </c>
      <c r="DU97" s="31">
        <v>303.51169401039681</v>
      </c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</row>
    <row r="98" spans="1:214" x14ac:dyDescent="0.25">
      <c r="A98" s="32" t="s">
        <v>209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>
        <v>10.070017695034881</v>
      </c>
      <c r="AR98" s="31">
        <v>3.0027595876365729</v>
      </c>
      <c r="AS98" s="31">
        <v>0.11059541763136115</v>
      </c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>
        <v>12.200373884206922</v>
      </c>
      <c r="DA98" s="31">
        <v>19.992950602680828</v>
      </c>
      <c r="DB98" s="31">
        <v>27.159667550938451</v>
      </c>
      <c r="DC98" s="31">
        <v>52.032565437637203</v>
      </c>
      <c r="DD98" s="31">
        <v>63.879826278415216</v>
      </c>
      <c r="DE98" s="31">
        <v>2.5267482626381668</v>
      </c>
      <c r="DF98" s="31">
        <v>4.1214177565836154</v>
      </c>
      <c r="DG98" s="31">
        <v>4.7949373493636598</v>
      </c>
      <c r="DH98" s="31">
        <v>7.332222564191647</v>
      </c>
      <c r="DI98" s="31">
        <v>14.424988989041344</v>
      </c>
      <c r="DJ98" s="31">
        <v>1.1622556073376438</v>
      </c>
      <c r="DK98" s="31">
        <v>2.532009690960682</v>
      </c>
      <c r="DL98" s="31">
        <v>5.5677056864196892</v>
      </c>
      <c r="DM98" s="31">
        <v>10.655592004330776</v>
      </c>
      <c r="DN98" s="31">
        <v>337.37356770307156</v>
      </c>
      <c r="DO98" s="31">
        <v>89.100598870667639</v>
      </c>
      <c r="DP98" s="31"/>
      <c r="DQ98" s="31"/>
      <c r="DR98" s="31"/>
      <c r="DS98" s="31"/>
      <c r="DT98" s="31">
        <v>5.1015757963935426</v>
      </c>
      <c r="DU98" s="31">
        <v>673.14237673518141</v>
      </c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</row>
    <row r="99" spans="1:214" x14ac:dyDescent="0.25">
      <c r="A99" s="32" t="s">
        <v>102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>
        <v>8.7920022351711058</v>
      </c>
      <c r="AV99" s="31">
        <v>10.181833245775792</v>
      </c>
      <c r="AW99" s="31">
        <v>4.3964348752512183</v>
      </c>
      <c r="AX99" s="31">
        <v>28.837580969060685</v>
      </c>
      <c r="AY99" s="31">
        <v>14.676557439849743</v>
      </c>
      <c r="AZ99" s="31">
        <v>36.187175013924545</v>
      </c>
      <c r="BA99" s="31">
        <v>0.85180792225352475</v>
      </c>
      <c r="BB99" s="31">
        <v>27.726992527386518</v>
      </c>
      <c r="BC99" s="31">
        <v>10.497062631586841</v>
      </c>
      <c r="BD99" s="31">
        <v>8.8736091577356024</v>
      </c>
      <c r="BE99" s="31">
        <v>32.086270771512964</v>
      </c>
      <c r="BF99" s="31">
        <v>2.9104908272853107</v>
      </c>
      <c r="BG99" s="31">
        <v>0.1021931772879785</v>
      </c>
      <c r="BH99" s="31">
        <v>188.13098919568444</v>
      </c>
      <c r="BI99" s="31">
        <v>7.6199393376841931</v>
      </c>
      <c r="BJ99" s="31">
        <v>1.7119136165417812</v>
      </c>
      <c r="BK99" s="31">
        <v>2.9691517120874291</v>
      </c>
      <c r="BL99" s="31">
        <v>5.5383046798133835</v>
      </c>
      <c r="BM99" s="31">
        <v>2.7553897856025884</v>
      </c>
      <c r="BN99" s="31">
        <v>12.828387107462788</v>
      </c>
      <c r="BO99" s="31">
        <v>71.864913421316302</v>
      </c>
      <c r="BP99" s="31">
        <v>3.2649338850515717</v>
      </c>
      <c r="BQ99" s="31">
        <v>107.7465842712252</v>
      </c>
      <c r="BR99" s="31">
        <v>21.986951857203557</v>
      </c>
      <c r="BS99" s="31">
        <v>75.828062486309989</v>
      </c>
      <c r="BT99" s="31">
        <v>14.600777717695241</v>
      </c>
      <c r="BU99" s="31">
        <v>111.45141201727678</v>
      </c>
      <c r="BV99" s="31">
        <v>43.144698161346497</v>
      </c>
      <c r="BW99" s="31">
        <v>49.728779241789404</v>
      </c>
      <c r="BX99" s="31">
        <v>216.97677286965933</v>
      </c>
      <c r="BY99" s="31">
        <v>6.3449645932666394</v>
      </c>
      <c r="BZ99" s="31"/>
      <c r="CA99" s="31"/>
      <c r="CB99" s="31"/>
      <c r="CC99" s="31"/>
      <c r="CD99" s="31"/>
      <c r="CE99" s="31"/>
      <c r="CF99" s="31"/>
      <c r="CG99" s="31">
        <v>10.402448548128316</v>
      </c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>
        <v>1141.0153852992273</v>
      </c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</row>
    <row r="100" spans="1:214" x14ac:dyDescent="0.25">
      <c r="A100" s="32" t="s">
        <v>552</v>
      </c>
      <c r="B100" s="31">
        <v>13.482590390436453</v>
      </c>
      <c r="C100" s="31">
        <v>13.476553722145656</v>
      </c>
      <c r="D100" s="31">
        <v>5.0710019411918035</v>
      </c>
      <c r="E100" s="31">
        <v>49.705572962945418</v>
      </c>
      <c r="F100" s="31">
        <v>8.7877183302775723</v>
      </c>
      <c r="G100" s="31">
        <v>15.305789419378275</v>
      </c>
      <c r="H100" s="31">
        <v>0.545916601122029</v>
      </c>
      <c r="I100" s="31">
        <v>31.472300970935486</v>
      </c>
      <c r="J100" s="31">
        <v>13.582913663936713</v>
      </c>
      <c r="K100" s="31">
        <v>6.3174431559525033</v>
      </c>
      <c r="L100" s="31">
        <v>142.11218015818096</v>
      </c>
      <c r="M100" s="31">
        <v>11.118808848616553</v>
      </c>
      <c r="N100" s="31">
        <v>9.4563736546488919E-2</v>
      </c>
      <c r="O100" s="31">
        <v>18.321921391417352</v>
      </c>
      <c r="P100" s="31">
        <v>2.9054722036319207</v>
      </c>
      <c r="Q100" s="31">
        <v>3.2046881771103396E-2</v>
      </c>
      <c r="R100" s="31">
        <v>1.5702649720789412</v>
      </c>
      <c r="S100" s="31">
        <v>3.9225401020731057</v>
      </c>
      <c r="T100" s="31">
        <v>2.2757825006169226</v>
      </c>
      <c r="U100" s="31">
        <v>6.6257582567489015</v>
      </c>
      <c r="V100" s="31">
        <v>24.083324958776384</v>
      </c>
      <c r="W100" s="31">
        <v>1.6289053639114091</v>
      </c>
      <c r="X100" s="31">
        <v>8.5876982690304722</v>
      </c>
      <c r="Y100" s="31">
        <v>3.3538419416119223</v>
      </c>
      <c r="Z100" s="31">
        <v>4.4475698473584501E-3</v>
      </c>
      <c r="AA100" s="31">
        <v>0.60815107709440508</v>
      </c>
      <c r="AB100" s="31">
        <v>3.4829539389230626</v>
      </c>
      <c r="AC100" s="31">
        <v>1.5199543284663035</v>
      </c>
      <c r="AD100" s="31">
        <v>7.8261038670136571</v>
      </c>
      <c r="AE100" s="31">
        <v>1.081916503215546</v>
      </c>
      <c r="AF100" s="31">
        <v>7.3106370406217041</v>
      </c>
      <c r="AG100" s="31">
        <v>3.7140572168544774</v>
      </c>
      <c r="AH100" s="31">
        <v>109.9384337944218</v>
      </c>
      <c r="AI100" s="31">
        <v>102.51846725745985</v>
      </c>
      <c r="AJ100" s="31">
        <v>62.406988388898696</v>
      </c>
      <c r="AK100" s="31">
        <v>2.4813276614447384</v>
      </c>
      <c r="AL100" s="31">
        <v>10.393955427972827</v>
      </c>
      <c r="AM100" s="31">
        <v>0.83093056448239222</v>
      </c>
      <c r="AN100" s="31">
        <v>0.67765374833751535</v>
      </c>
      <c r="AO100" s="31">
        <v>1.1414797906413132</v>
      </c>
      <c r="AP100" s="31">
        <v>17.956654336812463</v>
      </c>
      <c r="AQ100" s="31">
        <v>27.917874837515079</v>
      </c>
      <c r="AR100" s="31">
        <v>2.4052214030425225</v>
      </c>
      <c r="AS100" s="31">
        <v>3.450211084667278</v>
      </c>
      <c r="AT100" s="31">
        <v>63.016029109669653</v>
      </c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>
        <v>1.3621038281496773</v>
      </c>
      <c r="DU100" s="31">
        <v>816.42646351888686</v>
      </c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</row>
    <row r="101" spans="1:214" x14ac:dyDescent="0.25">
      <c r="A101" s="32" t="s">
        <v>553</v>
      </c>
      <c r="B101" s="31">
        <v>44.802435176895138</v>
      </c>
      <c r="C101" s="31">
        <v>42.729905177608458</v>
      </c>
      <c r="D101" s="31">
        <v>15.31977274974178</v>
      </c>
      <c r="E101" s="31">
        <v>148.18400482300532</v>
      </c>
      <c r="F101" s="31">
        <v>27.926062366470962</v>
      </c>
      <c r="G101" s="31">
        <v>67.814268487205737</v>
      </c>
      <c r="H101" s="31">
        <v>2.1384971527942556</v>
      </c>
      <c r="I101" s="31">
        <v>105.65055975226598</v>
      </c>
      <c r="J101" s="31">
        <v>42.608373739393777</v>
      </c>
      <c r="K101" s="31">
        <v>18.830910536645536</v>
      </c>
      <c r="L101" s="31">
        <v>176.26928279912565</v>
      </c>
      <c r="M101" s="31">
        <v>9.2437897223073069</v>
      </c>
      <c r="N101" s="31">
        <v>6.3718650179409558E-2</v>
      </c>
      <c r="O101" s="31">
        <v>30.231109262322263</v>
      </c>
      <c r="P101" s="31">
        <v>4.0027249008899144</v>
      </c>
      <c r="Q101" s="31">
        <v>5.2087304920870853E-2</v>
      </c>
      <c r="R101" s="31">
        <v>2.1265340540268727</v>
      </c>
      <c r="S101" s="31">
        <v>6.7796572735396978</v>
      </c>
      <c r="T101" s="31">
        <v>4.0295960827061963</v>
      </c>
      <c r="U101" s="31">
        <v>10.137946938409733</v>
      </c>
      <c r="V101" s="31">
        <v>26.169424621950384</v>
      </c>
      <c r="W101" s="31">
        <v>1.7286965939112469</v>
      </c>
      <c r="X101" s="31">
        <v>11.531989099376261</v>
      </c>
      <c r="Y101" s="31">
        <v>2.9417051133631986</v>
      </c>
      <c r="Z101" s="31">
        <v>5.0269524326422062E-3</v>
      </c>
      <c r="AA101" s="31">
        <v>0.68446051974512734</v>
      </c>
      <c r="AB101" s="31">
        <v>4.2898021574423213</v>
      </c>
      <c r="AC101" s="31">
        <v>1.4597946338532815</v>
      </c>
      <c r="AD101" s="31">
        <v>15.571351390679</v>
      </c>
      <c r="AE101" s="31">
        <v>2.8585508449936885</v>
      </c>
      <c r="AF101" s="31">
        <v>5.03643294393303</v>
      </c>
      <c r="AG101" s="31">
        <v>3.1074667100644251</v>
      </c>
      <c r="AH101" s="31">
        <v>205.39224435115955</v>
      </c>
      <c r="AI101" s="31">
        <v>107.68198066655685</v>
      </c>
      <c r="AJ101" s="31">
        <v>74.335806247380162</v>
      </c>
      <c r="AK101" s="31">
        <v>6.5361578032067609</v>
      </c>
      <c r="AL101" s="31">
        <v>22.236165850858946</v>
      </c>
      <c r="AM101" s="31">
        <v>0.90057570825405997</v>
      </c>
      <c r="AN101" s="31">
        <v>2.7061101546430035</v>
      </c>
      <c r="AO101" s="31">
        <v>5.8216654839384114</v>
      </c>
      <c r="AP101" s="31">
        <v>25.048022027683569</v>
      </c>
      <c r="AQ101" s="31">
        <v>38.64370616257969</v>
      </c>
      <c r="AR101" s="31">
        <v>3.2651589138465384</v>
      </c>
      <c r="AS101" s="31">
        <v>1.3628965617855442</v>
      </c>
      <c r="AT101" s="31">
        <v>84.687569544554236</v>
      </c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>
        <v>2.3612570047584187</v>
      </c>
      <c r="DU101" s="31">
        <v>1415.3052550134055</v>
      </c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</row>
    <row r="102" spans="1:214" x14ac:dyDescent="0.25">
      <c r="A102" s="32" t="s">
        <v>554</v>
      </c>
      <c r="B102" s="31">
        <v>8.8017916756223382</v>
      </c>
      <c r="C102" s="31">
        <v>7.5507026919905025</v>
      </c>
      <c r="D102" s="31">
        <v>2.332111777080117</v>
      </c>
      <c r="E102" s="31">
        <v>28.35619084452907</v>
      </c>
      <c r="F102" s="31">
        <v>5.0391833725345654</v>
      </c>
      <c r="G102" s="31">
        <v>7.9030716977418809</v>
      </c>
      <c r="H102" s="31">
        <v>0.46243440894584475</v>
      </c>
      <c r="I102" s="31">
        <v>17.706426699723057</v>
      </c>
      <c r="J102" s="31">
        <v>10.578477513572686</v>
      </c>
      <c r="K102" s="31">
        <v>17.968105864710907</v>
      </c>
      <c r="L102" s="31">
        <v>8.2608251138655486</v>
      </c>
      <c r="M102" s="31">
        <v>0.7880925280279818</v>
      </c>
      <c r="N102" s="31">
        <v>0.52694536260531866</v>
      </c>
      <c r="O102" s="31">
        <v>4.6591776438623498</v>
      </c>
      <c r="P102" s="31">
        <v>1.8303805122663062</v>
      </c>
      <c r="Q102" s="31">
        <v>1.5886972294451712E-2</v>
      </c>
      <c r="R102" s="31">
        <v>1.0167992277302895</v>
      </c>
      <c r="S102" s="31">
        <v>1.751140251609191</v>
      </c>
      <c r="T102" s="31">
        <v>0.93235560708171117</v>
      </c>
      <c r="U102" s="31">
        <v>3.6366172634454141</v>
      </c>
      <c r="V102" s="31">
        <v>21.734293118408548</v>
      </c>
      <c r="W102" s="31">
        <v>1.4477247755043718</v>
      </c>
      <c r="X102" s="31">
        <v>4.472074543854605</v>
      </c>
      <c r="Y102" s="31">
        <v>4.6646255430929262</v>
      </c>
      <c r="Z102" s="31">
        <v>2.5902876859239601E-2</v>
      </c>
      <c r="AA102" s="31">
        <v>2.303680429228125</v>
      </c>
      <c r="AB102" s="31">
        <v>0.76379812046388007</v>
      </c>
      <c r="AC102" s="31">
        <v>0.74276793660959328</v>
      </c>
      <c r="AD102" s="31">
        <v>3.8883938005739411</v>
      </c>
      <c r="AE102" s="31">
        <v>0.36136486588070343</v>
      </c>
      <c r="AF102" s="31">
        <v>8.6638180654974182</v>
      </c>
      <c r="AG102" s="31">
        <v>3.8831542718378582</v>
      </c>
      <c r="AH102" s="31">
        <v>47.168353196897058</v>
      </c>
      <c r="AI102" s="31">
        <v>83.245549513871211</v>
      </c>
      <c r="AJ102" s="31">
        <v>70.003448461904156</v>
      </c>
      <c r="AK102" s="31">
        <v>4.4239192821927453</v>
      </c>
      <c r="AL102" s="31">
        <v>5.2168173950111303</v>
      </c>
      <c r="AM102" s="31">
        <v>6.4716683782935647</v>
      </c>
      <c r="AN102" s="31">
        <v>4.7825517872645831</v>
      </c>
      <c r="AO102" s="31"/>
      <c r="AP102" s="31">
        <v>37.873373173656049</v>
      </c>
      <c r="AQ102" s="31">
        <v>44.436786579941142</v>
      </c>
      <c r="AR102" s="31">
        <v>35.119689561191166</v>
      </c>
      <c r="AS102" s="31">
        <v>9.2677710429933029</v>
      </c>
      <c r="AT102" s="31">
        <v>33.082560518884492</v>
      </c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>
        <v>0.94280357379211877</v>
      </c>
      <c r="DU102" s="31">
        <v>565.10360784294357</v>
      </c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</row>
    <row r="103" spans="1:214" x14ac:dyDescent="0.25">
      <c r="A103" s="32" t="s">
        <v>555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>
        <v>1.3257926604761403</v>
      </c>
      <c r="O103" s="31">
        <v>9.7962286669567078</v>
      </c>
      <c r="P103" s="31">
        <v>1.6468248423889245</v>
      </c>
      <c r="Q103" s="31">
        <v>1.1074213914119797E-2</v>
      </c>
      <c r="R103" s="31">
        <v>0.91125025690270078</v>
      </c>
      <c r="S103" s="31">
        <v>0.95571075877459555</v>
      </c>
      <c r="T103" s="31">
        <v>0.51629879672535783</v>
      </c>
      <c r="U103" s="31">
        <v>2.8384410259437276</v>
      </c>
      <c r="V103" s="31">
        <v>56.660987035910352</v>
      </c>
      <c r="W103" s="31">
        <v>2.9452960063574603</v>
      </c>
      <c r="X103" s="31">
        <v>3.7146396791848804</v>
      </c>
      <c r="Y103" s="31">
        <v>1.9025330626615504</v>
      </c>
      <c r="Z103" s="31">
        <v>8.0231666595959303E-2</v>
      </c>
      <c r="AA103" s="31">
        <v>7.0025681529402446</v>
      </c>
      <c r="AB103" s="31">
        <v>0.32211311967215905</v>
      </c>
      <c r="AC103" s="31">
        <v>0.2933936836858011</v>
      </c>
      <c r="AD103" s="31">
        <v>0.38167433686208346</v>
      </c>
      <c r="AE103" s="31">
        <v>1.5934689494581207</v>
      </c>
      <c r="AF103" s="31">
        <v>37.3566667528316</v>
      </c>
      <c r="AG103" s="31">
        <v>12.755096769761881</v>
      </c>
      <c r="AH103" s="31">
        <v>31.03946741919723</v>
      </c>
      <c r="AI103" s="31">
        <v>139.8825296789243</v>
      </c>
      <c r="AJ103" s="31">
        <v>135.16672397293505</v>
      </c>
      <c r="AK103" s="31">
        <v>5.4741395980099563</v>
      </c>
      <c r="AL103" s="31">
        <v>17.375102846051291</v>
      </c>
      <c r="AM103" s="31">
        <v>66.496965529746134</v>
      </c>
      <c r="AN103" s="31">
        <v>128.43382324480976</v>
      </c>
      <c r="AO103" s="31">
        <v>114.9108357447309</v>
      </c>
      <c r="AP103" s="31">
        <v>205.14063577650273</v>
      </c>
      <c r="AQ103" s="31">
        <v>412.06769009219801</v>
      </c>
      <c r="AR103" s="31">
        <v>158.33665311289997</v>
      </c>
      <c r="AS103" s="31">
        <v>97.706213249228455</v>
      </c>
      <c r="AT103" s="31">
        <v>238.22662468482224</v>
      </c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>
        <v>3.1639552692240018</v>
      </c>
      <c r="DU103" s="31">
        <v>1896.4316506572845</v>
      </c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</row>
    <row r="104" spans="1:214" x14ac:dyDescent="0.25">
      <c r="A104" s="32" t="s">
        <v>216</v>
      </c>
      <c r="B104" s="31">
        <v>71.655552377684259</v>
      </c>
      <c r="C104" s="31">
        <v>42.467705101415568</v>
      </c>
      <c r="D104" s="31">
        <v>21.814211295140048</v>
      </c>
      <c r="E104" s="31">
        <v>241.40428618917537</v>
      </c>
      <c r="F104" s="31">
        <v>32.867163700733087</v>
      </c>
      <c r="G104" s="31">
        <v>28.59202300602476</v>
      </c>
      <c r="H104" s="31">
        <v>2.0254781086588447</v>
      </c>
      <c r="I104" s="31">
        <v>123.04357605155566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>
        <v>563.86999583038767</v>
      </c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</row>
    <row r="105" spans="1:214" x14ac:dyDescent="0.25">
      <c r="A105" s="32" t="s">
        <v>557</v>
      </c>
      <c r="B105" s="31">
        <v>13.411565000266021</v>
      </c>
      <c r="C105" s="31">
        <v>16.549777721396193</v>
      </c>
      <c r="D105" s="31">
        <v>4.7263284299523658</v>
      </c>
      <c r="E105" s="31">
        <v>44.105445937894515</v>
      </c>
      <c r="F105" s="31">
        <v>9.0630386566289634</v>
      </c>
      <c r="G105" s="31">
        <v>16.665852318860789</v>
      </c>
      <c r="H105" s="31">
        <v>0.50978857684975754</v>
      </c>
      <c r="I105" s="31">
        <v>33.423978266826964</v>
      </c>
      <c r="J105" s="31"/>
      <c r="K105" s="31"/>
      <c r="L105" s="31">
        <v>218.30317173195601</v>
      </c>
      <c r="M105" s="31">
        <v>12.730020177563237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>
        <v>0.71409946187994766</v>
      </c>
      <c r="DU105" s="31">
        <v>370.20306628007472</v>
      </c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</row>
    <row r="106" spans="1:214" x14ac:dyDescent="0.25">
      <c r="A106" s="32" t="s">
        <v>558</v>
      </c>
      <c r="B106" s="31"/>
      <c r="C106" s="31"/>
      <c r="D106" s="31"/>
      <c r="E106" s="31"/>
      <c r="F106" s="31"/>
      <c r="G106" s="31"/>
      <c r="H106" s="31">
        <v>0.27328189758164023</v>
      </c>
      <c r="I106" s="31"/>
      <c r="J106" s="31">
        <v>79.691093822497123</v>
      </c>
      <c r="K106" s="31">
        <v>50.249012191970031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>
        <v>0.25165923366613507</v>
      </c>
      <c r="DU106" s="31">
        <v>130.46504714571495</v>
      </c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</row>
    <row r="107" spans="1:214" x14ac:dyDescent="0.25">
      <c r="A107" s="32" t="s">
        <v>559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>
        <v>2.1221033636363811</v>
      </c>
      <c r="O107" s="31">
        <v>25.926867116235766</v>
      </c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>
        <v>5.4209344594093857E-2</v>
      </c>
      <c r="DU107" s="31">
        <v>28.103179824466238</v>
      </c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</row>
    <row r="108" spans="1:214" x14ac:dyDescent="0.25">
      <c r="A108" s="32" t="s">
        <v>560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>
        <v>41.948007742842123</v>
      </c>
      <c r="P108" s="31">
        <v>11.53038248402822</v>
      </c>
      <c r="Q108" s="31">
        <v>0.1235480392161078</v>
      </c>
      <c r="R108" s="31">
        <v>6.2413838953693359</v>
      </c>
      <c r="S108" s="31">
        <v>13.504967305839363</v>
      </c>
      <c r="T108" s="31">
        <v>8.5501378095961318</v>
      </c>
      <c r="U108" s="31">
        <v>22.990374733709608</v>
      </c>
      <c r="V108" s="31">
        <v>174.17529683902359</v>
      </c>
      <c r="W108" s="31">
        <v>12.92501715413519</v>
      </c>
      <c r="X108" s="31">
        <v>42.422808426111729</v>
      </c>
      <c r="Y108" s="31">
        <v>21.203254166411178</v>
      </c>
      <c r="Z108" s="31">
        <v>0.48026073319662865</v>
      </c>
      <c r="AA108" s="31">
        <v>45.201788269378923</v>
      </c>
      <c r="AB108" s="31">
        <v>36.74569480190403</v>
      </c>
      <c r="AC108" s="31">
        <v>9.542035980850164</v>
      </c>
      <c r="AD108" s="31">
        <v>64.460408751309245</v>
      </c>
      <c r="AE108" s="31">
        <v>13.682107521111114</v>
      </c>
      <c r="AF108" s="31">
        <v>43.425599029475997</v>
      </c>
      <c r="AG108" s="31">
        <v>19.981506405925312</v>
      </c>
      <c r="AH108" s="31">
        <v>304.65703619198274</v>
      </c>
      <c r="AI108" s="31">
        <v>405.8962519487431</v>
      </c>
      <c r="AJ108" s="31">
        <v>230.06952449507622</v>
      </c>
      <c r="AK108" s="31">
        <v>18.726562143140942</v>
      </c>
      <c r="AL108" s="31">
        <v>79.136897327888661</v>
      </c>
      <c r="AM108" s="31">
        <v>106.28100119724947</v>
      </c>
      <c r="AN108" s="31">
        <v>88.398501754073763</v>
      </c>
      <c r="AO108" s="31">
        <v>522.41293218937892</v>
      </c>
      <c r="AP108" s="31">
        <v>234.71617773964346</v>
      </c>
      <c r="AQ108" s="31"/>
      <c r="AR108" s="31">
        <v>58.880936597054436</v>
      </c>
      <c r="AS108" s="31">
        <v>45.223327750038806</v>
      </c>
      <c r="AT108" s="31">
        <v>58.956854976269938</v>
      </c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>
        <v>5.3003234911056785</v>
      </c>
      <c r="DU108" s="31">
        <v>2747.7909078910802</v>
      </c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</row>
    <row r="109" spans="1:214" x14ac:dyDescent="0.25">
      <c r="A109" s="32" t="s">
        <v>104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>
        <v>25.678708317044489</v>
      </c>
      <c r="CX109" s="31">
        <v>2510.7379905292282</v>
      </c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>
        <v>420.11716401915311</v>
      </c>
      <c r="DP109" s="31"/>
      <c r="DQ109" s="31"/>
      <c r="DR109" s="31"/>
      <c r="DS109" s="31"/>
      <c r="DT109" s="31">
        <v>103.93003768866079</v>
      </c>
      <c r="DU109" s="31">
        <v>3060.4639005540866</v>
      </c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</row>
    <row r="110" spans="1:214" x14ac:dyDescent="0.25">
      <c r="A110" s="32" t="s">
        <v>217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>
        <v>95.626467609166582</v>
      </c>
      <c r="CQ110" s="31">
        <v>129.79886832729957</v>
      </c>
      <c r="CR110" s="31">
        <v>7.3935395372699038</v>
      </c>
      <c r="CS110" s="31">
        <v>0.32059426200917435</v>
      </c>
      <c r="CT110" s="31">
        <v>24.31706916969878</v>
      </c>
      <c r="CU110" s="31">
        <v>14.678575534861746</v>
      </c>
      <c r="CV110" s="31">
        <v>3.3008266935398125</v>
      </c>
      <c r="CW110" s="31"/>
      <c r="CX110" s="31"/>
      <c r="CY110" s="31">
        <v>25.517073374159892</v>
      </c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>
        <v>1.6806398209748397</v>
      </c>
      <c r="DP110" s="31"/>
      <c r="DQ110" s="31"/>
      <c r="DR110" s="31"/>
      <c r="DS110" s="31"/>
      <c r="DT110" s="31">
        <v>2.7004667183936215</v>
      </c>
      <c r="DU110" s="31">
        <v>305.33412104737391</v>
      </c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</row>
    <row r="111" spans="1:214" x14ac:dyDescent="0.25">
      <c r="A111" s="32" t="s">
        <v>218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>
        <v>93.326682825767463</v>
      </c>
      <c r="CQ111" s="31">
        <v>170.92787886796148</v>
      </c>
      <c r="CR111" s="31">
        <v>21.506664596664834</v>
      </c>
      <c r="CS111" s="31">
        <v>0.88990432534520769</v>
      </c>
      <c r="CT111" s="31">
        <v>52.183169279030047</v>
      </c>
      <c r="CU111" s="31">
        <v>31.580003437800318</v>
      </c>
      <c r="CV111" s="31">
        <v>8.0576712417736491</v>
      </c>
      <c r="CW111" s="31"/>
      <c r="CX111" s="31"/>
      <c r="CY111" s="31">
        <v>73.56429907745391</v>
      </c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>
        <v>1.6300943646235064</v>
      </c>
      <c r="DP111" s="31"/>
      <c r="DQ111" s="31"/>
      <c r="DR111" s="31"/>
      <c r="DS111" s="31"/>
      <c r="DT111" s="31">
        <v>3.6866803041407179</v>
      </c>
      <c r="DU111" s="31">
        <v>457.35304832056119</v>
      </c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</row>
    <row r="112" spans="1:214" x14ac:dyDescent="0.25">
      <c r="A112" s="32" t="s">
        <v>219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>
        <v>104.50081715886937</v>
      </c>
      <c r="CQ112" s="31">
        <v>206.73710555442329</v>
      </c>
      <c r="CR112" s="31">
        <v>32.058973221479327</v>
      </c>
      <c r="CS112" s="31">
        <v>1.7838232602618318</v>
      </c>
      <c r="CT112" s="31">
        <v>93.922247551329193</v>
      </c>
      <c r="CU112" s="31">
        <v>56.876649524381108</v>
      </c>
      <c r="CV112" s="31">
        <v>13.548231875652622</v>
      </c>
      <c r="CW112" s="31"/>
      <c r="CX112" s="31"/>
      <c r="CY112" s="31">
        <v>110.93562308035899</v>
      </c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>
        <v>1.9308092906316365</v>
      </c>
      <c r="DP112" s="31"/>
      <c r="DQ112" s="31"/>
      <c r="DR112" s="31"/>
      <c r="DS112" s="31"/>
      <c r="DT112" s="31">
        <v>8.4653494965301164</v>
      </c>
      <c r="DU112" s="31">
        <v>630.75963001391756</v>
      </c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</row>
    <row r="113" spans="1:214" x14ac:dyDescent="0.25">
      <c r="A113" s="32" t="s">
        <v>220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>
        <v>112.92058559446829</v>
      </c>
      <c r="CQ113" s="31">
        <v>228.39862136442116</v>
      </c>
      <c r="CR113" s="31">
        <v>51.988690706665572</v>
      </c>
      <c r="CS113" s="31">
        <v>20.24242494411698</v>
      </c>
      <c r="CT113" s="31">
        <v>171.9837410923333</v>
      </c>
      <c r="CU113" s="31">
        <v>103.25499259863233</v>
      </c>
      <c r="CV113" s="31">
        <v>30.301331179077359</v>
      </c>
      <c r="CW113" s="31"/>
      <c r="CX113" s="31"/>
      <c r="CY113" s="31">
        <v>189.67966970404413</v>
      </c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>
        <v>2.3541507800719779</v>
      </c>
      <c r="DP113" s="31"/>
      <c r="DQ113" s="31"/>
      <c r="DR113" s="31"/>
      <c r="DS113" s="31"/>
      <c r="DT113" s="31">
        <v>13.116571707925171</v>
      </c>
      <c r="DU113" s="31">
        <v>924.24077967175629</v>
      </c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</row>
    <row r="114" spans="1:214" x14ac:dyDescent="0.25">
      <c r="A114" s="32" t="s">
        <v>221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>
        <v>61.578658519799696</v>
      </c>
      <c r="CQ114" s="31">
        <v>133.04659042316362</v>
      </c>
      <c r="CR114" s="31">
        <v>72.235559068120139</v>
      </c>
      <c r="CS114" s="31">
        <v>131.22061727218122</v>
      </c>
      <c r="CT114" s="31">
        <v>155.65080531971964</v>
      </c>
      <c r="CU114" s="31">
        <v>92.361006852654896</v>
      </c>
      <c r="CV114" s="31">
        <v>30.723599311737857</v>
      </c>
      <c r="CW114" s="31"/>
      <c r="CX114" s="31"/>
      <c r="CY114" s="31">
        <v>368.79404028023856</v>
      </c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>
        <v>2.9512482711882346</v>
      </c>
      <c r="DP114" s="31"/>
      <c r="DQ114" s="31"/>
      <c r="DR114" s="31"/>
      <c r="DS114" s="31"/>
      <c r="DT114" s="31">
        <v>23.597306430102201</v>
      </c>
      <c r="DU114" s="31">
        <v>1072.1594317489062</v>
      </c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</row>
    <row r="115" spans="1:214" x14ac:dyDescent="0.25">
      <c r="A115" s="32" t="s">
        <v>595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>
        <v>20.711216896822968</v>
      </c>
      <c r="CQ115" s="31">
        <v>31.266250837644165</v>
      </c>
      <c r="CR115" s="31">
        <v>1.3070269236572276</v>
      </c>
      <c r="CS115" s="31">
        <v>0.15376173295960313</v>
      </c>
      <c r="CT115" s="31"/>
      <c r="CU115" s="31"/>
      <c r="CV115" s="31"/>
      <c r="CW115" s="31"/>
      <c r="CX115" s="31"/>
      <c r="CY115" s="31">
        <v>4.2849300958814096</v>
      </c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>
        <v>0.40182755998690639</v>
      </c>
      <c r="DP115" s="31"/>
      <c r="DQ115" s="31"/>
      <c r="DR115" s="31"/>
      <c r="DS115" s="31"/>
      <c r="DT115" s="31">
        <v>0.43125033759008724</v>
      </c>
      <c r="DU115" s="31">
        <v>58.556264384542359</v>
      </c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</row>
    <row r="116" spans="1:214" x14ac:dyDescent="0.25">
      <c r="A116" s="32" t="s">
        <v>596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>
        <v>24.90636810779106</v>
      </c>
      <c r="CQ116" s="31">
        <v>39.398563698911573</v>
      </c>
      <c r="CR116" s="31">
        <v>4.8802367613430091</v>
      </c>
      <c r="CS116" s="31">
        <v>0.57452948573209439</v>
      </c>
      <c r="CT116" s="31"/>
      <c r="CU116" s="31"/>
      <c r="CV116" s="31"/>
      <c r="CW116" s="31"/>
      <c r="CX116" s="31"/>
      <c r="CY116" s="31">
        <v>17.481698698480809</v>
      </c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>
        <v>0.37948367240503994</v>
      </c>
      <c r="DP116" s="31"/>
      <c r="DQ116" s="31"/>
      <c r="DR116" s="31"/>
      <c r="DS116" s="31"/>
      <c r="DT116" s="31">
        <v>0.81684993715284238</v>
      </c>
      <c r="DU116" s="31">
        <v>88.437730361816435</v>
      </c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</row>
    <row r="117" spans="1:214" x14ac:dyDescent="0.25">
      <c r="A117" s="32" t="s">
        <v>597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>
        <v>27.590102739457272</v>
      </c>
      <c r="CQ117" s="31">
        <v>47.884839276150139</v>
      </c>
      <c r="CR117" s="31">
        <v>6.4480831821630877</v>
      </c>
      <c r="CS117" s="31">
        <v>0.85858993301232278</v>
      </c>
      <c r="CT117" s="31"/>
      <c r="CU117" s="31"/>
      <c r="CV117" s="31"/>
      <c r="CW117" s="31"/>
      <c r="CX117" s="31"/>
      <c r="CY117" s="31">
        <v>23.727061763381379</v>
      </c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>
        <v>0.36752439712626817</v>
      </c>
      <c r="DP117" s="31"/>
      <c r="DQ117" s="31"/>
      <c r="DR117" s="31"/>
      <c r="DS117" s="31"/>
      <c r="DT117" s="31">
        <v>1.4286297175480467</v>
      </c>
      <c r="DU117" s="31">
        <v>108.30483100883853</v>
      </c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</row>
    <row r="118" spans="1:214" x14ac:dyDescent="0.25">
      <c r="A118" s="32" t="s">
        <v>598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>
        <v>28.570817289807309</v>
      </c>
      <c r="CQ118" s="31">
        <v>45.600913566211439</v>
      </c>
      <c r="CR118" s="31">
        <v>11.648300060692927</v>
      </c>
      <c r="CS118" s="31">
        <v>4.8325061701782914</v>
      </c>
      <c r="CT118" s="31"/>
      <c r="CU118" s="31"/>
      <c r="CV118" s="31"/>
      <c r="CW118" s="31"/>
      <c r="CX118" s="31"/>
      <c r="CY118" s="31">
        <v>48.434890163407601</v>
      </c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>
        <v>0.25580955718238185</v>
      </c>
      <c r="DP118" s="31"/>
      <c r="DQ118" s="31"/>
      <c r="DR118" s="31"/>
      <c r="DS118" s="31"/>
      <c r="DT118" s="31">
        <v>2.0758427981320793</v>
      </c>
      <c r="DU118" s="31">
        <v>141.41907960561201</v>
      </c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</row>
    <row r="119" spans="1:214" x14ac:dyDescent="0.25">
      <c r="A119" s="32" t="s">
        <v>599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>
        <v>9.5412055381610656</v>
      </c>
      <c r="CQ119" s="31">
        <v>24.305799409957039</v>
      </c>
      <c r="CR119" s="31">
        <v>18.002808239428703</v>
      </c>
      <c r="CS119" s="31">
        <v>37.008357676521435</v>
      </c>
      <c r="CT119" s="31"/>
      <c r="CU119" s="31"/>
      <c r="CV119" s="31"/>
      <c r="CW119" s="31"/>
      <c r="CX119" s="31"/>
      <c r="CY119" s="31">
        <v>95.863361953937485</v>
      </c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>
        <v>0.48681932694299923</v>
      </c>
      <c r="DP119" s="31"/>
      <c r="DQ119" s="31"/>
      <c r="DR119" s="31"/>
      <c r="DS119" s="31"/>
      <c r="DT119" s="31">
        <v>8.1385486442844535</v>
      </c>
      <c r="DU119" s="31">
        <v>193.34690078923316</v>
      </c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</row>
    <row r="120" spans="1:214" x14ac:dyDescent="0.25">
      <c r="A120" s="32" t="s">
        <v>222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>
        <v>13.847786283732805</v>
      </c>
      <c r="CQ120" s="31">
        <v>10.171800448141727</v>
      </c>
      <c r="CR120" s="31">
        <v>1.4686612176003333</v>
      </c>
      <c r="CS120" s="31">
        <v>0.51917753151542934</v>
      </c>
      <c r="CT120" s="31">
        <v>0.5783171805975662</v>
      </c>
      <c r="CU120" s="31">
        <v>0.34751486652483726</v>
      </c>
      <c r="CV120" s="31">
        <v>8.4272031479700624E-2</v>
      </c>
      <c r="CW120" s="31"/>
      <c r="CX120" s="31"/>
      <c r="CY120" s="31">
        <v>3.6718074608056614</v>
      </c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>
        <v>0.16788707787058252</v>
      </c>
      <c r="DP120" s="31"/>
      <c r="DQ120" s="31"/>
      <c r="DR120" s="31"/>
      <c r="DS120" s="31"/>
      <c r="DT120" s="31">
        <v>0.14730993695476352</v>
      </c>
      <c r="DU120" s="31">
        <v>31.004534035223401</v>
      </c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</row>
    <row r="121" spans="1:214" x14ac:dyDescent="0.25">
      <c r="A121" s="32" t="s">
        <v>223</v>
      </c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>
        <v>20.765729391282335</v>
      </c>
      <c r="CQ121" s="31">
        <v>22.504085889446838</v>
      </c>
      <c r="CR121" s="31">
        <v>4.4474384626668524</v>
      </c>
      <c r="CS121" s="31">
        <v>1.5697221942933379</v>
      </c>
      <c r="CT121" s="31">
        <v>1.7456277170854393</v>
      </c>
      <c r="CU121" s="31">
        <v>1.0505391818298349</v>
      </c>
      <c r="CV121" s="31">
        <v>0.41450242080861988</v>
      </c>
      <c r="CW121" s="31"/>
      <c r="CX121" s="31"/>
      <c r="CY121" s="31">
        <v>12.653801954119423</v>
      </c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>
        <v>0.26001666053956735</v>
      </c>
      <c r="DP121" s="31"/>
      <c r="DQ121" s="31"/>
      <c r="DR121" s="31"/>
      <c r="DS121" s="31"/>
      <c r="DT121" s="31">
        <v>0.38578307657224165</v>
      </c>
      <c r="DU121" s="31">
        <v>65.797246948644485</v>
      </c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</row>
    <row r="122" spans="1:214" x14ac:dyDescent="0.25">
      <c r="A122" s="32" t="s">
        <v>224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>
        <v>28.141814303509094</v>
      </c>
      <c r="CQ122" s="31">
        <v>37.411873067062629</v>
      </c>
      <c r="CR122" s="31">
        <v>9.5050956802875479</v>
      </c>
      <c r="CS122" s="31">
        <v>3.3566294180969019</v>
      </c>
      <c r="CT122" s="31">
        <v>4.9592414545160883</v>
      </c>
      <c r="CU122" s="31">
        <v>2.9858923240302695</v>
      </c>
      <c r="CV122" s="31">
        <v>1.1152915762368059</v>
      </c>
      <c r="CW122" s="31"/>
      <c r="CX122" s="31"/>
      <c r="CY122" s="31">
        <v>23.440461123783912</v>
      </c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>
        <v>0.28438037986790987</v>
      </c>
      <c r="DP122" s="31"/>
      <c r="DQ122" s="31"/>
      <c r="DR122" s="31"/>
      <c r="DS122" s="31"/>
      <c r="DT122" s="31">
        <v>0.62118185692423245</v>
      </c>
      <c r="DU122" s="31">
        <v>111.8218611843154</v>
      </c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</row>
    <row r="123" spans="1:214" x14ac:dyDescent="0.25">
      <c r="A123" s="32" t="s">
        <v>225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>
        <v>42.294547678443429</v>
      </c>
      <c r="CQ123" s="31">
        <v>65.71518947423435</v>
      </c>
      <c r="CR123" s="31">
        <v>25.993373114289234</v>
      </c>
      <c r="CS123" s="31">
        <v>16.68877830714143</v>
      </c>
      <c r="CT123" s="31">
        <v>11.825589066105016</v>
      </c>
      <c r="CU123" s="31">
        <v>7.0959671626265877</v>
      </c>
      <c r="CV123" s="31">
        <v>6.4205511442587602</v>
      </c>
      <c r="CW123" s="31"/>
      <c r="CX123" s="31"/>
      <c r="CY123" s="31">
        <v>73.905810021558068</v>
      </c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>
        <v>0.68248483298948381</v>
      </c>
      <c r="DP123" s="31"/>
      <c r="DQ123" s="31"/>
      <c r="DR123" s="31"/>
      <c r="DS123" s="31"/>
      <c r="DT123" s="31">
        <v>1.3478707965620322</v>
      </c>
      <c r="DU123" s="31">
        <v>251.97016159820836</v>
      </c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</row>
    <row r="124" spans="1:214" x14ac:dyDescent="0.25">
      <c r="A124" s="32" t="s">
        <v>226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>
        <v>127.32781635153238</v>
      </c>
      <c r="CQ124" s="31">
        <v>213.85776825783989</v>
      </c>
      <c r="CR124" s="31">
        <v>292.91347233239202</v>
      </c>
      <c r="CS124" s="31">
        <v>1665.3186840804369</v>
      </c>
      <c r="CT124" s="31">
        <v>46.704187999972589</v>
      </c>
      <c r="CU124" s="31">
        <v>28.034372115423238</v>
      </c>
      <c r="CV124" s="31">
        <v>25.243502776268084</v>
      </c>
      <c r="CW124" s="31"/>
      <c r="CX124" s="31"/>
      <c r="CY124" s="31">
        <v>1476.7427536071564</v>
      </c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>
        <v>12.177327375788455</v>
      </c>
      <c r="DP124" s="31"/>
      <c r="DQ124" s="31"/>
      <c r="DR124" s="31"/>
      <c r="DS124" s="31"/>
      <c r="DT124" s="31">
        <v>187.25457110027222</v>
      </c>
      <c r="DU124" s="31">
        <v>4075.5744559970817</v>
      </c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</row>
    <row r="125" spans="1:214" x14ac:dyDescent="0.25">
      <c r="A125" s="32" t="s">
        <v>106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>
        <v>18.114670636273686</v>
      </c>
      <c r="CZ125" s="31">
        <v>0.78392793963538188</v>
      </c>
      <c r="DA125" s="31">
        <v>2.0348706061890645</v>
      </c>
      <c r="DB125" s="31">
        <v>3.0299314745680821</v>
      </c>
      <c r="DC125" s="31">
        <v>6.0555747170770609</v>
      </c>
      <c r="DD125" s="31">
        <v>22.867286516390749</v>
      </c>
      <c r="DE125" s="31">
        <v>0.10126672698991446</v>
      </c>
      <c r="DF125" s="31">
        <v>0.39700830873037712</v>
      </c>
      <c r="DG125" s="31">
        <v>0.49433447955921528</v>
      </c>
      <c r="DH125" s="31">
        <v>1.0553528815451716</v>
      </c>
      <c r="DI125" s="31">
        <v>5.5111892674114467</v>
      </c>
      <c r="DJ125" s="31">
        <v>0.24637107916333412</v>
      </c>
      <c r="DK125" s="31">
        <v>0.64613429477091811</v>
      </c>
      <c r="DL125" s="31">
        <v>1.2576972804339839</v>
      </c>
      <c r="DM125" s="31">
        <v>3.5108496824740847</v>
      </c>
      <c r="DN125" s="31">
        <v>182.63638403942866</v>
      </c>
      <c r="DO125" s="31"/>
      <c r="DP125" s="31">
        <v>575.83610715141901</v>
      </c>
      <c r="DQ125" s="31">
        <v>112.87342399228255</v>
      </c>
      <c r="DR125" s="31">
        <v>675.22840822065007</v>
      </c>
      <c r="DS125" s="31"/>
      <c r="DT125" s="31">
        <v>402.44096544076496</v>
      </c>
      <c r="DU125" s="31">
        <v>2015.1217547357578</v>
      </c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</row>
    <row r="126" spans="1:214" x14ac:dyDescent="0.25">
      <c r="A126" s="32" t="s">
        <v>110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>
        <v>155.79112069685689</v>
      </c>
      <c r="CZ126" s="31">
        <v>3.0967249444301972</v>
      </c>
      <c r="DA126" s="31">
        <v>8.2345138703549363</v>
      </c>
      <c r="DB126" s="31">
        <v>12.160474840993457</v>
      </c>
      <c r="DC126" s="31">
        <v>21.904750769115964</v>
      </c>
      <c r="DD126" s="31">
        <v>49.575291891801918</v>
      </c>
      <c r="DE126" s="31">
        <v>0.47974388762362452</v>
      </c>
      <c r="DF126" s="31">
        <v>1.5929131748096719</v>
      </c>
      <c r="DG126" s="31">
        <v>1.8789828437244218</v>
      </c>
      <c r="DH126" s="31">
        <v>3.6582828715800249</v>
      </c>
      <c r="DI126" s="31">
        <v>11.554215571508532</v>
      </c>
      <c r="DJ126" s="31">
        <v>0.7893374308843718</v>
      </c>
      <c r="DK126" s="31">
        <v>1.8639317687536801</v>
      </c>
      <c r="DL126" s="31">
        <v>3.5484745674788236</v>
      </c>
      <c r="DM126" s="31">
        <v>8.4543927343012655</v>
      </c>
      <c r="DN126" s="31">
        <v>291.25295528720119</v>
      </c>
      <c r="DO126" s="31"/>
      <c r="DP126" s="31"/>
      <c r="DQ126" s="31"/>
      <c r="DR126" s="31"/>
      <c r="DS126" s="31"/>
      <c r="DT126" s="31"/>
      <c r="DU126" s="31">
        <v>575.8361071514189</v>
      </c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</row>
    <row r="127" spans="1:214" x14ac:dyDescent="0.25">
      <c r="A127" s="32" t="s">
        <v>116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>
        <v>0.18283670858937473</v>
      </c>
      <c r="AV127" s="31">
        <v>2.9315046825289393E-3</v>
      </c>
      <c r="AW127" s="31">
        <v>2.2656132998259908E-2</v>
      </c>
      <c r="AX127" s="31"/>
      <c r="AY127" s="31">
        <v>9.3198710370687046E-4</v>
      </c>
      <c r="AZ127" s="31"/>
      <c r="BA127" s="31"/>
      <c r="BB127" s="31">
        <v>0.12668657707974801</v>
      </c>
      <c r="BC127" s="31"/>
      <c r="BD127" s="31"/>
      <c r="BE127" s="31"/>
      <c r="BF127" s="31"/>
      <c r="BG127" s="31"/>
      <c r="BH127" s="31">
        <v>2.8918249646000249</v>
      </c>
      <c r="BI127" s="31"/>
      <c r="BJ127" s="31">
        <v>0.87687366731189398</v>
      </c>
      <c r="BK127" s="31">
        <v>0.11341403353560227</v>
      </c>
      <c r="BL127" s="31">
        <v>2.5923537589550674</v>
      </c>
      <c r="BM127" s="31">
        <v>0.46067337008062592</v>
      </c>
      <c r="BN127" s="31"/>
      <c r="BO127" s="31">
        <v>2.9117106948134688</v>
      </c>
      <c r="BP127" s="31">
        <v>2.4095562097694576E-3</v>
      </c>
      <c r="BQ127" s="31">
        <v>19.20849988514799</v>
      </c>
      <c r="BR127" s="31">
        <v>4.0573052644914656</v>
      </c>
      <c r="BS127" s="31">
        <v>1.7362821013657437</v>
      </c>
      <c r="BT127" s="31"/>
      <c r="BU127" s="31">
        <v>11.393259736540337</v>
      </c>
      <c r="BV127" s="31">
        <v>3.9027099524897797</v>
      </c>
      <c r="BW127" s="31">
        <v>13.143128556177707</v>
      </c>
      <c r="BX127" s="31">
        <v>48.29942511299425</v>
      </c>
      <c r="BY127" s="31">
        <v>0.53140480943387669</v>
      </c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>
        <v>0.41610561768144555</v>
      </c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>
        <v>112.87342399228268</v>
      </c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</row>
    <row r="128" spans="1:214" x14ac:dyDescent="0.25">
      <c r="A128" s="32" t="s">
        <v>118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>
        <v>5.5188003024195888E-2</v>
      </c>
      <c r="BH128" s="31">
        <v>0.1029116463777769</v>
      </c>
      <c r="BI128" s="31">
        <v>4.9331381861520436</v>
      </c>
      <c r="BJ128" s="31">
        <v>1.7819017283558349</v>
      </c>
      <c r="BK128" s="31">
        <v>1.9368537310293625</v>
      </c>
      <c r="BL128" s="31">
        <v>8.1474682597537313</v>
      </c>
      <c r="BM128" s="31">
        <v>1.3074242831287917</v>
      </c>
      <c r="BN128" s="31">
        <v>0.28372181084907044</v>
      </c>
      <c r="BO128" s="31">
        <v>122.78061226598788</v>
      </c>
      <c r="BP128" s="31">
        <v>6.7231569680435328</v>
      </c>
      <c r="BQ128" s="31">
        <v>35.753985900738854</v>
      </c>
      <c r="BR128" s="31">
        <v>7.3897997336281396</v>
      </c>
      <c r="BS128" s="31">
        <v>52.855873935540515</v>
      </c>
      <c r="BT128" s="31"/>
      <c r="BU128" s="31">
        <v>29.339833806111947</v>
      </c>
      <c r="BV128" s="31">
        <v>1.1862280365394973</v>
      </c>
      <c r="BW128" s="31">
        <v>3.535471698852068</v>
      </c>
      <c r="BX128" s="31">
        <v>81.187450280353175</v>
      </c>
      <c r="BY128" s="31">
        <v>4.7509514718716632</v>
      </c>
      <c r="BZ128" s="31">
        <v>9.3144656430648801E-2</v>
      </c>
      <c r="CA128" s="31">
        <v>1.3287409170562412</v>
      </c>
      <c r="CB128" s="31">
        <v>15.477030524577627</v>
      </c>
      <c r="CC128" s="31"/>
      <c r="CD128" s="31">
        <v>127.08877777315483</v>
      </c>
      <c r="CE128" s="31">
        <v>7.3712723694801223</v>
      </c>
      <c r="CF128" s="31"/>
      <c r="CG128" s="31">
        <v>32.086628919060153</v>
      </c>
      <c r="CH128" s="31">
        <v>19.036320860338822</v>
      </c>
      <c r="CI128" s="31"/>
      <c r="CJ128" s="31">
        <v>75.507857101947081</v>
      </c>
      <c r="CK128" s="31"/>
      <c r="CL128" s="31"/>
      <c r="CM128" s="31"/>
      <c r="CN128" s="31">
        <v>33.186663352266557</v>
      </c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>
        <v>675.22840822065018</v>
      </c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</row>
    <row r="129" spans="1:214" x14ac:dyDescent="0.25">
      <c r="A129" s="32" t="s">
        <v>120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>
        <v>329.74903912146112</v>
      </c>
      <c r="CZ129" s="31">
        <v>6.794776825054532</v>
      </c>
      <c r="DA129" s="31">
        <v>10.78583610317663</v>
      </c>
      <c r="DB129" s="31">
        <v>16.408781688741051</v>
      </c>
      <c r="DC129" s="31">
        <v>34.751384176288113</v>
      </c>
      <c r="DD129" s="31">
        <v>44.744823366768117</v>
      </c>
      <c r="DE129" s="31">
        <v>1.265698826465913</v>
      </c>
      <c r="DF129" s="31">
        <v>1.8870376867129031</v>
      </c>
      <c r="DG129" s="31">
        <v>3.4413781088667403</v>
      </c>
      <c r="DH129" s="31">
        <v>5.6651712988197325</v>
      </c>
      <c r="DI129" s="31">
        <v>7.955119443775815</v>
      </c>
      <c r="DJ129" s="31">
        <v>0.70190822541926834</v>
      </c>
      <c r="DK129" s="31">
        <v>2.2656950333027908</v>
      </c>
      <c r="DL129" s="31">
        <v>2.7893539540838335</v>
      </c>
      <c r="DM129" s="31">
        <v>18.50672759233899</v>
      </c>
      <c r="DN129" s="31">
        <v>612.13678404951327</v>
      </c>
      <c r="DO129" s="31">
        <v>67.755565004111034</v>
      </c>
      <c r="DP129" s="31"/>
      <c r="DQ129" s="31"/>
      <c r="DR129" s="31"/>
      <c r="DS129" s="31"/>
      <c r="DT129" s="31">
        <v>1007.0557837020801</v>
      </c>
      <c r="DU129" s="31">
        <v>2174.66086420698</v>
      </c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</row>
    <row r="130" spans="1:214" x14ac:dyDescent="0.25">
      <c r="A130" s="32" t="s">
        <v>124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>
        <v>21.105012896656387</v>
      </c>
      <c r="AV130" s="31">
        <v>0.89035867745315778</v>
      </c>
      <c r="AW130" s="31">
        <v>7.204524597184168</v>
      </c>
      <c r="AX130" s="31"/>
      <c r="AY130" s="31">
        <v>1.3799763169733685</v>
      </c>
      <c r="AZ130" s="31"/>
      <c r="BA130" s="31"/>
      <c r="BB130" s="31">
        <v>2.9203400861927906</v>
      </c>
      <c r="BC130" s="31">
        <v>0.53370871975309075</v>
      </c>
      <c r="BD130" s="31"/>
      <c r="BE130" s="31"/>
      <c r="BF130" s="31"/>
      <c r="BG130" s="31">
        <v>0.10352232066894985</v>
      </c>
      <c r="BH130" s="31">
        <v>14.43429369982996</v>
      </c>
      <c r="BI130" s="31"/>
      <c r="BJ130" s="31">
        <v>15.79478981476495</v>
      </c>
      <c r="BK130" s="31">
        <v>2.830332953568639</v>
      </c>
      <c r="BL130" s="31">
        <v>36.602128573372632</v>
      </c>
      <c r="BM130" s="31">
        <v>6.2905566933110624</v>
      </c>
      <c r="BN130" s="31">
        <v>22.902750942786248</v>
      </c>
      <c r="BO130" s="31">
        <v>93.871824464421209</v>
      </c>
      <c r="BP130" s="31">
        <v>3.3897788999020322</v>
      </c>
      <c r="BQ130" s="31">
        <v>138.1298549634962</v>
      </c>
      <c r="BR130" s="31">
        <v>82.264724408695315</v>
      </c>
      <c r="BS130" s="31">
        <v>541.87405150089057</v>
      </c>
      <c r="BT130" s="31">
        <v>103.73004245384409</v>
      </c>
      <c r="BU130" s="31">
        <v>328.79879783604753</v>
      </c>
      <c r="BV130" s="31">
        <v>71.566899829410744</v>
      </c>
      <c r="BW130" s="31">
        <v>296.36888632441844</v>
      </c>
      <c r="BX130" s="31">
        <v>800.33575286812925</v>
      </c>
      <c r="BY130" s="31">
        <v>24.653671727396322</v>
      </c>
      <c r="BZ130" s="31"/>
      <c r="CA130" s="31"/>
      <c r="CB130" s="31"/>
      <c r="CC130" s="31"/>
      <c r="CD130" s="31">
        <v>398.60132342573138</v>
      </c>
      <c r="CE130" s="31">
        <v>56.129614524096731</v>
      </c>
      <c r="CF130" s="31"/>
      <c r="CG130" s="31">
        <v>194.49909807581673</v>
      </c>
      <c r="CH130" s="31">
        <v>45.440467987579289</v>
      </c>
      <c r="CI130" s="31"/>
      <c r="CJ130" s="31"/>
      <c r="CK130" s="31"/>
      <c r="CL130" s="31"/>
      <c r="CM130" s="31">
        <v>0.49623103946761904</v>
      </c>
      <c r="CN130" s="31">
        <v>26.978548875371704</v>
      </c>
      <c r="CO130" s="31"/>
      <c r="CP130" s="31">
        <v>4.7758472302757342</v>
      </c>
      <c r="CQ130" s="31">
        <v>8.2791065505363761</v>
      </c>
      <c r="CR130" s="31">
        <v>3.305684738222737</v>
      </c>
      <c r="CS130" s="31">
        <v>11.093550063482613</v>
      </c>
      <c r="CT130" s="31"/>
      <c r="CU130" s="31">
        <v>31.937552681309569</v>
      </c>
      <c r="CV130" s="31">
        <v>11.255266894881665</v>
      </c>
      <c r="CW130" s="31">
        <v>2.4244715074217495</v>
      </c>
      <c r="CX130" s="31">
        <v>237.05291736185211</v>
      </c>
      <c r="CY130" s="31">
        <v>8.1117877407276922</v>
      </c>
      <c r="CZ130" s="31">
        <v>0.63760869116981933</v>
      </c>
      <c r="DA130" s="31">
        <v>0.75923834293149461</v>
      </c>
      <c r="DB130" s="31">
        <v>1.5973331532085318</v>
      </c>
      <c r="DC130" s="31">
        <v>2.1907102183176832</v>
      </c>
      <c r="DD130" s="31">
        <v>3.5389398105107208</v>
      </c>
      <c r="DE130" s="31">
        <v>9.3909344314157581E-2</v>
      </c>
      <c r="DF130" s="31">
        <v>0.14180611698435111</v>
      </c>
      <c r="DG130" s="31">
        <v>0.20987967976430372</v>
      </c>
      <c r="DH130" s="31">
        <v>0.27045129364500697</v>
      </c>
      <c r="DI130" s="31">
        <v>1.1830786639796855</v>
      </c>
      <c r="DJ130" s="31">
        <v>5.5283628076063247E-2</v>
      </c>
      <c r="DK130" s="31">
        <v>0.10340534306467081</v>
      </c>
      <c r="DL130" s="31">
        <v>0.13167207282462584</v>
      </c>
      <c r="DM130" s="31">
        <v>0.22213654239463038</v>
      </c>
      <c r="DN130" s="31">
        <v>26.490434064895766</v>
      </c>
      <c r="DO130" s="31">
        <v>47.918201048517084</v>
      </c>
      <c r="DP130" s="31"/>
      <c r="DQ130" s="31"/>
      <c r="DR130" s="31"/>
      <c r="DS130" s="31"/>
      <c r="DT130" s="31"/>
      <c r="DU130" s="31">
        <v>3743.9021382805395</v>
      </c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</row>
    <row r="131" spans="1:214" x14ac:dyDescent="0.25">
      <c r="A131" s="32" t="s">
        <v>126</v>
      </c>
      <c r="B131" s="31">
        <v>162.9128384247314</v>
      </c>
      <c r="C131" s="31">
        <v>128.82075160646042</v>
      </c>
      <c r="D131" s="31">
        <v>65.683023449478341</v>
      </c>
      <c r="E131" s="31">
        <v>547.10387565746339</v>
      </c>
      <c r="F131" s="31">
        <v>86.182051096777457</v>
      </c>
      <c r="G131" s="31">
        <v>208.45876993302008</v>
      </c>
      <c r="H131" s="31">
        <v>6.4427698244643734</v>
      </c>
      <c r="I131" s="31">
        <v>318.35484130629072</v>
      </c>
      <c r="J131" s="31">
        <v>175.68483582705164</v>
      </c>
      <c r="K131" s="31">
        <v>115.86282437899607</v>
      </c>
      <c r="L131" s="31">
        <v>599.65869560881379</v>
      </c>
      <c r="M131" s="31">
        <v>35.342765001903977</v>
      </c>
      <c r="N131" s="31">
        <v>5.0369698728873988</v>
      </c>
      <c r="O131" s="31">
        <v>188.76314864227956</v>
      </c>
      <c r="P131" s="31">
        <v>106.61091007307357</v>
      </c>
      <c r="Q131" s="31">
        <v>1.0624986859168613</v>
      </c>
      <c r="R131" s="31">
        <v>36.388925888861053</v>
      </c>
      <c r="S131" s="31">
        <v>56.68393585590799</v>
      </c>
      <c r="T131" s="31">
        <v>29.271442184190569</v>
      </c>
      <c r="U131" s="31">
        <v>147.45259936757589</v>
      </c>
      <c r="V131" s="31">
        <v>696.89607236783263</v>
      </c>
      <c r="W131" s="31">
        <v>37.508228384492966</v>
      </c>
      <c r="X131" s="31">
        <v>146.05316511988087</v>
      </c>
      <c r="Y131" s="31">
        <v>72.74918056257377</v>
      </c>
      <c r="Z131" s="31">
        <v>0.69963231620544497</v>
      </c>
      <c r="AA131" s="31">
        <v>111.65256968843606</v>
      </c>
      <c r="AB131" s="31">
        <v>98.698386304703405</v>
      </c>
      <c r="AC131" s="31">
        <v>75.890286922689228</v>
      </c>
      <c r="AD131" s="31">
        <v>135.94788688959085</v>
      </c>
      <c r="AE131" s="31">
        <v>31.884648668978116</v>
      </c>
      <c r="AF131" s="31">
        <v>220.60694048128138</v>
      </c>
      <c r="AG131" s="31">
        <v>75.773856834360856</v>
      </c>
      <c r="AH131" s="31">
        <v>1864.4419405459016</v>
      </c>
      <c r="AI131" s="31">
        <v>1409.6057040375247</v>
      </c>
      <c r="AJ131" s="31">
        <v>1049.7073148237134</v>
      </c>
      <c r="AK131" s="31">
        <v>136.64747783283829</v>
      </c>
      <c r="AL131" s="31">
        <v>484.35813114114126</v>
      </c>
      <c r="AM131" s="31">
        <v>348.32403182452725</v>
      </c>
      <c r="AN131" s="31">
        <v>361.69745436559901</v>
      </c>
      <c r="AO131" s="31">
        <v>665.11400295661338</v>
      </c>
      <c r="AP131" s="31">
        <v>590.29172914927562</v>
      </c>
      <c r="AQ131" s="31">
        <v>1342.9633016942137</v>
      </c>
      <c r="AR131" s="31">
        <v>398.7161766763403</v>
      </c>
      <c r="AS131" s="31">
        <v>303.01546297092978</v>
      </c>
      <c r="AT131" s="31">
        <v>612.56105888986156</v>
      </c>
      <c r="AU131" s="31">
        <v>175.17806527077977</v>
      </c>
      <c r="AV131" s="31">
        <v>110.59588497506242</v>
      </c>
      <c r="AW131" s="31">
        <v>71.928517406325994</v>
      </c>
      <c r="AX131" s="31">
        <v>354.67857365266201</v>
      </c>
      <c r="AY131" s="31">
        <v>95.056841767510704</v>
      </c>
      <c r="AZ131" s="31">
        <v>243.28664541017775</v>
      </c>
      <c r="BA131" s="31">
        <v>7.0657759780169842</v>
      </c>
      <c r="BB131" s="31">
        <v>269.66331774357741</v>
      </c>
      <c r="BC131" s="31">
        <v>170.62737585439231</v>
      </c>
      <c r="BD131" s="31">
        <v>91.818929082170612</v>
      </c>
      <c r="BE131" s="31">
        <v>102.0509420900581</v>
      </c>
      <c r="BF131" s="31">
        <v>36.552813404861801</v>
      </c>
      <c r="BG131" s="31">
        <v>5.297873373868522</v>
      </c>
      <c r="BH131" s="31">
        <v>394.32316814877157</v>
      </c>
      <c r="BI131" s="31">
        <v>119.16398759690979</v>
      </c>
      <c r="BJ131" s="31">
        <v>21.227977512891325</v>
      </c>
      <c r="BK131" s="31">
        <v>44.238678319082076</v>
      </c>
      <c r="BL131" s="31">
        <v>109.56419112780281</v>
      </c>
      <c r="BM131" s="31">
        <v>20.371918201856253</v>
      </c>
      <c r="BN131" s="31">
        <v>177.33121250709345</v>
      </c>
      <c r="BO131" s="31">
        <v>871.58493952739286</v>
      </c>
      <c r="BP131" s="31">
        <v>50.888507693699857</v>
      </c>
      <c r="BQ131" s="31">
        <v>446.89209014048902</v>
      </c>
      <c r="BR131" s="31">
        <v>188.44796182659223</v>
      </c>
      <c r="BS131" s="31">
        <v>672.99390234031227</v>
      </c>
      <c r="BT131" s="31">
        <v>118.33082017153933</v>
      </c>
      <c r="BU131" s="31">
        <v>592.63587308441265</v>
      </c>
      <c r="BV131" s="31">
        <v>218.49892228448991</v>
      </c>
      <c r="BW131" s="31">
        <v>438.66655274392679</v>
      </c>
      <c r="BX131" s="31">
        <v>1282.747288020727</v>
      </c>
      <c r="BY131" s="31">
        <v>68.165641270946622</v>
      </c>
      <c r="BZ131" s="31">
        <v>220.7000851377118</v>
      </c>
      <c r="CA131" s="31">
        <v>77.10259775141715</v>
      </c>
      <c r="CB131" s="31">
        <v>1879.9189710704795</v>
      </c>
      <c r="CC131" s="31">
        <v>1409.6057040375256</v>
      </c>
      <c r="CD131" s="31">
        <v>1575.3974160226012</v>
      </c>
      <c r="CE131" s="31">
        <v>200.148364726415</v>
      </c>
      <c r="CF131" s="31">
        <v>484.35813114114092</v>
      </c>
      <c r="CG131" s="31">
        <v>585.31220736753312</v>
      </c>
      <c r="CH131" s="31">
        <v>426.17424321351706</v>
      </c>
      <c r="CI131" s="31">
        <v>665.1140029566136</v>
      </c>
      <c r="CJ131" s="31">
        <v>665.79958625122163</v>
      </c>
      <c r="CK131" s="31">
        <v>1342.9633016942125</v>
      </c>
      <c r="CL131" s="31">
        <v>398.71617667634013</v>
      </c>
      <c r="CM131" s="31">
        <v>303.51169401039687</v>
      </c>
      <c r="CN131" s="31">
        <v>673.14237673518141</v>
      </c>
      <c r="CO131" s="31">
        <v>1141.0153852992255</v>
      </c>
      <c r="CP131" s="31">
        <v>816.42646351888709</v>
      </c>
      <c r="CQ131" s="31">
        <v>1415.3052550134055</v>
      </c>
      <c r="CR131" s="31">
        <v>565.10360784294335</v>
      </c>
      <c r="CS131" s="31">
        <v>1896.4316506572848</v>
      </c>
      <c r="CT131" s="31">
        <v>563.86999583038778</v>
      </c>
      <c r="CU131" s="31">
        <v>370.20306628007472</v>
      </c>
      <c r="CV131" s="31">
        <v>130.46504714571495</v>
      </c>
      <c r="CW131" s="31">
        <v>28.103179824466238</v>
      </c>
      <c r="CX131" s="31">
        <v>2747.7909078910802</v>
      </c>
      <c r="CY131" s="31">
        <v>3060.4639005540871</v>
      </c>
      <c r="CZ131" s="31">
        <v>305.3341210473738</v>
      </c>
      <c r="DA131" s="31">
        <v>457.35304832056119</v>
      </c>
      <c r="DB131" s="31">
        <v>630.75963001391733</v>
      </c>
      <c r="DC131" s="31">
        <v>924.2407796717564</v>
      </c>
      <c r="DD131" s="31">
        <v>1072.1594317489059</v>
      </c>
      <c r="DE131" s="31">
        <v>58.556264384542359</v>
      </c>
      <c r="DF131" s="31">
        <v>88.437730361816435</v>
      </c>
      <c r="DG131" s="31">
        <v>108.30483100883853</v>
      </c>
      <c r="DH131" s="31">
        <v>141.41907960561198</v>
      </c>
      <c r="DI131" s="31">
        <v>193.34690078923313</v>
      </c>
      <c r="DJ131" s="31">
        <v>31.004534035223408</v>
      </c>
      <c r="DK131" s="31">
        <v>65.797246948644471</v>
      </c>
      <c r="DL131" s="31">
        <v>111.82186118431538</v>
      </c>
      <c r="DM131" s="31">
        <v>251.97016159820839</v>
      </c>
      <c r="DN131" s="31">
        <v>4075.5744559970813</v>
      </c>
      <c r="DO131" s="31">
        <v>2015.1217547357576</v>
      </c>
      <c r="DP131" s="31">
        <v>575.83610715141901</v>
      </c>
      <c r="DQ131" s="31">
        <v>112.87342399228255</v>
      </c>
      <c r="DR131" s="31">
        <v>675.22840822065007</v>
      </c>
      <c r="DS131" s="31">
        <v>2174.6608642069805</v>
      </c>
      <c r="DT131" s="31">
        <v>3743.9021382805404</v>
      </c>
      <c r="DU131" s="31">
        <v>63320.304394617604</v>
      </c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</row>
    <row r="132" spans="1:214" x14ac:dyDescent="0.25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</row>
    <row r="133" spans="1:214" x14ac:dyDescent="0.25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</row>
    <row r="134" spans="1:214" x14ac:dyDescent="0.25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</row>
    <row r="135" spans="1:214" x14ac:dyDescent="0.2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</row>
    <row r="136" spans="1:214" x14ac:dyDescent="0.25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</row>
    <row r="137" spans="1:214" x14ac:dyDescent="0.25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</row>
    <row r="138" spans="1:214" x14ac:dyDescent="0.25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</row>
    <row r="139" spans="1:214" x14ac:dyDescent="0.25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</row>
    <row r="140" spans="1:214" x14ac:dyDescent="0.25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</row>
    <row r="141" spans="1:214" x14ac:dyDescent="0.25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</row>
    <row r="142" spans="1:214" x14ac:dyDescent="0.25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</row>
    <row r="143" spans="1:214" x14ac:dyDescent="0.25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</row>
    <row r="144" spans="1:214" x14ac:dyDescent="0.25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</row>
    <row r="145" spans="1:214" x14ac:dyDescent="0.2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</row>
    <row r="146" spans="1:214" x14ac:dyDescent="0.25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</row>
    <row r="147" spans="1:214" x14ac:dyDescent="0.25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</row>
    <row r="148" spans="1:214" x14ac:dyDescent="0.25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</row>
    <row r="149" spans="1:214" x14ac:dyDescent="0.25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</row>
    <row r="150" spans="1:214" x14ac:dyDescent="0.25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</row>
    <row r="151" spans="1:214" x14ac:dyDescent="0.25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</row>
    <row r="152" spans="1:214" x14ac:dyDescent="0.25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</row>
    <row r="153" spans="1:214" x14ac:dyDescent="0.25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</row>
    <row r="154" spans="1:214" x14ac:dyDescent="0.25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</row>
    <row r="155" spans="1:214" x14ac:dyDescent="0.2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</row>
    <row r="156" spans="1:214" x14ac:dyDescent="0.25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</row>
    <row r="157" spans="1:214" x14ac:dyDescent="0.25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</row>
    <row r="158" spans="1:214" x14ac:dyDescent="0.25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</row>
    <row r="159" spans="1:214" x14ac:dyDescent="0.25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</row>
    <row r="160" spans="1:214" x14ac:dyDescent="0.25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</row>
    <row r="161" spans="1:214" x14ac:dyDescent="0.25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</row>
    <row r="162" spans="1:214" x14ac:dyDescent="0.25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</row>
    <row r="163" spans="1:214" x14ac:dyDescent="0.25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</row>
    <row r="164" spans="1:214" x14ac:dyDescent="0.25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</row>
    <row r="165" spans="1:214" x14ac:dyDescent="0.2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</row>
    <row r="166" spans="1:214" x14ac:dyDescent="0.25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</row>
    <row r="167" spans="1:214" x14ac:dyDescent="0.25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</row>
    <row r="168" spans="1:214" x14ac:dyDescent="0.25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</row>
    <row r="169" spans="1:214" x14ac:dyDescent="0.25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</row>
    <row r="170" spans="1:214" x14ac:dyDescent="0.25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</row>
    <row r="171" spans="1:214" x14ac:dyDescent="0.25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</row>
    <row r="172" spans="1:214" x14ac:dyDescent="0.25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</row>
    <row r="173" spans="1:214" x14ac:dyDescent="0.25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</row>
    <row r="174" spans="1:214" x14ac:dyDescent="0.25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</row>
    <row r="175" spans="1:214" x14ac:dyDescent="0.2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</row>
    <row r="176" spans="1:214" x14ac:dyDescent="0.25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</row>
    <row r="177" spans="1:214" x14ac:dyDescent="0.25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</row>
    <row r="178" spans="1:214" x14ac:dyDescent="0.25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</row>
    <row r="179" spans="1:214" x14ac:dyDescent="0.25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</row>
    <row r="180" spans="1:214" x14ac:dyDescent="0.25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</row>
    <row r="181" spans="1:214" x14ac:dyDescent="0.25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</row>
    <row r="182" spans="1:214" x14ac:dyDescent="0.25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</row>
    <row r="183" spans="1:214" x14ac:dyDescent="0.25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</row>
    <row r="184" spans="1:214" x14ac:dyDescent="0.25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</row>
    <row r="185" spans="1:214" x14ac:dyDescent="0.2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</row>
    <row r="186" spans="1:214" x14ac:dyDescent="0.25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</row>
    <row r="187" spans="1:214" x14ac:dyDescent="0.25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</row>
    <row r="188" spans="1:214" x14ac:dyDescent="0.25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</row>
    <row r="189" spans="1:214" x14ac:dyDescent="0.25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</row>
    <row r="190" spans="1:214" x14ac:dyDescent="0.25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</row>
    <row r="191" spans="1:214" x14ac:dyDescent="0.25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</row>
    <row r="192" spans="1:214" x14ac:dyDescent="0.25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</row>
    <row r="193" spans="1:214" x14ac:dyDescent="0.25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</row>
    <row r="194" spans="1:214" x14ac:dyDescent="0.25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</row>
    <row r="195" spans="1:214" x14ac:dyDescent="0.2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</row>
    <row r="196" spans="1:214" x14ac:dyDescent="0.25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</row>
    <row r="197" spans="1:214" x14ac:dyDescent="0.25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</row>
    <row r="198" spans="1:214" x14ac:dyDescent="0.25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</row>
    <row r="199" spans="1:214" x14ac:dyDescent="0.25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</row>
    <row r="200" spans="1:214" x14ac:dyDescent="0.25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</row>
    <row r="201" spans="1:214" x14ac:dyDescent="0.25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</row>
    <row r="202" spans="1:214" x14ac:dyDescent="0.25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</row>
    <row r="203" spans="1:214" x14ac:dyDescent="0.25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</row>
    <row r="204" spans="1:214" x14ac:dyDescent="0.25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</row>
    <row r="205" spans="1:214" x14ac:dyDescent="0.2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</row>
    <row r="206" spans="1:214" x14ac:dyDescent="0.25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</row>
    <row r="207" spans="1:214" x14ac:dyDescent="0.25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</row>
    <row r="208" spans="1:214" x14ac:dyDescent="0.25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</row>
    <row r="209" spans="1:214" x14ac:dyDescent="0.25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</row>
    <row r="210" spans="1:214" x14ac:dyDescent="0.25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</row>
    <row r="211" spans="1:214" x14ac:dyDescent="0.25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</row>
    <row r="212" spans="1:214" x14ac:dyDescent="0.25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</row>
    <row r="213" spans="1:214" x14ac:dyDescent="0.25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</row>
    <row r="214" spans="1:214" x14ac:dyDescent="0.25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</row>
    <row r="215" spans="1:214" x14ac:dyDescent="0.2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</row>
    <row r="216" spans="1:214" x14ac:dyDescent="0.25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</row>
    <row r="217" spans="1:214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</row>
    <row r="218" spans="1:214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6309-C94F-4879-96E7-02538FBBA318}">
  <sheetPr>
    <tabColor rgb="FFFFFF00"/>
  </sheetPr>
  <dimension ref="A1:BX242"/>
  <sheetViews>
    <sheetView showZeros="0" tabSelected="1" topLeftCell="A170" zoomScale="70" zoomScaleNormal="70" workbookViewId="0">
      <selection activeCell="E188" sqref="E188"/>
    </sheetView>
  </sheetViews>
  <sheetFormatPr defaultColWidth="8.7109375" defaultRowHeight="15" x14ac:dyDescent="0.25"/>
  <cols>
    <col min="1" max="1" width="34.85546875" customWidth="1"/>
    <col min="2" max="2" width="15.7109375" customWidth="1"/>
    <col min="3" max="3" width="16" customWidth="1"/>
    <col min="4" max="17" width="9.140625"/>
    <col min="18" max="18" width="22" customWidth="1"/>
    <col min="19" max="19" width="16.28515625" customWidth="1"/>
    <col min="20" max="20" width="14.28515625" customWidth="1"/>
    <col min="21" max="70" width="9.140625" customWidth="1"/>
  </cols>
  <sheetData>
    <row r="1" spans="1:70" ht="18.75" x14ac:dyDescent="0.3">
      <c r="A1" s="5" t="s">
        <v>664</v>
      </c>
      <c r="R1" s="32" t="s">
        <v>716</v>
      </c>
      <c r="S1" s="32" t="s">
        <v>717</v>
      </c>
      <c r="T1" s="5"/>
      <c r="AL1" s="5"/>
    </row>
    <row r="2" spans="1:70" x14ac:dyDescent="0.25">
      <c r="A2" s="3" t="s">
        <v>669</v>
      </c>
      <c r="C2" s="4"/>
      <c r="R2" s="32" t="s">
        <v>148</v>
      </c>
      <c r="S2" s="32" t="s">
        <v>182</v>
      </c>
      <c r="T2" s="3"/>
      <c r="U2" s="4"/>
      <c r="AL2" s="3"/>
      <c r="AM2" s="4"/>
    </row>
    <row r="3" spans="1:70" s="34" customFormat="1" x14ac:dyDescent="0.25"/>
    <row r="4" spans="1:70" x14ac:dyDescent="0.25">
      <c r="A4" t="s">
        <v>665</v>
      </c>
      <c r="C4" s="4"/>
      <c r="T4" s="3"/>
      <c r="U4" s="4"/>
      <c r="AL4" s="3"/>
      <c r="AM4" s="4"/>
    </row>
    <row r="5" spans="1:70" x14ac:dyDescent="0.25">
      <c r="A5" s="3"/>
      <c r="C5" s="4"/>
      <c r="T5" s="3"/>
      <c r="U5" s="4"/>
      <c r="AL5" s="3"/>
      <c r="AM5" s="4"/>
    </row>
    <row r="6" spans="1:70" x14ac:dyDescent="0.25">
      <c r="A6" s="75" t="s">
        <v>666</v>
      </c>
      <c r="B6" t="s">
        <v>694</v>
      </c>
      <c r="C6" t="s">
        <v>35</v>
      </c>
      <c r="D6" t="s">
        <v>26</v>
      </c>
      <c r="E6" t="s">
        <v>24</v>
      </c>
      <c r="F6" t="s">
        <v>27</v>
      </c>
      <c r="G6" t="s">
        <v>28</v>
      </c>
      <c r="H6" t="s">
        <v>33</v>
      </c>
      <c r="I6" t="s">
        <v>700</v>
      </c>
      <c r="J6" t="s">
        <v>31</v>
      </c>
      <c r="K6" t="s">
        <v>32</v>
      </c>
      <c r="L6" t="s">
        <v>498</v>
      </c>
      <c r="M6" t="s">
        <v>496</v>
      </c>
      <c r="N6" t="s">
        <v>500</v>
      </c>
      <c r="O6" t="s">
        <v>25</v>
      </c>
      <c r="P6" t="s">
        <v>34</v>
      </c>
      <c r="Q6" t="s">
        <v>707</v>
      </c>
      <c r="R6" t="s">
        <v>36</v>
      </c>
      <c r="S6" t="s">
        <v>44</v>
      </c>
      <c r="T6" t="s">
        <v>45</v>
      </c>
      <c r="U6" t="s">
        <v>52</v>
      </c>
      <c r="V6" t="s">
        <v>55</v>
      </c>
      <c r="W6" t="s">
        <v>56</v>
      </c>
      <c r="X6" t="s">
        <v>54</v>
      </c>
      <c r="Y6" t="s">
        <v>718</v>
      </c>
      <c r="Z6" t="s">
        <v>29</v>
      </c>
      <c r="AA6" t="s">
        <v>30</v>
      </c>
      <c r="AB6" t="s">
        <v>709</v>
      </c>
      <c r="AC6" t="s">
        <v>702</v>
      </c>
      <c r="AD6" t="s">
        <v>704</v>
      </c>
      <c r="AE6" t="s">
        <v>37</v>
      </c>
      <c r="AF6" t="s">
        <v>38</v>
      </c>
      <c r="AG6" t="s">
        <v>502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46</v>
      </c>
      <c r="AN6" t="s">
        <v>49</v>
      </c>
      <c r="AO6" t="s">
        <v>550</v>
      </c>
      <c r="AP6" t="s">
        <v>47</v>
      </c>
      <c r="AQ6" t="s">
        <v>48</v>
      </c>
      <c r="AR6" t="s">
        <v>50</v>
      </c>
      <c r="AS6" t="s">
        <v>51</v>
      </c>
      <c r="AT6" t="s">
        <v>53</v>
      </c>
      <c r="AU6" t="s">
        <v>57</v>
      </c>
    </row>
    <row r="7" spans="1:70" x14ac:dyDescent="0.25">
      <c r="A7" s="75" t="s">
        <v>667</v>
      </c>
      <c r="B7" t="str">
        <f>"c"&amp;B6</f>
        <v>ccere</v>
      </c>
      <c r="C7" t="str">
        <f t="shared" ref="C7:X7" si="0">"c"&amp;C6</f>
        <v>cgmll</v>
      </c>
      <c r="D7" t="str">
        <f t="shared" si="0"/>
        <v>croot</v>
      </c>
      <c r="E7" t="str">
        <f t="shared" si="0"/>
        <v>cpuls</v>
      </c>
      <c r="F7" t="str">
        <f t="shared" si="0"/>
        <v>cvege</v>
      </c>
      <c r="G7" t="str">
        <f t="shared" si="0"/>
        <v>cfrui</v>
      </c>
      <c r="H7" t="str">
        <f t="shared" si="0"/>
        <v>cfveg</v>
      </c>
      <c r="I7" t="str">
        <f t="shared" si="0"/>
        <v>clive</v>
      </c>
      <c r="J7" t="str">
        <f t="shared" si="0"/>
        <v>cfish</v>
      </c>
      <c r="K7" t="str">
        <f t="shared" si="0"/>
        <v>cmeat</v>
      </c>
      <c r="L7" t="str">
        <f t="shared" si="0"/>
        <v>cfsea</v>
      </c>
      <c r="M7" t="str">
        <f t="shared" si="0"/>
        <v>cmilk</v>
      </c>
      <c r="N7" t="str">
        <f t="shared" si="0"/>
        <v>cdair</v>
      </c>
      <c r="O7" t="str">
        <f t="shared" si="0"/>
        <v>coils</v>
      </c>
      <c r="P7" t="str">
        <f t="shared" si="0"/>
        <v>cfoil</v>
      </c>
      <c r="Q7" t="str">
        <f t="shared" si="0"/>
        <v>cfobe</v>
      </c>
      <c r="R7" t="str">
        <f t="shared" si="0"/>
        <v>ctext</v>
      </c>
      <c r="S7" t="str">
        <f t="shared" si="0"/>
        <v>celec</v>
      </c>
      <c r="T7" t="str">
        <f t="shared" si="0"/>
        <v>cwatr</v>
      </c>
      <c r="U7" t="str">
        <f t="shared" si="0"/>
        <v>creal</v>
      </c>
      <c r="V7" t="str">
        <f t="shared" si="0"/>
        <v>ceduc</v>
      </c>
      <c r="W7" t="str">
        <f t="shared" si="0"/>
        <v>cheal</v>
      </c>
      <c r="X7" t="str">
        <f t="shared" si="0"/>
        <v>cpadm</v>
      </c>
      <c r="Y7" t="s">
        <v>717</v>
      </c>
      <c r="Z7" t="str">
        <f t="shared" ref="Z7:AU7" si="1">"c"&amp;Z6</f>
        <v>cocrp</v>
      </c>
      <c r="AA7" t="str">
        <f t="shared" si="1"/>
        <v>cfore</v>
      </c>
      <c r="AB7" t="str">
        <f t="shared" si="1"/>
        <v>coapr</v>
      </c>
      <c r="AC7" t="str">
        <f t="shared" si="1"/>
        <v>cmine</v>
      </c>
      <c r="AD7" t="str">
        <f t="shared" si="1"/>
        <v>cmino</v>
      </c>
      <c r="AE7" t="str">
        <f t="shared" si="1"/>
        <v>cwood</v>
      </c>
      <c r="AF7" t="str">
        <f t="shared" si="1"/>
        <v>cpetr</v>
      </c>
      <c r="AG7" t="str">
        <f t="shared" si="1"/>
        <v>cfert</v>
      </c>
      <c r="AH7" t="str">
        <f t="shared" si="1"/>
        <v>cchem</v>
      </c>
      <c r="AI7" t="str">
        <f t="shared" si="1"/>
        <v>cnmet</v>
      </c>
      <c r="AJ7" t="str">
        <f t="shared" si="1"/>
        <v>cmetl</v>
      </c>
      <c r="AK7" t="str">
        <f t="shared" si="1"/>
        <v>cmach</v>
      </c>
      <c r="AL7" t="str">
        <f t="shared" si="1"/>
        <v>coman</v>
      </c>
      <c r="AM7" t="str">
        <f t="shared" si="1"/>
        <v>ccons</v>
      </c>
      <c r="AN7" t="str">
        <f t="shared" si="1"/>
        <v>chotl</v>
      </c>
      <c r="AO7" t="str">
        <f t="shared" si="1"/>
        <v>crest</v>
      </c>
      <c r="AP7" t="str">
        <f t="shared" si="1"/>
        <v>ctrad</v>
      </c>
      <c r="AQ7" t="str">
        <f t="shared" si="1"/>
        <v>ctran</v>
      </c>
      <c r="AR7" t="str">
        <f t="shared" si="1"/>
        <v>ccomm</v>
      </c>
      <c r="AS7" t="str">
        <f t="shared" si="1"/>
        <v>cfsrv</v>
      </c>
      <c r="AT7" t="str">
        <f t="shared" si="1"/>
        <v>cbsrv</v>
      </c>
      <c r="AU7" t="str">
        <f t="shared" si="1"/>
        <v>cosrv</v>
      </c>
    </row>
    <row r="8" spans="1:70" x14ac:dyDescent="0.25">
      <c r="A8" s="76" t="s">
        <v>668</v>
      </c>
      <c r="B8" s="26" t="str">
        <f>"a"&amp;B6</f>
        <v>acere</v>
      </c>
      <c r="C8" s="26" t="str">
        <f t="shared" ref="C8:X8" si="2">"a"&amp;C6</f>
        <v>agmll</v>
      </c>
      <c r="D8" s="26" t="str">
        <f t="shared" si="2"/>
        <v>aroot</v>
      </c>
      <c r="E8" s="26" t="str">
        <f t="shared" si="2"/>
        <v>apuls</v>
      </c>
      <c r="F8" s="26" t="str">
        <f t="shared" si="2"/>
        <v>avege</v>
      </c>
      <c r="G8" s="26" t="str">
        <f t="shared" si="2"/>
        <v>afrui</v>
      </c>
      <c r="H8" s="26" t="str">
        <f t="shared" si="2"/>
        <v>afveg</v>
      </c>
      <c r="I8" s="26" t="str">
        <f t="shared" si="2"/>
        <v>alive</v>
      </c>
      <c r="J8" s="26" t="str">
        <f t="shared" si="2"/>
        <v>afish</v>
      </c>
      <c r="K8" s="26" t="str">
        <f t="shared" si="2"/>
        <v>ameat</v>
      </c>
      <c r="L8" s="26" t="str">
        <f t="shared" si="2"/>
        <v>afsea</v>
      </c>
      <c r="M8" s="26" t="str">
        <f t="shared" si="2"/>
        <v>amilk</v>
      </c>
      <c r="N8" s="26" t="str">
        <f t="shared" si="2"/>
        <v>adair</v>
      </c>
      <c r="O8" s="26" t="str">
        <f t="shared" si="2"/>
        <v>aoils</v>
      </c>
      <c r="P8" s="26" t="str">
        <f t="shared" si="2"/>
        <v>afoil</v>
      </c>
      <c r="Q8" s="26" t="str">
        <f t="shared" si="2"/>
        <v>afobe</v>
      </c>
      <c r="R8" s="26" t="str">
        <f t="shared" si="2"/>
        <v>atext</v>
      </c>
      <c r="S8" s="26" t="str">
        <f t="shared" si="2"/>
        <v>aelec</v>
      </c>
      <c r="T8" s="26" t="str">
        <f t="shared" si="2"/>
        <v>awatr</v>
      </c>
      <c r="U8" s="26" t="str">
        <f t="shared" si="2"/>
        <v>areal</v>
      </c>
      <c r="V8" s="26" t="str">
        <f t="shared" si="2"/>
        <v>aeduc</v>
      </c>
      <c r="W8" s="26" t="str">
        <f t="shared" si="2"/>
        <v>aheal</v>
      </c>
      <c r="X8" s="26" t="str">
        <f t="shared" si="2"/>
        <v>apadm</v>
      </c>
      <c r="Y8" t="s">
        <v>716</v>
      </c>
      <c r="Z8" s="26" t="str">
        <f t="shared" ref="Z8:AU8" si="3">"a"&amp;Z6</f>
        <v>aocrp</v>
      </c>
      <c r="AA8" s="26" t="str">
        <f t="shared" si="3"/>
        <v>afore</v>
      </c>
      <c r="AB8" s="26" t="str">
        <f t="shared" si="3"/>
        <v>aoapr</v>
      </c>
      <c r="AC8" s="26" t="str">
        <f t="shared" si="3"/>
        <v>amine</v>
      </c>
      <c r="AD8" s="26" t="str">
        <f t="shared" si="3"/>
        <v>amino</v>
      </c>
      <c r="AE8" s="26" t="str">
        <f t="shared" si="3"/>
        <v>awood</v>
      </c>
      <c r="AF8" s="26" t="str">
        <f t="shared" si="3"/>
        <v>apetr</v>
      </c>
      <c r="AG8" s="26" t="str">
        <f t="shared" si="3"/>
        <v>afert</v>
      </c>
      <c r="AH8" s="26" t="str">
        <f t="shared" si="3"/>
        <v>achem</v>
      </c>
      <c r="AI8" s="26" t="str">
        <f t="shared" si="3"/>
        <v>anmet</v>
      </c>
      <c r="AJ8" s="26" t="str">
        <f t="shared" si="3"/>
        <v>ametl</v>
      </c>
      <c r="AK8" s="26" t="str">
        <f t="shared" si="3"/>
        <v>amach</v>
      </c>
      <c r="AL8" s="26" t="str">
        <f t="shared" si="3"/>
        <v>aoman</v>
      </c>
      <c r="AM8" s="26" t="str">
        <f t="shared" si="3"/>
        <v>acons</v>
      </c>
      <c r="AN8" s="26" t="str">
        <f t="shared" si="3"/>
        <v>ahotl</v>
      </c>
      <c r="AO8" s="26" t="str">
        <f t="shared" si="3"/>
        <v>arest</v>
      </c>
      <c r="AP8" s="26" t="str">
        <f t="shared" si="3"/>
        <v>atrad</v>
      </c>
      <c r="AQ8" s="26" t="str">
        <f t="shared" si="3"/>
        <v>atran</v>
      </c>
      <c r="AR8" s="26" t="str">
        <f t="shared" si="3"/>
        <v>acomm</v>
      </c>
      <c r="AS8" s="26" t="str">
        <f t="shared" si="3"/>
        <v>afsrv</v>
      </c>
      <c r="AT8" s="26" t="str">
        <f t="shared" si="3"/>
        <v>absrv</v>
      </c>
      <c r="AU8" s="26" t="str">
        <f t="shared" si="3"/>
        <v>aosrv</v>
      </c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spans="1:70" x14ac:dyDescent="0.25">
      <c r="A9" s="77" t="s">
        <v>656</v>
      </c>
      <c r="B9" s="47" t="s">
        <v>616</v>
      </c>
      <c r="C9" s="47" t="s">
        <v>616</v>
      </c>
      <c r="D9" s="50" t="s">
        <v>618</v>
      </c>
      <c r="E9" s="50" t="s">
        <v>617</v>
      </c>
      <c r="F9" s="50" t="s">
        <v>715</v>
      </c>
      <c r="G9" s="50" t="s">
        <v>620</v>
      </c>
      <c r="H9" s="50" t="s">
        <v>620</v>
      </c>
      <c r="I9" s="47" t="s">
        <v>621</v>
      </c>
      <c r="J9" s="47" t="s">
        <v>621</v>
      </c>
      <c r="K9" s="47" t="s">
        <v>621</v>
      </c>
      <c r="L9" s="47" t="s">
        <v>621</v>
      </c>
      <c r="M9" s="50" t="s">
        <v>622</v>
      </c>
      <c r="N9" s="50" t="s">
        <v>622</v>
      </c>
      <c r="O9" s="50" t="s">
        <v>623</v>
      </c>
      <c r="P9" s="50" t="s">
        <v>623</v>
      </c>
      <c r="Q9" s="53" t="s">
        <v>624</v>
      </c>
      <c r="R9" s="73" t="s">
        <v>626</v>
      </c>
      <c r="S9" s="53" t="s">
        <v>629</v>
      </c>
      <c r="T9" s="53" t="s">
        <v>629</v>
      </c>
      <c r="U9" s="50" t="s">
        <v>633</v>
      </c>
      <c r="V9" s="50" t="s">
        <v>634</v>
      </c>
      <c r="W9" s="50" t="s">
        <v>634</v>
      </c>
      <c r="X9" s="50" t="s">
        <v>634</v>
      </c>
      <c r="Y9" s="56" t="s">
        <v>625</v>
      </c>
      <c r="Z9" s="56" t="s">
        <v>625</v>
      </c>
      <c r="AA9" s="56" t="s">
        <v>625</v>
      </c>
      <c r="AB9" s="56" t="s">
        <v>625</v>
      </c>
      <c r="AC9" s="50" t="s">
        <v>627</v>
      </c>
      <c r="AD9" s="50" t="s">
        <v>627</v>
      </c>
      <c r="AE9" s="50" t="s">
        <v>628</v>
      </c>
      <c r="AF9" s="50" t="s">
        <v>628</v>
      </c>
      <c r="AG9" s="50" t="s">
        <v>628</v>
      </c>
      <c r="AH9" s="50" t="s">
        <v>628</v>
      </c>
      <c r="AI9" s="50" t="s">
        <v>628</v>
      </c>
      <c r="AJ9" s="50" t="s">
        <v>628</v>
      </c>
      <c r="AK9" s="50" t="s">
        <v>628</v>
      </c>
      <c r="AL9" s="50" t="s">
        <v>628</v>
      </c>
      <c r="AM9" s="47" t="s">
        <v>630</v>
      </c>
      <c r="AN9" s="47" t="s">
        <v>631</v>
      </c>
      <c r="AO9" s="47" t="s">
        <v>631</v>
      </c>
      <c r="AP9" s="47" t="s">
        <v>632</v>
      </c>
      <c r="AQ9" s="47" t="s">
        <v>632</v>
      </c>
      <c r="AR9" s="47" t="s">
        <v>635</v>
      </c>
      <c r="AS9" s="47" t="s">
        <v>635</v>
      </c>
      <c r="AT9" s="47" t="s">
        <v>635</v>
      </c>
      <c r="AU9" s="47" t="s">
        <v>635</v>
      </c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</row>
    <row r="10" spans="1:70" x14ac:dyDescent="0.25">
      <c r="A10" s="75" t="s">
        <v>659</v>
      </c>
      <c r="B10" t="str">
        <f t="shared" ref="B10:X10" si="4">VLOOKUP(B9,$R$102:$S$122,2,FALSE)</f>
        <v>given</v>
      </c>
      <c r="C10" t="str">
        <f t="shared" si="4"/>
        <v>given</v>
      </c>
      <c r="D10" t="str">
        <f t="shared" si="4"/>
        <v>given</v>
      </c>
      <c r="E10" t="str">
        <f t="shared" si="4"/>
        <v>given</v>
      </c>
      <c r="F10" t="str">
        <f t="shared" si="4"/>
        <v>given</v>
      </c>
      <c r="G10" t="str">
        <f t="shared" si="4"/>
        <v>given</v>
      </c>
      <c r="H10" t="str">
        <f t="shared" si="4"/>
        <v>given</v>
      </c>
      <c r="I10" t="str">
        <f t="shared" si="4"/>
        <v>given</v>
      </c>
      <c r="J10" t="str">
        <f t="shared" si="4"/>
        <v>given</v>
      </c>
      <c r="K10" t="str">
        <f t="shared" si="4"/>
        <v>given</v>
      </c>
      <c r="L10" t="str">
        <f t="shared" si="4"/>
        <v>given</v>
      </c>
      <c r="M10" t="str">
        <f t="shared" si="4"/>
        <v>given</v>
      </c>
      <c r="N10" t="str">
        <f t="shared" si="4"/>
        <v>given</v>
      </c>
      <c r="O10" t="str">
        <f t="shared" si="4"/>
        <v>given</v>
      </c>
      <c r="P10" t="str">
        <f t="shared" si="4"/>
        <v>given</v>
      </c>
      <c r="Q10" t="str">
        <f t="shared" si="4"/>
        <v>given</v>
      </c>
      <c r="R10" t="str">
        <f t="shared" si="4"/>
        <v>given</v>
      </c>
      <c r="S10" t="str">
        <f t="shared" si="4"/>
        <v>given</v>
      </c>
      <c r="T10" t="str">
        <f t="shared" si="4"/>
        <v>given</v>
      </c>
      <c r="U10" t="str">
        <f t="shared" si="4"/>
        <v>given</v>
      </c>
      <c r="V10" t="str">
        <f t="shared" si="4"/>
        <v>given</v>
      </c>
      <c r="W10" t="str">
        <f t="shared" si="4"/>
        <v>given</v>
      </c>
      <c r="X10" t="str">
        <f t="shared" si="4"/>
        <v>given</v>
      </c>
      <c r="Y10" t="str">
        <f t="shared" ref="Y10:AU10" si="5">VLOOKUP(Y9,$R$102:$S$122,2,FALSE)</f>
        <v>residual</v>
      </c>
      <c r="Z10" t="str">
        <f t="shared" si="5"/>
        <v>residual</v>
      </c>
      <c r="AA10" t="str">
        <f t="shared" si="5"/>
        <v>residual</v>
      </c>
      <c r="AB10" t="str">
        <f t="shared" si="5"/>
        <v>residual</v>
      </c>
      <c r="AC10" t="str">
        <f t="shared" si="5"/>
        <v>residual</v>
      </c>
      <c r="AD10" t="str">
        <f t="shared" si="5"/>
        <v>residual</v>
      </c>
      <c r="AE10" t="str">
        <f t="shared" si="5"/>
        <v>residual</v>
      </c>
      <c r="AF10" t="str">
        <f t="shared" si="5"/>
        <v>residual</v>
      </c>
      <c r="AG10" t="str">
        <f t="shared" si="5"/>
        <v>residual</v>
      </c>
      <c r="AH10" t="str">
        <f t="shared" si="5"/>
        <v>residual</v>
      </c>
      <c r="AI10" t="str">
        <f t="shared" si="5"/>
        <v>residual</v>
      </c>
      <c r="AJ10" t="str">
        <f t="shared" si="5"/>
        <v>residual</v>
      </c>
      <c r="AK10" t="str">
        <f t="shared" si="5"/>
        <v>residual</v>
      </c>
      <c r="AL10" t="str">
        <f t="shared" si="5"/>
        <v>residual</v>
      </c>
      <c r="AM10" t="str">
        <f t="shared" si="5"/>
        <v>residual</v>
      </c>
      <c r="AN10" t="str">
        <f t="shared" si="5"/>
        <v>residual</v>
      </c>
      <c r="AO10" t="str">
        <f t="shared" si="5"/>
        <v>residual</v>
      </c>
      <c r="AP10" t="str">
        <f t="shared" si="5"/>
        <v>residual</v>
      </c>
      <c r="AQ10" t="str">
        <f t="shared" si="5"/>
        <v>residual</v>
      </c>
      <c r="AR10" t="str">
        <f t="shared" si="5"/>
        <v>residual</v>
      </c>
      <c r="AS10" t="str">
        <f t="shared" si="5"/>
        <v>residual</v>
      </c>
      <c r="AT10" t="str">
        <f t="shared" si="5"/>
        <v>residual</v>
      </c>
      <c r="AU10" t="str">
        <f t="shared" si="5"/>
        <v>residual</v>
      </c>
    </row>
    <row r="11" spans="1:70" x14ac:dyDescent="0.25">
      <c r="A11" s="3"/>
      <c r="C11" s="4"/>
      <c r="T11" s="3"/>
      <c r="U11" s="4"/>
      <c r="AL11" s="3"/>
      <c r="AM11" s="4"/>
    </row>
    <row r="12" spans="1:70" x14ac:dyDescent="0.25">
      <c r="A12" s="74" t="s">
        <v>661</v>
      </c>
      <c r="C12" s="4"/>
      <c r="T12" s="3"/>
      <c r="U12" s="4"/>
      <c r="AL12" s="3"/>
      <c r="AM12" s="4"/>
    </row>
    <row r="13" spans="1:70" x14ac:dyDescent="0.25">
      <c r="A13" s="74" t="s">
        <v>663</v>
      </c>
      <c r="C13" s="4"/>
      <c r="D13" s="43"/>
      <c r="T13" s="3"/>
      <c r="U13" s="4"/>
      <c r="AL13" s="3"/>
      <c r="AM13" s="4"/>
    </row>
    <row r="14" spans="1:70" s="34" customFormat="1" x14ac:dyDescent="0.25"/>
    <row r="15" spans="1:70" x14ac:dyDescent="0.25">
      <c r="A15" t="s">
        <v>649</v>
      </c>
    </row>
    <row r="16" spans="1:70" x14ac:dyDescent="0.25">
      <c r="A16" t="s">
        <v>637</v>
      </c>
      <c r="U16" t="s">
        <v>641</v>
      </c>
    </row>
    <row r="17" spans="1:36" x14ac:dyDescent="0.25">
      <c r="A17" s="168" t="s">
        <v>659</v>
      </c>
      <c r="B17" s="166" t="s">
        <v>655</v>
      </c>
      <c r="C17" s="181" t="s">
        <v>606</v>
      </c>
      <c r="D17" s="181"/>
      <c r="E17" s="181"/>
      <c r="F17" s="181"/>
      <c r="G17" s="181"/>
      <c r="H17" s="180" t="s">
        <v>607</v>
      </c>
      <c r="I17" s="181"/>
      <c r="J17" s="181"/>
      <c r="K17" s="181"/>
      <c r="L17" s="182"/>
      <c r="M17" s="180" t="s">
        <v>468</v>
      </c>
      <c r="N17" s="181"/>
      <c r="O17" s="181"/>
      <c r="P17" s="181"/>
      <c r="Q17" s="182"/>
      <c r="R17" s="183" t="s">
        <v>670</v>
      </c>
      <c r="U17" s="181" t="s">
        <v>606</v>
      </c>
      <c r="V17" s="181"/>
      <c r="W17" s="181"/>
      <c r="X17" s="181"/>
      <c r="Y17" s="181"/>
      <c r="Z17" s="180" t="s">
        <v>607</v>
      </c>
      <c r="AA17" s="181"/>
      <c r="AB17" s="181"/>
      <c r="AC17" s="181"/>
      <c r="AD17" s="182"/>
      <c r="AE17" s="180" t="s">
        <v>468</v>
      </c>
      <c r="AF17" s="181"/>
      <c r="AG17" s="181"/>
      <c r="AH17" s="181"/>
      <c r="AI17" s="182"/>
      <c r="AJ17" s="183" t="s">
        <v>126</v>
      </c>
    </row>
    <row r="18" spans="1:36" x14ac:dyDescent="0.25">
      <c r="A18" s="169"/>
      <c r="B18" s="167"/>
      <c r="C18" s="35" t="s">
        <v>217</v>
      </c>
      <c r="D18" s="35" t="s">
        <v>218</v>
      </c>
      <c r="E18" s="35" t="s">
        <v>219</v>
      </c>
      <c r="F18" s="35" t="s">
        <v>220</v>
      </c>
      <c r="G18" s="35" t="s">
        <v>221</v>
      </c>
      <c r="H18" s="37" t="s">
        <v>595</v>
      </c>
      <c r="I18" s="35" t="s">
        <v>596</v>
      </c>
      <c r="J18" s="35" t="s">
        <v>597</v>
      </c>
      <c r="K18" s="35" t="s">
        <v>598</v>
      </c>
      <c r="L18" s="36" t="s">
        <v>599</v>
      </c>
      <c r="M18" s="37" t="s">
        <v>222</v>
      </c>
      <c r="N18" s="35" t="s">
        <v>223</v>
      </c>
      <c r="O18" s="35" t="s">
        <v>224</v>
      </c>
      <c r="P18" s="35" t="s">
        <v>225</v>
      </c>
      <c r="Q18" s="36" t="s">
        <v>226</v>
      </c>
      <c r="R18" s="184"/>
      <c r="T18" s="39"/>
      <c r="U18" s="35" t="s">
        <v>217</v>
      </c>
      <c r="V18" s="35" t="s">
        <v>218</v>
      </c>
      <c r="W18" s="35" t="s">
        <v>219</v>
      </c>
      <c r="X18" s="35" t="s">
        <v>220</v>
      </c>
      <c r="Y18" s="35" t="s">
        <v>221</v>
      </c>
      <c r="Z18" s="37" t="s">
        <v>595</v>
      </c>
      <c r="AA18" s="35" t="s">
        <v>596</v>
      </c>
      <c r="AB18" s="35" t="s">
        <v>597</v>
      </c>
      <c r="AC18" s="35" t="s">
        <v>598</v>
      </c>
      <c r="AD18" s="36" t="s">
        <v>599</v>
      </c>
      <c r="AE18" s="37" t="s">
        <v>222</v>
      </c>
      <c r="AF18" s="35" t="s">
        <v>223</v>
      </c>
      <c r="AG18" s="35" t="s">
        <v>224</v>
      </c>
      <c r="AH18" s="35" t="s">
        <v>225</v>
      </c>
      <c r="AI18" s="36" t="s">
        <v>226</v>
      </c>
      <c r="AJ18" s="184"/>
    </row>
    <row r="19" spans="1:36" x14ac:dyDescent="0.25">
      <c r="A19" s="86" t="str">
        <f t="shared" ref="A19:A28" si="6">S102</f>
        <v>given</v>
      </c>
      <c r="B19" s="50" t="s">
        <v>616</v>
      </c>
      <c r="C19" s="43">
        <f t="shared" ref="C19:R19" si="7">SUM(C49:C50)</f>
        <v>5.8474236905514072</v>
      </c>
      <c r="D19" s="43">
        <f t="shared" si="7"/>
        <v>5.8132634188534738</v>
      </c>
      <c r="E19" s="43">
        <f t="shared" si="7"/>
        <v>5.1262811619410726</v>
      </c>
      <c r="F19" s="43">
        <f t="shared" si="7"/>
        <v>4.4251416477093795</v>
      </c>
      <c r="G19" s="43">
        <f t="shared" si="7"/>
        <v>3.2193941585460353</v>
      </c>
      <c r="H19" s="51">
        <f t="shared" si="7"/>
        <v>6.4521063517859165</v>
      </c>
      <c r="I19" s="43">
        <f t="shared" si="7"/>
        <v>5.0927933216028736</v>
      </c>
      <c r="J19" s="43">
        <f t="shared" si="7"/>
        <v>5.7348475125989733</v>
      </c>
      <c r="K19" s="43">
        <f t="shared" si="7"/>
        <v>4.7249571215018928</v>
      </c>
      <c r="L19" s="50">
        <f t="shared" si="7"/>
        <v>3.237721287685817</v>
      </c>
      <c r="M19" s="51">
        <f t="shared" si="7"/>
        <v>4.5999713177944654</v>
      </c>
      <c r="N19" s="43">
        <f t="shared" si="7"/>
        <v>4.6149007971282243</v>
      </c>
      <c r="O19" s="43">
        <f t="shared" si="7"/>
        <v>3.7169182778986043</v>
      </c>
      <c r="P19" s="43">
        <f t="shared" si="7"/>
        <v>3.6137549976527712</v>
      </c>
      <c r="Q19" s="50">
        <f t="shared" si="7"/>
        <v>1.2987109146557052</v>
      </c>
      <c r="R19" s="43">
        <f t="shared" si="7"/>
        <v>3.1414298587715801</v>
      </c>
      <c r="T19" s="40" t="s">
        <v>616</v>
      </c>
      <c r="U19" s="43">
        <f t="shared" ref="U19:AJ19" si="8">SUM(U49:U50)</f>
        <v>17.192658441921317</v>
      </c>
      <c r="V19" s="43">
        <f t="shared" si="8"/>
        <v>25.319005492459077</v>
      </c>
      <c r="W19" s="43">
        <f t="shared" si="8"/>
        <v>30.632765080015389</v>
      </c>
      <c r="X19" s="43">
        <f t="shared" si="8"/>
        <v>38.026939653852331</v>
      </c>
      <c r="Y19" s="43">
        <f t="shared" si="8"/>
        <v>30.630381327195639</v>
      </c>
      <c r="Z19" s="51">
        <f t="shared" si="8"/>
        <v>3.6529016658072804</v>
      </c>
      <c r="AA19" s="43">
        <f t="shared" si="8"/>
        <v>4.2992834154844282</v>
      </c>
      <c r="AB19" s="43">
        <f t="shared" si="8"/>
        <v>5.8656167111846029</v>
      </c>
      <c r="AC19" s="43">
        <f t="shared" si="8"/>
        <v>6.1788179824007088</v>
      </c>
      <c r="AD19" s="50">
        <f t="shared" si="8"/>
        <v>5.4116341351885975</v>
      </c>
      <c r="AE19" s="51">
        <f t="shared" si="8"/>
        <v>1.3437267703564875</v>
      </c>
      <c r="AF19" s="43">
        <f t="shared" si="8"/>
        <v>2.8113089829936291</v>
      </c>
      <c r="AG19" s="43">
        <f t="shared" si="8"/>
        <v>3.8691135668675978</v>
      </c>
      <c r="AH19" s="43">
        <f t="shared" si="8"/>
        <v>7.9963744978589997</v>
      </c>
      <c r="AI19" s="50">
        <f t="shared" si="8"/>
        <v>38.481556336115283</v>
      </c>
      <c r="AJ19" s="43">
        <f t="shared" si="8"/>
        <v>221.71208405970134</v>
      </c>
    </row>
    <row r="20" spans="1:36" x14ac:dyDescent="0.25">
      <c r="A20" s="86" t="str">
        <f t="shared" si="6"/>
        <v>given</v>
      </c>
      <c r="B20" s="50" t="s">
        <v>618</v>
      </c>
      <c r="C20" s="43">
        <f t="shared" ref="C20:R20" si="9">SUM(C51:C51)</f>
        <v>15.329137365504341</v>
      </c>
      <c r="D20" s="43">
        <f t="shared" si="9"/>
        <v>15.412014383896247</v>
      </c>
      <c r="E20" s="43">
        <f t="shared" si="9"/>
        <v>14.043550708442046</v>
      </c>
      <c r="F20" s="43">
        <f t="shared" si="9"/>
        <v>11.054121989694156</v>
      </c>
      <c r="G20" s="43">
        <f t="shared" si="9"/>
        <v>5.3288698020943102</v>
      </c>
      <c r="H20" s="51">
        <f t="shared" si="9"/>
        <v>16.67668534702781</v>
      </c>
      <c r="I20" s="43">
        <f t="shared" si="9"/>
        <v>15.477571416418568</v>
      </c>
      <c r="J20" s="43">
        <f t="shared" si="9"/>
        <v>14.116111371478503</v>
      </c>
      <c r="K20" s="43">
        <f t="shared" si="9"/>
        <v>11.725829844828212</v>
      </c>
      <c r="L20" s="50">
        <f t="shared" si="9"/>
        <v>5.4463593712186649</v>
      </c>
      <c r="M20" s="51">
        <f t="shared" si="9"/>
        <v>16.281053012766542</v>
      </c>
      <c r="N20" s="43">
        <f t="shared" si="9"/>
        <v>13.968589949071314</v>
      </c>
      <c r="O20" s="43">
        <f t="shared" si="9"/>
        <v>9.7558810426297455</v>
      </c>
      <c r="P20" s="43">
        <f t="shared" si="9"/>
        <v>6.0718005155400556</v>
      </c>
      <c r="Q20" s="50">
        <f t="shared" si="9"/>
        <v>1.1584436573951515</v>
      </c>
      <c r="R20" s="43">
        <f t="shared" si="9"/>
        <v>6.7213636793307625</v>
      </c>
      <c r="T20" s="40" t="s">
        <v>618</v>
      </c>
      <c r="U20" s="43">
        <f t="shared" ref="U20:AJ20" si="10">SUM(U51:U51)</f>
        <v>45.070895642514529</v>
      </c>
      <c r="V20" s="43">
        <f t="shared" si="10"/>
        <v>67.125270045424557</v>
      </c>
      <c r="W20" s="43">
        <f t="shared" si="10"/>
        <v>83.919078207192172</v>
      </c>
      <c r="X20" s="43">
        <f t="shared" si="10"/>
        <v>94.992310595529318</v>
      </c>
      <c r="Y20" s="43">
        <f t="shared" si="10"/>
        <v>50.700630628851989</v>
      </c>
      <c r="Z20" s="51">
        <f t="shared" si="10"/>
        <v>9.4416130737584343</v>
      </c>
      <c r="AA20" s="43">
        <f t="shared" si="10"/>
        <v>13.066005608419431</v>
      </c>
      <c r="AB20" s="43">
        <f t="shared" si="10"/>
        <v>14.437994833442978</v>
      </c>
      <c r="AC20" s="43">
        <f t="shared" si="10"/>
        <v>15.333846729336177</v>
      </c>
      <c r="AD20" s="50">
        <f t="shared" si="10"/>
        <v>9.1032246654120623</v>
      </c>
      <c r="AE20" s="51">
        <f t="shared" si="10"/>
        <v>4.755961563981443</v>
      </c>
      <c r="AF20" s="43">
        <f t="shared" si="10"/>
        <v>8.5093968711127612</v>
      </c>
      <c r="AG20" s="43">
        <f t="shared" si="10"/>
        <v>10.155351524200194</v>
      </c>
      <c r="AH20" s="43">
        <f t="shared" si="10"/>
        <v>13.435440651092197</v>
      </c>
      <c r="AI20" s="50">
        <f t="shared" si="10"/>
        <v>34.325356290768525</v>
      </c>
      <c r="AJ20" s="43">
        <f t="shared" si="10"/>
        <v>474.3723769310368</v>
      </c>
    </row>
    <row r="21" spans="1:36" x14ac:dyDescent="0.25">
      <c r="A21" s="86" t="str">
        <f t="shared" si="6"/>
        <v>given</v>
      </c>
      <c r="B21" s="50" t="s">
        <v>617</v>
      </c>
      <c r="C21" s="43">
        <f>C52</f>
        <v>2.6873199056802251</v>
      </c>
      <c r="D21" s="43">
        <f t="shared" ref="D21:Q21" si="11">D52</f>
        <v>2.6837664712419844</v>
      </c>
      <c r="E21" s="43">
        <f t="shared" si="11"/>
        <v>2.4511214376720902</v>
      </c>
      <c r="F21" s="43">
        <f t="shared" si="11"/>
        <v>1.8965996637906388</v>
      </c>
      <c r="G21" s="43">
        <f t="shared" si="11"/>
        <v>1.1180207857470923</v>
      </c>
      <c r="H21" s="51">
        <f t="shared" si="11"/>
        <v>3.0950954446874133</v>
      </c>
      <c r="I21" s="43">
        <f t="shared" si="11"/>
        <v>2.636450787549546</v>
      </c>
      <c r="J21" s="43">
        <f t="shared" si="11"/>
        <v>2.5257373102916678</v>
      </c>
      <c r="K21" s="43">
        <f t="shared" si="11"/>
        <v>1.7898450485640907</v>
      </c>
      <c r="L21" s="50">
        <f t="shared" si="11"/>
        <v>1.1784784709562821</v>
      </c>
      <c r="M21" s="51">
        <f t="shared" si="11"/>
        <v>2.3244538926399656</v>
      </c>
      <c r="N21" s="43">
        <f t="shared" si="11"/>
        <v>2.1489352193306406</v>
      </c>
      <c r="O21" s="43">
        <f t="shared" si="11"/>
        <v>1.8630494602179912</v>
      </c>
      <c r="P21" s="43">
        <f t="shared" si="11"/>
        <v>1.4620208362460376</v>
      </c>
      <c r="Q21" s="50">
        <f t="shared" si="11"/>
        <v>0.41660363467111317</v>
      </c>
      <c r="R21" s="43">
        <f t="shared" ref="R21" si="12">R52</f>
        <v>1.2971814752027289</v>
      </c>
      <c r="T21" s="40" t="s">
        <v>617</v>
      </c>
      <c r="U21" s="43">
        <f>U52</f>
        <v>7.9012870808715903</v>
      </c>
      <c r="V21" s="43">
        <f t="shared" ref="V21:AJ21" si="13">V52</f>
        <v>11.68883863158138</v>
      </c>
      <c r="W21" s="43">
        <f t="shared" si="13"/>
        <v>14.646997464799185</v>
      </c>
      <c r="X21" s="43">
        <f t="shared" si="13"/>
        <v>16.298208442619291</v>
      </c>
      <c r="Y21" s="43">
        <f t="shared" si="13"/>
        <v>10.63721971050307</v>
      </c>
      <c r="Z21" s="51">
        <f t="shared" si="13"/>
        <v>1.7523082679196229</v>
      </c>
      <c r="AA21" s="43">
        <f t="shared" si="13"/>
        <v>2.2256644695499173</v>
      </c>
      <c r="AB21" s="43">
        <f t="shared" si="13"/>
        <v>2.5833305842503997</v>
      </c>
      <c r="AC21" s="43">
        <f t="shared" si="13"/>
        <v>2.3405771708386167</v>
      </c>
      <c r="AD21" s="50">
        <f t="shared" si="13"/>
        <v>1.9697477807208779</v>
      </c>
      <c r="AE21" s="51">
        <f t="shared" si="13"/>
        <v>0.67901095598510142</v>
      </c>
      <c r="AF21" s="43">
        <f t="shared" si="13"/>
        <v>1.3090900869927751</v>
      </c>
      <c r="AG21" s="43">
        <f t="shared" si="13"/>
        <v>1.9393350629032649</v>
      </c>
      <c r="AH21" s="43">
        <f t="shared" si="13"/>
        <v>3.2351020304059985</v>
      </c>
      <c r="AI21" s="50">
        <f t="shared" si="13"/>
        <v>12.344206902793974</v>
      </c>
      <c r="AJ21" s="43">
        <f t="shared" si="13"/>
        <v>91.550924642735083</v>
      </c>
    </row>
    <row r="22" spans="1:36" x14ac:dyDescent="0.25">
      <c r="A22" s="86" t="str">
        <f t="shared" si="6"/>
        <v>given</v>
      </c>
      <c r="B22" s="50" t="s">
        <v>715</v>
      </c>
      <c r="C22" s="43">
        <f t="shared" ref="C22:R22" si="14">SUM(C53:C53)</f>
        <v>1.9250680061046077</v>
      </c>
      <c r="D22" s="43">
        <f t="shared" si="14"/>
        <v>1.5949272665811687</v>
      </c>
      <c r="E22" s="43">
        <f t="shared" si="14"/>
        <v>1.279564891859102</v>
      </c>
      <c r="F22" s="43">
        <f t="shared" si="14"/>
        <v>0.91990220686093505</v>
      </c>
      <c r="G22" s="43">
        <f t="shared" si="14"/>
        <v>0.62097707489352916</v>
      </c>
      <c r="H22" s="51">
        <f t="shared" si="14"/>
        <v>2.1481701000586537</v>
      </c>
      <c r="I22" s="43">
        <f t="shared" si="14"/>
        <v>1.4378946082779376</v>
      </c>
      <c r="J22" s="43">
        <f t="shared" si="14"/>
        <v>1.2753145218710737</v>
      </c>
      <c r="K22" s="43">
        <f t="shared" si="14"/>
        <v>0.91728603584199642</v>
      </c>
      <c r="L22" s="50">
        <f t="shared" si="14"/>
        <v>0.73038151951382224</v>
      </c>
      <c r="M22" s="51">
        <f t="shared" si="14"/>
        <v>1.7071219991681466</v>
      </c>
      <c r="N22" s="43">
        <f t="shared" si="14"/>
        <v>1.7302966560357127</v>
      </c>
      <c r="O22" s="43">
        <f t="shared" si="14"/>
        <v>1.305077197477809</v>
      </c>
      <c r="P22" s="43">
        <f t="shared" si="14"/>
        <v>1.1125789213029016</v>
      </c>
      <c r="Q22" s="50">
        <f t="shared" si="14"/>
        <v>0.39751099249213911</v>
      </c>
      <c r="R22" s="43">
        <f t="shared" si="14"/>
        <v>0.81290826327820864</v>
      </c>
      <c r="T22" s="50" t="s">
        <v>715</v>
      </c>
      <c r="U22" s="43">
        <f t="shared" ref="U22:AJ22" si="15">SUM(U53:U53)</f>
        <v>5.6601057932413985</v>
      </c>
      <c r="V22" s="43">
        <f t="shared" si="15"/>
        <v>6.9465237187902504</v>
      </c>
      <c r="W22" s="43">
        <f t="shared" si="15"/>
        <v>7.646207747628365</v>
      </c>
      <c r="X22" s="43">
        <f t="shared" si="15"/>
        <v>7.9050725361195804</v>
      </c>
      <c r="Y22" s="43">
        <f t="shared" si="15"/>
        <v>5.9081813728660082</v>
      </c>
      <c r="Z22" s="51">
        <f t="shared" si="15"/>
        <v>1.2162003707160864</v>
      </c>
      <c r="AA22" s="43">
        <f t="shared" si="15"/>
        <v>1.2138557471714084</v>
      </c>
      <c r="AB22" s="43">
        <f t="shared" si="15"/>
        <v>1.304394956460365</v>
      </c>
      <c r="AC22" s="43">
        <f t="shared" si="15"/>
        <v>1.1995333095137206</v>
      </c>
      <c r="AD22" s="50">
        <f t="shared" si="15"/>
        <v>1.2207837585479862</v>
      </c>
      <c r="AE22" s="51">
        <f t="shared" si="15"/>
        <v>0.49867822472566548</v>
      </c>
      <c r="AF22" s="43">
        <f t="shared" si="15"/>
        <v>1.0540635099640863</v>
      </c>
      <c r="AG22" s="43">
        <f t="shared" si="15"/>
        <v>1.3585157146435065</v>
      </c>
      <c r="AH22" s="43">
        <f t="shared" si="15"/>
        <v>2.4618707463401841</v>
      </c>
      <c r="AI22" s="50">
        <f t="shared" si="15"/>
        <v>11.778480860666841</v>
      </c>
      <c r="AJ22" s="43">
        <f t="shared" si="15"/>
        <v>57.372468367395449</v>
      </c>
    </row>
    <row r="23" spans="1:36" x14ac:dyDescent="0.25">
      <c r="A23" s="86" t="str">
        <f t="shared" si="6"/>
        <v>given</v>
      </c>
      <c r="B23" s="50" t="s">
        <v>620</v>
      </c>
      <c r="C23" s="43">
        <f t="shared" ref="C23:R23" si="16">SUM(C54:C55)</f>
        <v>3.5543690117930686</v>
      </c>
      <c r="D23" s="43">
        <f t="shared" si="16"/>
        <v>4.3761804584402304</v>
      </c>
      <c r="E23" s="43">
        <f t="shared" si="16"/>
        <v>4.797614928057147</v>
      </c>
      <c r="F23" s="43">
        <f t="shared" si="16"/>
        <v>5.1973479680954604</v>
      </c>
      <c r="G23" s="43">
        <f t="shared" si="16"/>
        <v>4.2769041955491387</v>
      </c>
      <c r="H23" s="51">
        <f t="shared" si="16"/>
        <v>3.2007439827016908</v>
      </c>
      <c r="I23" s="43">
        <f t="shared" si="16"/>
        <v>4.5364173807741608</v>
      </c>
      <c r="J23" s="43">
        <f t="shared" si="16"/>
        <v>4.7279048189241326</v>
      </c>
      <c r="K23" s="43">
        <f t="shared" si="16"/>
        <v>4.8331882106628612</v>
      </c>
      <c r="L23" s="50">
        <f t="shared" si="16"/>
        <v>4.3690093463038195</v>
      </c>
      <c r="M23" s="51">
        <f t="shared" si="16"/>
        <v>3.6659356858777588</v>
      </c>
      <c r="N23" s="43">
        <f t="shared" si="16"/>
        <v>3.4257515671657153</v>
      </c>
      <c r="O23" s="43">
        <f t="shared" si="16"/>
        <v>3.9247922806398918</v>
      </c>
      <c r="P23" s="43">
        <f t="shared" si="16"/>
        <v>4.2457210156791056</v>
      </c>
      <c r="Q23" s="50">
        <f t="shared" si="16"/>
        <v>3.1547490669567004</v>
      </c>
      <c r="R23" s="43">
        <f t="shared" si="16"/>
        <v>3.9354202342066977</v>
      </c>
      <c r="T23" s="40" t="s">
        <v>620</v>
      </c>
      <c r="U23" s="43">
        <f t="shared" ref="U23:AJ23" si="17">SUM(U54:U55)</f>
        <v>10.450594249746436</v>
      </c>
      <c r="V23" s="43">
        <f t="shared" si="17"/>
        <v>19.059954638197528</v>
      </c>
      <c r="W23" s="43">
        <f t="shared" si="17"/>
        <v>28.668776915057329</v>
      </c>
      <c r="X23" s="43">
        <f t="shared" si="17"/>
        <v>44.662804781660192</v>
      </c>
      <c r="Y23" s="43">
        <f t="shared" si="17"/>
        <v>40.691881751042743</v>
      </c>
      <c r="Z23" s="51">
        <f t="shared" si="17"/>
        <v>1.8121218697824681</v>
      </c>
      <c r="AA23" s="43">
        <f t="shared" si="17"/>
        <v>3.8295966043128762</v>
      </c>
      <c r="AB23" s="43">
        <f t="shared" si="17"/>
        <v>4.8357131473585966</v>
      </c>
      <c r="AC23" s="43">
        <f t="shared" si="17"/>
        <v>6.3203515842442828</v>
      </c>
      <c r="AD23" s="50">
        <f t="shared" si="17"/>
        <v>7.3025063044617751</v>
      </c>
      <c r="AE23" s="51">
        <f t="shared" si="17"/>
        <v>1.0708797031980142</v>
      </c>
      <c r="AF23" s="43">
        <f t="shared" si="17"/>
        <v>2.0869020977158579</v>
      </c>
      <c r="AG23" s="43">
        <f t="shared" si="17"/>
        <v>4.0854993101291095</v>
      </c>
      <c r="AH23" s="43">
        <f t="shared" si="17"/>
        <v>9.3947639717833873</v>
      </c>
      <c r="AI23" s="50">
        <f t="shared" si="17"/>
        <v>93.477041408083522</v>
      </c>
      <c r="AJ23" s="43">
        <f t="shared" si="17"/>
        <v>277.74938833677408</v>
      </c>
    </row>
    <row r="24" spans="1:36" x14ac:dyDescent="0.25">
      <c r="A24" s="86" t="str">
        <f t="shared" si="6"/>
        <v>given</v>
      </c>
      <c r="B24" s="50" t="s">
        <v>621</v>
      </c>
      <c r="C24" s="43">
        <f t="shared" ref="C24:R24" si="18">SUM(C56:C59)</f>
        <v>1.9432179031980179</v>
      </c>
      <c r="D24" s="43">
        <f t="shared" si="18"/>
        <v>2.3761109337899513</v>
      </c>
      <c r="E24" s="43">
        <f t="shared" si="18"/>
        <v>2.8162892957774153</v>
      </c>
      <c r="F24" s="43">
        <f t="shared" si="18"/>
        <v>3.5330631784576267</v>
      </c>
      <c r="G24" s="43">
        <f t="shared" si="18"/>
        <v>4.6605121944516759</v>
      </c>
      <c r="H24" s="51">
        <f t="shared" si="18"/>
        <v>2.6306716613875931</v>
      </c>
      <c r="I24" s="43">
        <f t="shared" si="18"/>
        <v>2.2145435918645848</v>
      </c>
      <c r="J24" s="43">
        <f t="shared" si="18"/>
        <v>2.9292433606361383</v>
      </c>
      <c r="K24" s="43">
        <f t="shared" si="18"/>
        <v>3.5721693268272219</v>
      </c>
      <c r="L24" s="50">
        <f t="shared" si="18"/>
        <v>4.6738871525714725</v>
      </c>
      <c r="M24" s="51">
        <f t="shared" si="18"/>
        <v>1.9934843196294976</v>
      </c>
      <c r="N24" s="43">
        <f t="shared" si="18"/>
        <v>2.6286079123170545</v>
      </c>
      <c r="O24" s="43">
        <f t="shared" si="18"/>
        <v>3.2098376001034001</v>
      </c>
      <c r="P24" s="43">
        <f t="shared" si="18"/>
        <v>3.4760244410012175</v>
      </c>
      <c r="Q24" s="50">
        <f t="shared" si="18"/>
        <v>2.9422644567140965</v>
      </c>
      <c r="R24" s="43">
        <f t="shared" si="18"/>
        <v>3.2139439488246571</v>
      </c>
      <c r="T24" s="40" t="s">
        <v>621</v>
      </c>
      <c r="U24" s="43">
        <f t="shared" ref="U24:AJ24" si="19">SUM(U56:U59)</f>
        <v>5.7134703171747745</v>
      </c>
      <c r="V24" s="43">
        <f t="shared" si="19"/>
        <v>10.348880043558239</v>
      </c>
      <c r="W24" s="43">
        <f t="shared" si="19"/>
        <v>16.829105870237719</v>
      </c>
      <c r="X24" s="43">
        <f t="shared" si="19"/>
        <v>30.360967168136042</v>
      </c>
      <c r="Y24" s="43">
        <f t="shared" si="19"/>
        <v>44.341655189115272</v>
      </c>
      <c r="Z24" s="51">
        <f t="shared" si="19"/>
        <v>1.4893717446884382</v>
      </c>
      <c r="AA24" s="43">
        <f t="shared" si="19"/>
        <v>1.869494781377494</v>
      </c>
      <c r="AB24" s="43">
        <f t="shared" si="19"/>
        <v>2.9960376051022943</v>
      </c>
      <c r="AC24" s="43">
        <f t="shared" si="19"/>
        <v>4.6713194437972909</v>
      </c>
      <c r="AD24" s="50">
        <f t="shared" si="19"/>
        <v>7.8120891242475725</v>
      </c>
      <c r="AE24" s="51">
        <f t="shared" si="19"/>
        <v>0.58232933675255871</v>
      </c>
      <c r="AF24" s="43">
        <f t="shared" si="19"/>
        <v>1.6012974842847396</v>
      </c>
      <c r="AG24" s="43">
        <f t="shared" si="19"/>
        <v>3.3412696426091792</v>
      </c>
      <c r="AH24" s="43">
        <f t="shared" si="19"/>
        <v>7.6916097555065814</v>
      </c>
      <c r="AI24" s="50">
        <f t="shared" si="19"/>
        <v>87.180999381074031</v>
      </c>
      <c r="AJ24" s="43">
        <f t="shared" si="19"/>
        <v>226.82989688766222</v>
      </c>
    </row>
    <row r="25" spans="1:36" x14ac:dyDescent="0.25">
      <c r="A25" s="86" t="str">
        <f t="shared" si="6"/>
        <v>given</v>
      </c>
      <c r="B25" s="50" t="s">
        <v>622</v>
      </c>
      <c r="C25" s="43">
        <f>SUM(C60:C61)</f>
        <v>0.45945971999968233</v>
      </c>
      <c r="D25" s="43">
        <f t="shared" ref="D25:Q25" si="20">SUM(D60:D61)</f>
        <v>1.224835796143116</v>
      </c>
      <c r="E25" s="43">
        <f t="shared" si="20"/>
        <v>1.5652824097316067</v>
      </c>
      <c r="F25" s="43">
        <f t="shared" si="20"/>
        <v>2.5848027062255694</v>
      </c>
      <c r="G25" s="43">
        <f t="shared" si="20"/>
        <v>2.8975603970223434</v>
      </c>
      <c r="H25" s="51">
        <f t="shared" si="20"/>
        <v>0.57946832597253495</v>
      </c>
      <c r="I25" s="43">
        <f t="shared" si="20"/>
        <v>1.1686334975766406</v>
      </c>
      <c r="J25" s="43">
        <f t="shared" si="20"/>
        <v>1.5810084233727781</v>
      </c>
      <c r="K25" s="43">
        <f t="shared" si="20"/>
        <v>2.4223605284994805</v>
      </c>
      <c r="L25" s="50">
        <f t="shared" si="20"/>
        <v>2.3929842682050726</v>
      </c>
      <c r="M25" s="51">
        <f t="shared" si="20"/>
        <v>0.58819729599945103</v>
      </c>
      <c r="N25" s="43">
        <f t="shared" si="20"/>
        <v>0.91734023141204901</v>
      </c>
      <c r="O25" s="43">
        <f t="shared" si="20"/>
        <v>1.4753215638170984</v>
      </c>
      <c r="P25" s="43">
        <f t="shared" si="20"/>
        <v>1.7556224726791978</v>
      </c>
      <c r="Q25" s="50">
        <f t="shared" si="20"/>
        <v>1.7068846500270041</v>
      </c>
      <c r="R25" s="43">
        <f t="shared" ref="R25" si="21">SUM(R60:R61)</f>
        <v>1.8794542837705763</v>
      </c>
      <c r="T25" s="40" t="s">
        <v>622</v>
      </c>
      <c r="U25" s="43">
        <f>SUM(U60:U61)</f>
        <v>1.3509084430703262</v>
      </c>
      <c r="V25" s="43">
        <f t="shared" ref="V25:AJ25" si="22">SUM(V60:V61)</f>
        <v>5.334632548962376</v>
      </c>
      <c r="W25" s="43">
        <f t="shared" si="22"/>
        <v>9.3535502299746636</v>
      </c>
      <c r="X25" s="43">
        <f t="shared" si="22"/>
        <v>22.212201179511087</v>
      </c>
      <c r="Y25" s="43">
        <f t="shared" si="22"/>
        <v>27.568348424741561</v>
      </c>
      <c r="Z25" s="51">
        <f t="shared" si="22"/>
        <v>0.32806973379193038</v>
      </c>
      <c r="AA25" s="43">
        <f t="shared" si="22"/>
        <v>0.9865483041690567</v>
      </c>
      <c r="AB25" s="43">
        <f t="shared" si="22"/>
        <v>1.6170594611775986</v>
      </c>
      <c r="AC25" s="43">
        <f t="shared" si="22"/>
        <v>3.1677165333920962</v>
      </c>
      <c r="AD25" s="50">
        <f t="shared" si="22"/>
        <v>3.9997128227315528</v>
      </c>
      <c r="AE25" s="51">
        <f t="shared" si="22"/>
        <v>0.17182203937408913</v>
      </c>
      <c r="AF25" s="43">
        <f t="shared" si="22"/>
        <v>0.55882606071076768</v>
      </c>
      <c r="AG25" s="43">
        <f t="shared" si="22"/>
        <v>1.5357310145877714</v>
      </c>
      <c r="AH25" s="43">
        <f t="shared" si="22"/>
        <v>3.8847721490578486</v>
      </c>
      <c r="AI25" s="50">
        <f t="shared" si="22"/>
        <v>50.575980441865788</v>
      </c>
      <c r="AJ25" s="43">
        <f t="shared" si="22"/>
        <v>132.64587938711853</v>
      </c>
    </row>
    <row r="26" spans="1:36" x14ac:dyDescent="0.25">
      <c r="A26" s="86" t="str">
        <f t="shared" si="6"/>
        <v>given</v>
      </c>
      <c r="B26" s="50" t="s">
        <v>623</v>
      </c>
      <c r="C26" s="43">
        <f>SUM(C62:C63)</f>
        <v>1.4045161169296727</v>
      </c>
      <c r="D26" s="43">
        <f t="shared" ref="D26:Q26" si="23">SUM(D62:D63)</f>
        <v>1.7450509749057128</v>
      </c>
      <c r="E26" s="43">
        <f t="shared" si="23"/>
        <v>1.8566118658970829</v>
      </c>
      <c r="F26" s="43">
        <f t="shared" si="23"/>
        <v>2.115606242166173</v>
      </c>
      <c r="G26" s="43">
        <f t="shared" si="23"/>
        <v>1.9109149508607817</v>
      </c>
      <c r="H26" s="51">
        <f t="shared" si="23"/>
        <v>1.6773443974359106</v>
      </c>
      <c r="I26" s="43">
        <f t="shared" si="23"/>
        <v>1.9905489345803269</v>
      </c>
      <c r="J26" s="43">
        <f t="shared" si="23"/>
        <v>1.7827505507750101</v>
      </c>
      <c r="K26" s="43">
        <f t="shared" si="23"/>
        <v>2.1001937686347203</v>
      </c>
      <c r="L26" s="50">
        <f t="shared" si="23"/>
        <v>2.0878225411640412</v>
      </c>
      <c r="M26" s="51">
        <f t="shared" si="23"/>
        <v>2.1658802968567366</v>
      </c>
      <c r="N26" s="43">
        <f t="shared" si="23"/>
        <v>2.4141294834478066</v>
      </c>
      <c r="O26" s="43">
        <f t="shared" si="23"/>
        <v>2.5395005097243937</v>
      </c>
      <c r="P26" s="43">
        <f t="shared" si="23"/>
        <v>2.2722359157208682</v>
      </c>
      <c r="Q26" s="50">
        <f t="shared" si="23"/>
        <v>1.3391679599926569</v>
      </c>
      <c r="R26" s="43">
        <f t="shared" ref="R26" si="24">SUM(R62:R63)</f>
        <v>1.6907854043156179</v>
      </c>
      <c r="T26" s="40" t="s">
        <v>623</v>
      </c>
      <c r="U26" s="43">
        <f>SUM(U62:U63)</f>
        <v>4.1295734929494063</v>
      </c>
      <c r="V26" s="43">
        <f t="shared" ref="V26:AJ26" si="25">SUM(V62:V63)</f>
        <v>7.6003704003788011</v>
      </c>
      <c r="W26" s="43">
        <f t="shared" si="25"/>
        <v>11.094427585251543</v>
      </c>
      <c r="X26" s="43">
        <f t="shared" si="25"/>
        <v>18.180215981065903</v>
      </c>
      <c r="Y26" s="43">
        <f t="shared" si="25"/>
        <v>18.181077167369807</v>
      </c>
      <c r="Z26" s="51">
        <f t="shared" si="25"/>
        <v>0.9496393595294923</v>
      </c>
      <c r="AA26" s="43">
        <f t="shared" si="25"/>
        <v>1.680400809875773</v>
      </c>
      <c r="AB26" s="43">
        <f t="shared" si="25"/>
        <v>1.8234018253364996</v>
      </c>
      <c r="AC26" s="43">
        <f t="shared" si="25"/>
        <v>2.7464196373577447</v>
      </c>
      <c r="AD26" s="50">
        <f t="shared" si="25"/>
        <v>3.4896554484018689</v>
      </c>
      <c r="AE26" s="51">
        <f t="shared" si="25"/>
        <v>0.63268901808489331</v>
      </c>
      <c r="AF26" s="43">
        <f t="shared" si="25"/>
        <v>1.4706413423122637</v>
      </c>
      <c r="AG26" s="43">
        <f t="shared" si="25"/>
        <v>2.6434845053404934</v>
      </c>
      <c r="AH26" s="43">
        <f t="shared" si="25"/>
        <v>5.0279139956613843</v>
      </c>
      <c r="AI26" s="50">
        <f t="shared" si="25"/>
        <v>39.680322013494234</v>
      </c>
      <c r="AJ26" s="43">
        <f t="shared" si="25"/>
        <v>119.33023258241012</v>
      </c>
    </row>
    <row r="27" spans="1:36" x14ac:dyDescent="0.25">
      <c r="A27" s="87" t="str">
        <f t="shared" si="6"/>
        <v>given</v>
      </c>
      <c r="B27" s="53" t="s">
        <v>624</v>
      </c>
      <c r="C27" s="52">
        <f t="shared" ref="C27:R27" si="26">SUM(C64:C64)</f>
        <v>6.4552387149296759</v>
      </c>
      <c r="D27" s="52">
        <f t="shared" si="26"/>
        <v>7.3966803259305456</v>
      </c>
      <c r="E27" s="52">
        <f t="shared" si="26"/>
        <v>9.0900166554497819</v>
      </c>
      <c r="F27" s="52">
        <f t="shared" si="26"/>
        <v>11.389313584157685</v>
      </c>
      <c r="G27" s="52">
        <f t="shared" si="26"/>
        <v>12.54677990547669</v>
      </c>
      <c r="H27" s="54">
        <f t="shared" si="26"/>
        <v>7.1906849038325937</v>
      </c>
      <c r="I27" s="52">
        <f t="shared" si="26"/>
        <v>9.2224516207476999</v>
      </c>
      <c r="J27" s="52">
        <f t="shared" si="26"/>
        <v>11.564234004555205</v>
      </c>
      <c r="K27" s="52">
        <f t="shared" si="26"/>
        <v>11.308831414778723</v>
      </c>
      <c r="L27" s="53">
        <f t="shared" si="26"/>
        <v>11.877470279877718</v>
      </c>
      <c r="M27" s="54">
        <f t="shared" si="26"/>
        <v>5.6884084593506348</v>
      </c>
      <c r="N27" s="52">
        <f t="shared" si="26"/>
        <v>7.6918285632837753</v>
      </c>
      <c r="O27" s="52">
        <f t="shared" si="26"/>
        <v>8.0200363405657491</v>
      </c>
      <c r="P27" s="52">
        <f t="shared" si="26"/>
        <v>7.7220989211121553</v>
      </c>
      <c r="Q27" s="53">
        <f t="shared" si="26"/>
        <v>7.8267261309065264</v>
      </c>
      <c r="R27" s="52">
        <f t="shared" si="26"/>
        <v>9.1358558246134063</v>
      </c>
      <c r="T27" s="39" t="s">
        <v>624</v>
      </c>
      <c r="U27" s="52">
        <f t="shared" ref="U27:AJ27" si="27">SUM(U64:U64)</f>
        <v>18.979762757089937</v>
      </c>
      <c r="V27" s="52">
        <f t="shared" si="27"/>
        <v>32.215397153830558</v>
      </c>
      <c r="W27" s="52">
        <f t="shared" si="27"/>
        <v>54.318586121870851</v>
      </c>
      <c r="X27" s="52">
        <f t="shared" si="27"/>
        <v>97.872740545549362</v>
      </c>
      <c r="Y27" s="52">
        <f t="shared" si="27"/>
        <v>119.37421577068169</v>
      </c>
      <c r="Z27" s="54">
        <f t="shared" si="27"/>
        <v>4.0710526813053516</v>
      </c>
      <c r="AA27" s="52">
        <f t="shared" si="27"/>
        <v>7.7854982127389567</v>
      </c>
      <c r="AB27" s="52">
        <f t="shared" si="27"/>
        <v>11.827928132378148</v>
      </c>
      <c r="AC27" s="52">
        <f t="shared" si="27"/>
        <v>14.78853862770336</v>
      </c>
      <c r="AD27" s="53">
        <f t="shared" si="27"/>
        <v>19.852395526057279</v>
      </c>
      <c r="AE27" s="54">
        <f t="shared" si="27"/>
        <v>1.6616770408943846</v>
      </c>
      <c r="AF27" s="52">
        <f t="shared" si="27"/>
        <v>4.6857143167764246</v>
      </c>
      <c r="AG27" s="52">
        <f t="shared" si="27"/>
        <v>8.348429826010987</v>
      </c>
      <c r="AH27" s="52">
        <f t="shared" si="27"/>
        <v>17.08715585944072</v>
      </c>
      <c r="AI27" s="53">
        <f t="shared" si="27"/>
        <v>231.91042682017547</v>
      </c>
      <c r="AJ27" s="52">
        <f t="shared" si="27"/>
        <v>644.77951939250352</v>
      </c>
    </row>
    <row r="28" spans="1:36" x14ac:dyDescent="0.25">
      <c r="A28" s="89" t="str">
        <f t="shared" si="6"/>
        <v>given</v>
      </c>
      <c r="B28" s="73" t="s">
        <v>626</v>
      </c>
      <c r="C28" s="58">
        <f t="shared" ref="C28:R28" si="28">SUM(C65:C65)</f>
        <v>4.4733670280021407</v>
      </c>
      <c r="D28" s="58">
        <f t="shared" si="28"/>
        <v>5.0890490379952782</v>
      </c>
      <c r="E28" s="58">
        <f t="shared" si="28"/>
        <v>5.4129345339309385</v>
      </c>
      <c r="F28" s="58">
        <f t="shared" si="28"/>
        <v>5.3812777433053336</v>
      </c>
      <c r="G28" s="58">
        <f t="shared" si="28"/>
        <v>5.5308897069336904</v>
      </c>
      <c r="H28" s="72">
        <f t="shared" si="28"/>
        <v>5.3625083421140429</v>
      </c>
      <c r="I28" s="58">
        <f t="shared" si="28"/>
        <v>5.3354419657385037</v>
      </c>
      <c r="J28" s="58">
        <f t="shared" si="28"/>
        <v>5.4188606963113841</v>
      </c>
      <c r="K28" s="58">
        <f t="shared" si="28"/>
        <v>5.6210893034771123</v>
      </c>
      <c r="L28" s="73">
        <f t="shared" si="28"/>
        <v>5.4043208818488893</v>
      </c>
      <c r="M28" s="72">
        <f t="shared" si="28"/>
        <v>4.2012992727706644</v>
      </c>
      <c r="N28" s="58">
        <f t="shared" si="28"/>
        <v>4.42328131983151</v>
      </c>
      <c r="O28" s="58">
        <f t="shared" si="28"/>
        <v>5.0664665502806114</v>
      </c>
      <c r="P28" s="58">
        <f t="shared" si="28"/>
        <v>5.2494459612313999</v>
      </c>
      <c r="Q28" s="73">
        <f t="shared" si="28"/>
        <v>4.819414066020542</v>
      </c>
      <c r="R28" s="58">
        <f t="shared" si="28"/>
        <v>5.0952857833125433</v>
      </c>
      <c r="T28" s="71" t="s">
        <v>626</v>
      </c>
      <c r="U28" s="58">
        <f t="shared" ref="U28:AJ28" si="29">SUM(U65:U65)</f>
        <v>13.152642166509573</v>
      </c>
      <c r="V28" s="58">
        <f t="shared" si="29"/>
        <v>22.164772393852495</v>
      </c>
      <c r="W28" s="58">
        <f t="shared" si="29"/>
        <v>32.345699881319746</v>
      </c>
      <c r="X28" s="58">
        <f t="shared" si="29"/>
        <v>46.243383895115905</v>
      </c>
      <c r="Y28" s="58">
        <f t="shared" si="29"/>
        <v>52.622714852210528</v>
      </c>
      <c r="Z28" s="72">
        <f t="shared" si="29"/>
        <v>3.0360187181960736</v>
      </c>
      <c r="AA28" s="58">
        <f t="shared" si="29"/>
        <v>4.5041248896312256</v>
      </c>
      <c r="AB28" s="58">
        <f t="shared" si="29"/>
        <v>5.5424245868851125</v>
      </c>
      <c r="AC28" s="58">
        <f t="shared" si="29"/>
        <v>7.3506884350232395</v>
      </c>
      <c r="AD28" s="73">
        <f t="shared" si="29"/>
        <v>9.032960147916226</v>
      </c>
      <c r="AE28" s="72">
        <f t="shared" si="29"/>
        <v>1.2272681530127381</v>
      </c>
      <c r="AF28" s="58">
        <f t="shared" si="29"/>
        <v>2.6945780755435655</v>
      </c>
      <c r="AG28" s="58">
        <f t="shared" si="29"/>
        <v>5.2739212972027421</v>
      </c>
      <c r="AH28" s="58">
        <f t="shared" si="29"/>
        <v>11.615766934821135</v>
      </c>
      <c r="AI28" s="73">
        <f t="shared" si="29"/>
        <v>142.80202914734255</v>
      </c>
      <c r="AJ28" s="58">
        <f t="shared" si="29"/>
        <v>359.60899357458283</v>
      </c>
    </row>
    <row r="29" spans="1:36" x14ac:dyDescent="0.25">
      <c r="A29" s="87" t="str">
        <f t="shared" ref="A29:A31" si="30">S112</f>
        <v>given</v>
      </c>
      <c r="B29" s="53" t="s">
        <v>629</v>
      </c>
      <c r="C29" s="52">
        <f t="shared" ref="C29:R29" si="31">SUM(C66:C67)</f>
        <v>0.11269720680569342</v>
      </c>
      <c r="D29" s="52">
        <f t="shared" si="31"/>
        <v>0.1506405679996265</v>
      </c>
      <c r="E29" s="52">
        <f t="shared" si="31"/>
        <v>0.19010829415849495</v>
      </c>
      <c r="F29" s="52">
        <f t="shared" si="31"/>
        <v>0.23118632823198801</v>
      </c>
      <c r="G29" s="52">
        <f t="shared" si="31"/>
        <v>0.37166245367376843</v>
      </c>
      <c r="H29" s="54">
        <f t="shared" si="31"/>
        <v>9.9453316603828515E-2</v>
      </c>
      <c r="I29" s="52">
        <f t="shared" si="31"/>
        <v>0.16845650418123981</v>
      </c>
      <c r="J29" s="52">
        <f t="shared" si="31"/>
        <v>0.19589508404731343</v>
      </c>
      <c r="K29" s="52">
        <f t="shared" si="31"/>
        <v>0.23201240599941708</v>
      </c>
      <c r="L29" s="53">
        <f t="shared" si="31"/>
        <v>0.36788498138325304</v>
      </c>
      <c r="M29" s="54">
        <f t="shared" si="31"/>
        <v>0.32909475093354512</v>
      </c>
      <c r="N29" s="52">
        <f t="shared" si="31"/>
        <v>0.69894835770073749</v>
      </c>
      <c r="O29" s="52">
        <f t="shared" si="31"/>
        <v>0.72381027178373436</v>
      </c>
      <c r="P29" s="52">
        <f t="shared" si="31"/>
        <v>0.80714545133022852</v>
      </c>
      <c r="Q29" s="53">
        <f t="shared" si="31"/>
        <v>0.62827834993805809</v>
      </c>
      <c r="R29" s="52">
        <f t="shared" si="31"/>
        <v>0.43415218132905042</v>
      </c>
      <c r="T29" s="39" t="s">
        <v>629</v>
      </c>
      <c r="U29" s="52">
        <f t="shared" ref="U29:AJ29" si="32">SUM(U66:U67)</f>
        <v>0.33135354756312285</v>
      </c>
      <c r="V29" s="52">
        <f t="shared" si="32"/>
        <v>0.65609780492657133</v>
      </c>
      <c r="W29" s="52">
        <f t="shared" si="32"/>
        <v>1.1360170327673846</v>
      </c>
      <c r="X29" s="52">
        <f t="shared" si="32"/>
        <v>1.9866728010897052</v>
      </c>
      <c r="Y29" s="52">
        <f t="shared" si="32"/>
        <v>3.5361195679655779</v>
      </c>
      <c r="Z29" s="54">
        <f t="shared" si="32"/>
        <v>5.6306137265022919E-2</v>
      </c>
      <c r="AA29" s="52">
        <f t="shared" si="32"/>
        <v>0.14220923743061775</v>
      </c>
      <c r="AB29" s="52">
        <f t="shared" si="32"/>
        <v>0.20036199325308623</v>
      </c>
      <c r="AC29" s="52">
        <f t="shared" si="32"/>
        <v>0.30340220862651446</v>
      </c>
      <c r="AD29" s="53">
        <f t="shared" si="32"/>
        <v>0.61489509015144839</v>
      </c>
      <c r="AE29" s="54">
        <f t="shared" si="32"/>
        <v>9.6133953075436124E-2</v>
      </c>
      <c r="AF29" s="52">
        <f t="shared" si="32"/>
        <v>0.4257859232587381</v>
      </c>
      <c r="AG29" s="52">
        <f t="shared" si="32"/>
        <v>0.75344786541281228</v>
      </c>
      <c r="AH29" s="52">
        <f t="shared" si="32"/>
        <v>1.7860196131924075</v>
      </c>
      <c r="AI29" s="53">
        <f t="shared" si="32"/>
        <v>18.616251272757193</v>
      </c>
      <c r="AJ29" s="52">
        <f t="shared" si="32"/>
        <v>30.641074048735639</v>
      </c>
    </row>
    <row r="30" spans="1:36" x14ac:dyDescent="0.25">
      <c r="A30" s="86" t="str">
        <f t="shared" si="30"/>
        <v>given</v>
      </c>
      <c r="B30" s="50" t="s">
        <v>633</v>
      </c>
      <c r="C30" s="43">
        <f t="shared" ref="C30:R30" si="33">C68</f>
        <v>4.1704469514500868</v>
      </c>
      <c r="D30" s="43">
        <f t="shared" si="33"/>
        <v>3.6597625690934548</v>
      </c>
      <c r="E30" s="43">
        <f t="shared" si="33"/>
        <v>3.4897049821791066</v>
      </c>
      <c r="F30" s="43">
        <f t="shared" si="33"/>
        <v>3.6094546662153877</v>
      </c>
      <c r="G30" s="43">
        <f t="shared" si="33"/>
        <v>3.9726620245160502</v>
      </c>
      <c r="H30" s="51">
        <f t="shared" si="33"/>
        <v>4.4520305396720232</v>
      </c>
      <c r="I30" s="43">
        <f t="shared" si="33"/>
        <v>3.9852433921196568</v>
      </c>
      <c r="J30" s="43">
        <f t="shared" si="33"/>
        <v>3.8932434276902574</v>
      </c>
      <c r="K30" s="43">
        <f t="shared" si="33"/>
        <v>3.7238539358771536</v>
      </c>
      <c r="L30" s="50">
        <f t="shared" si="33"/>
        <v>4.5390206603199053</v>
      </c>
      <c r="M30" s="51">
        <f t="shared" si="33"/>
        <v>7.2136484937279093</v>
      </c>
      <c r="N30" s="43">
        <f t="shared" si="33"/>
        <v>8.5181724433397523</v>
      </c>
      <c r="O30" s="43">
        <f t="shared" si="33"/>
        <v>9.0238749732545074</v>
      </c>
      <c r="P30" s="43">
        <f t="shared" si="33"/>
        <v>9.5447420176245998</v>
      </c>
      <c r="Q30" s="50">
        <f t="shared" si="33"/>
        <v>10.346996566918822</v>
      </c>
      <c r="R30" s="43">
        <f t="shared" si="33"/>
        <v>6.8661389734768363</v>
      </c>
      <c r="T30" s="40" t="s">
        <v>633</v>
      </c>
      <c r="U30" s="43">
        <f t="shared" ref="U30:AJ30" si="34">U68</f>
        <v>12.261993277875849</v>
      </c>
      <c r="V30" s="43">
        <f t="shared" si="34"/>
        <v>15.939678268742309</v>
      </c>
      <c r="W30" s="43">
        <f t="shared" si="34"/>
        <v>20.853189581426371</v>
      </c>
      <c r="X30" s="43">
        <f t="shared" si="34"/>
        <v>31.017428526053493</v>
      </c>
      <c r="Y30" s="43">
        <f t="shared" si="34"/>
        <v>37.797221061602308</v>
      </c>
      <c r="Z30" s="51">
        <f t="shared" si="34"/>
        <v>2.5205458323065821</v>
      </c>
      <c r="AA30" s="43">
        <f t="shared" si="34"/>
        <v>3.3643012273304653</v>
      </c>
      <c r="AB30" s="43">
        <f t="shared" si="34"/>
        <v>3.9820193405317643</v>
      </c>
      <c r="AC30" s="43">
        <f t="shared" si="34"/>
        <v>4.8696771359308508</v>
      </c>
      <c r="AD30" s="50">
        <f t="shared" si="34"/>
        <v>7.5866688214137268</v>
      </c>
      <c r="AE30" s="51">
        <f t="shared" si="34"/>
        <v>2.1072245723504861</v>
      </c>
      <c r="AF30" s="43">
        <f t="shared" si="34"/>
        <v>5.1891071469080732</v>
      </c>
      <c r="AG30" s="43">
        <f t="shared" si="34"/>
        <v>9.3933722708789773</v>
      </c>
      <c r="AH30" s="43">
        <f t="shared" si="34"/>
        <v>21.120228600984465</v>
      </c>
      <c r="AI30" s="50">
        <f t="shared" si="34"/>
        <v>306.5874990394106</v>
      </c>
      <c r="AJ30" s="43">
        <f t="shared" si="34"/>
        <v>484.59015470374629</v>
      </c>
    </row>
    <row r="31" spans="1:36" x14ac:dyDescent="0.25">
      <c r="A31" s="86" t="str">
        <f t="shared" si="30"/>
        <v>given</v>
      </c>
      <c r="B31" s="50" t="s">
        <v>634</v>
      </c>
      <c r="C31" s="43">
        <f t="shared" ref="C31:R31" si="35">SUM(C69:C71)</f>
        <v>3.3034492237731286</v>
      </c>
      <c r="D31" s="43">
        <f t="shared" si="35"/>
        <v>2.9859635810794947</v>
      </c>
      <c r="E31" s="43">
        <f t="shared" si="35"/>
        <v>3.1352720873476931</v>
      </c>
      <c r="F31" s="43">
        <f t="shared" si="35"/>
        <v>3.2908969096120302</v>
      </c>
      <c r="G31" s="43">
        <f t="shared" si="35"/>
        <v>4.6220248153559034</v>
      </c>
      <c r="H31" s="51">
        <f t="shared" si="35"/>
        <v>3.0223849319007128</v>
      </c>
      <c r="I31" s="43">
        <f t="shared" si="35"/>
        <v>2.9427427684409393</v>
      </c>
      <c r="J31" s="43">
        <f t="shared" si="35"/>
        <v>3.0357532608792797</v>
      </c>
      <c r="K31" s="43">
        <f t="shared" si="35"/>
        <v>4.6881007498615928</v>
      </c>
      <c r="L31" s="50">
        <f t="shared" si="35"/>
        <v>3.8778048521309634</v>
      </c>
      <c r="M31" s="51">
        <f t="shared" si="35"/>
        <v>3.7455955342117786</v>
      </c>
      <c r="N31" s="43">
        <f t="shared" si="35"/>
        <v>4.1306184152523384</v>
      </c>
      <c r="O31" s="43">
        <f t="shared" si="35"/>
        <v>3.5530906773793838</v>
      </c>
      <c r="P31" s="43">
        <f t="shared" si="35"/>
        <v>4.0607707057377826</v>
      </c>
      <c r="Q31" s="50">
        <f t="shared" si="35"/>
        <v>5.6276024327147081</v>
      </c>
      <c r="R31" s="43">
        <f t="shared" si="35"/>
        <v>4.4868086251155583</v>
      </c>
      <c r="T31" s="40" t="s">
        <v>634</v>
      </c>
      <c r="U31" s="43">
        <f t="shared" ref="U31:AJ31" si="36">SUM(U69:U71)</f>
        <v>9.7128371724344404</v>
      </c>
      <c r="V31" s="43">
        <f t="shared" si="36"/>
        <v>13.005023660968922</v>
      </c>
      <c r="W31" s="43">
        <f t="shared" si="36"/>
        <v>18.735229356262018</v>
      </c>
      <c r="X31" s="43">
        <f t="shared" si="36"/>
        <v>28.279939525471327</v>
      </c>
      <c r="Y31" s="43">
        <f t="shared" si="36"/>
        <v>43.975473528861443</v>
      </c>
      <c r="Z31" s="51">
        <f t="shared" si="36"/>
        <v>1.7111427416869809</v>
      </c>
      <c r="AA31" s="43">
        <f t="shared" si="36"/>
        <v>2.4842329899248594</v>
      </c>
      <c r="AB31" s="43">
        <f t="shared" si="36"/>
        <v>3.1049762036265367</v>
      </c>
      <c r="AC31" s="43">
        <f t="shared" si="36"/>
        <v>6.1306209710837587</v>
      </c>
      <c r="AD31" s="50">
        <f t="shared" si="36"/>
        <v>6.4814909137504078</v>
      </c>
      <c r="AE31" s="51">
        <f t="shared" si="36"/>
        <v>1.0941496462767646</v>
      </c>
      <c r="AF31" s="43">
        <f t="shared" si="36"/>
        <v>2.5162934517127726</v>
      </c>
      <c r="AG31" s="43">
        <f t="shared" si="36"/>
        <v>3.6985777776990916</v>
      </c>
      <c r="AH31" s="43">
        <f t="shared" si="36"/>
        <v>8.9855132221485832</v>
      </c>
      <c r="AI31" s="50">
        <f t="shared" si="36"/>
        <v>166.74911838188507</v>
      </c>
      <c r="AJ31" s="43">
        <f t="shared" si="36"/>
        <v>316.66461954379298</v>
      </c>
    </row>
    <row r="32" spans="1:36" x14ac:dyDescent="0.25">
      <c r="A32" s="88" t="str">
        <f t="shared" ref="A32:A38" si="37">S116</f>
        <v>residual</v>
      </c>
      <c r="B32" s="56" t="s">
        <v>625</v>
      </c>
      <c r="C32" s="55">
        <f t="shared" ref="C32:R32" si="38">SUM(C72:C75)</f>
        <v>27.274027461284071</v>
      </c>
      <c r="D32" s="55">
        <f t="shared" si="38"/>
        <v>21.310064844742719</v>
      </c>
      <c r="E32" s="55">
        <f t="shared" si="38"/>
        <v>16.943412492410914</v>
      </c>
      <c r="F32" s="55">
        <f t="shared" si="38"/>
        <v>11.8288708813079</v>
      </c>
      <c r="G32" s="55">
        <f t="shared" si="38"/>
        <v>5.889552565618823</v>
      </c>
      <c r="H32" s="57">
        <f t="shared" si="38"/>
        <v>21.965843628316655</v>
      </c>
      <c r="I32" s="55">
        <f t="shared" si="38"/>
        <v>17.88388721488365</v>
      </c>
      <c r="J32" s="55">
        <f t="shared" si="38"/>
        <v>13.428889931360226</v>
      </c>
      <c r="K32" s="55">
        <f t="shared" si="38"/>
        <v>11.410420323156334</v>
      </c>
      <c r="L32" s="56">
        <f t="shared" si="38"/>
        <v>5.1704257320032792</v>
      </c>
      <c r="M32" s="57">
        <f t="shared" si="38"/>
        <v>20.951206185910774</v>
      </c>
      <c r="N32" s="55">
        <f t="shared" si="38"/>
        <v>13.736121946943427</v>
      </c>
      <c r="O32" s="55">
        <f t="shared" si="38"/>
        <v>12.019031685587349</v>
      </c>
      <c r="P32" s="55">
        <f t="shared" si="38"/>
        <v>7.1776981019742481</v>
      </c>
      <c r="Q32" s="56">
        <f t="shared" si="38"/>
        <v>0.66566218958952339</v>
      </c>
      <c r="R32" s="55">
        <f t="shared" si="38"/>
        <v>7.9257673054094333</v>
      </c>
      <c r="T32" s="49" t="s">
        <v>625</v>
      </c>
      <c r="U32" s="55">
        <f t="shared" ref="U32:AJ32" si="39">SUM(U72:U75)</f>
        <v>80.191390823130391</v>
      </c>
      <c r="V32" s="55">
        <f t="shared" si="39"/>
        <v>92.813555824572163</v>
      </c>
      <c r="W32" s="55">
        <f t="shared" si="39"/>
        <v>101.24758243601541</v>
      </c>
      <c r="X32" s="55">
        <f t="shared" si="39"/>
        <v>101.65002501322149</v>
      </c>
      <c r="Y32" s="55">
        <f t="shared" si="39"/>
        <v>56.035151971866995</v>
      </c>
      <c r="Z32" s="57">
        <f t="shared" si="39"/>
        <v>12.436104181470954</v>
      </c>
      <c r="AA32" s="55">
        <f t="shared" si="39"/>
        <v>15.09739250190975</v>
      </c>
      <c r="AB32" s="55">
        <f t="shared" si="39"/>
        <v>13.735102985911482</v>
      </c>
      <c r="AC32" s="55">
        <f t="shared" si="39"/>
        <v>14.921386261608768</v>
      </c>
      <c r="AD32" s="56">
        <f t="shared" si="39"/>
        <v>8.6420200809704841</v>
      </c>
      <c r="AE32" s="57">
        <f t="shared" si="39"/>
        <v>6.1201896008266932</v>
      </c>
      <c r="AF32" s="55">
        <f t="shared" si="39"/>
        <v>8.3677818264194066</v>
      </c>
      <c r="AG32" s="55">
        <f t="shared" si="39"/>
        <v>12.511170566173561</v>
      </c>
      <c r="AH32" s="55">
        <f t="shared" si="39"/>
        <v>15.882527203210442</v>
      </c>
      <c r="AI32" s="56">
        <f t="shared" si="39"/>
        <v>19.723956086333462</v>
      </c>
      <c r="AJ32" s="55">
        <f t="shared" si="39"/>
        <v>559.37533736364151</v>
      </c>
    </row>
    <row r="33" spans="1:75" x14ac:dyDescent="0.25">
      <c r="A33" s="86" t="str">
        <f t="shared" si="37"/>
        <v>residual</v>
      </c>
      <c r="B33" s="50" t="s">
        <v>627</v>
      </c>
      <c r="C33" s="43">
        <f t="shared" ref="C33:R33" si="40">SUM(C76:C77)</f>
        <v>0</v>
      </c>
      <c r="D33" s="43">
        <f t="shared" si="40"/>
        <v>0</v>
      </c>
      <c r="E33" s="43">
        <f t="shared" si="40"/>
        <v>0</v>
      </c>
      <c r="F33" s="43">
        <f t="shared" si="40"/>
        <v>0</v>
      </c>
      <c r="G33" s="43">
        <f t="shared" si="40"/>
        <v>0</v>
      </c>
      <c r="H33" s="51">
        <f t="shared" si="40"/>
        <v>0</v>
      </c>
      <c r="I33" s="43">
        <f t="shared" si="40"/>
        <v>0</v>
      </c>
      <c r="J33" s="43">
        <f t="shared" si="40"/>
        <v>0</v>
      </c>
      <c r="K33" s="43">
        <f t="shared" si="40"/>
        <v>0</v>
      </c>
      <c r="L33" s="50">
        <f t="shared" si="40"/>
        <v>0</v>
      </c>
      <c r="M33" s="51">
        <f t="shared" si="40"/>
        <v>0</v>
      </c>
      <c r="N33" s="43">
        <f t="shared" si="40"/>
        <v>0</v>
      </c>
      <c r="O33" s="43">
        <f t="shared" si="40"/>
        <v>0</v>
      </c>
      <c r="P33" s="43">
        <f t="shared" si="40"/>
        <v>0</v>
      </c>
      <c r="Q33" s="50">
        <f t="shared" si="40"/>
        <v>0</v>
      </c>
      <c r="R33" s="43">
        <f t="shared" si="40"/>
        <v>0</v>
      </c>
      <c r="T33" s="40" t="s">
        <v>627</v>
      </c>
      <c r="U33" s="43">
        <f t="shared" ref="U33:AJ33" si="41">SUM(U76:U77)</f>
        <v>0</v>
      </c>
      <c r="V33" s="43">
        <f t="shared" si="41"/>
        <v>0</v>
      </c>
      <c r="W33" s="43">
        <f t="shared" si="41"/>
        <v>0</v>
      </c>
      <c r="X33" s="43">
        <f t="shared" si="41"/>
        <v>0</v>
      </c>
      <c r="Y33" s="43">
        <f t="shared" si="41"/>
        <v>0</v>
      </c>
      <c r="Z33" s="51">
        <f t="shared" si="41"/>
        <v>0</v>
      </c>
      <c r="AA33" s="43">
        <f t="shared" si="41"/>
        <v>0</v>
      </c>
      <c r="AB33" s="43">
        <f t="shared" si="41"/>
        <v>0</v>
      </c>
      <c r="AC33" s="43">
        <f t="shared" si="41"/>
        <v>0</v>
      </c>
      <c r="AD33" s="50">
        <f t="shared" si="41"/>
        <v>0</v>
      </c>
      <c r="AE33" s="51">
        <f t="shared" si="41"/>
        <v>0</v>
      </c>
      <c r="AF33" s="43">
        <f t="shared" si="41"/>
        <v>0</v>
      </c>
      <c r="AG33" s="43">
        <f t="shared" si="41"/>
        <v>0</v>
      </c>
      <c r="AH33" s="43">
        <f t="shared" si="41"/>
        <v>0</v>
      </c>
      <c r="AI33" s="50">
        <f t="shared" si="41"/>
        <v>0</v>
      </c>
      <c r="AJ33" s="43">
        <f t="shared" si="41"/>
        <v>0</v>
      </c>
    </row>
    <row r="34" spans="1:75" x14ac:dyDescent="0.25">
      <c r="A34" s="86" t="str">
        <f t="shared" si="37"/>
        <v>residual</v>
      </c>
      <c r="B34" s="50" t="s">
        <v>628</v>
      </c>
      <c r="C34" s="43">
        <f t="shared" ref="C34:R34" si="42">SUM(C78:C85)</f>
        <v>4.9242994293447753</v>
      </c>
      <c r="D34" s="43">
        <f t="shared" si="42"/>
        <v>5.4005383285570447</v>
      </c>
      <c r="E34" s="43">
        <f t="shared" si="42"/>
        <v>6.338453842814336</v>
      </c>
      <c r="F34" s="43">
        <f t="shared" si="42"/>
        <v>6.6422132160794076</v>
      </c>
      <c r="G34" s="43">
        <f t="shared" si="42"/>
        <v>8.4109983577883103</v>
      </c>
      <c r="H34" s="51">
        <f t="shared" si="42"/>
        <v>5.3276082420906556</v>
      </c>
      <c r="I34" s="43">
        <f t="shared" si="42"/>
        <v>6.2532296855818474</v>
      </c>
      <c r="J34" s="43">
        <f t="shared" si="42"/>
        <v>5.8318312703932529</v>
      </c>
      <c r="K34" s="43">
        <f t="shared" si="42"/>
        <v>6.7158170752640087</v>
      </c>
      <c r="L34" s="50">
        <f t="shared" si="42"/>
        <v>8.8217650147904916</v>
      </c>
      <c r="M34" s="51">
        <f t="shared" si="42"/>
        <v>5.8556940469526966</v>
      </c>
      <c r="N34" s="43">
        <f t="shared" si="42"/>
        <v>5.1150945915383152</v>
      </c>
      <c r="O34" s="43">
        <f t="shared" si="42"/>
        <v>6.5680508101761133</v>
      </c>
      <c r="P34" s="43">
        <f t="shared" si="42"/>
        <v>6.2497087932885655</v>
      </c>
      <c r="Q34" s="50">
        <f t="shared" si="42"/>
        <v>9.7027742572955731</v>
      </c>
      <c r="R34" s="43">
        <f t="shared" si="42"/>
        <v>7.9878791192206897</v>
      </c>
      <c r="T34" s="40" t="s">
        <v>628</v>
      </c>
      <c r="U34" s="43">
        <f t="shared" ref="U34:AJ34" si="43">SUM(U78:U85)</f>
        <v>14.478478494943678</v>
      </c>
      <c r="V34" s="43">
        <f t="shared" si="43"/>
        <v>23.521428456090767</v>
      </c>
      <c r="W34" s="43">
        <f t="shared" si="43"/>
        <v>37.876261836549709</v>
      </c>
      <c r="X34" s="43">
        <f t="shared" si="43"/>
        <v>57.079086104874989</v>
      </c>
      <c r="Y34" s="43">
        <f t="shared" si="43"/>
        <v>80.025021589101016</v>
      </c>
      <c r="Z34" s="51">
        <f t="shared" si="43"/>
        <v>3.0162598012530841</v>
      </c>
      <c r="AA34" s="43">
        <f t="shared" si="43"/>
        <v>5.2789117843045528</v>
      </c>
      <c r="AB34" s="43">
        <f t="shared" si="43"/>
        <v>5.9648119468350433</v>
      </c>
      <c r="AC34" s="43">
        <f t="shared" si="43"/>
        <v>8.7822619854727861</v>
      </c>
      <c r="AD34" s="50">
        <f t="shared" si="43"/>
        <v>14.744988973641821</v>
      </c>
      <c r="AE34" s="51">
        <f t="shared" si="43"/>
        <v>1.7105438939302173</v>
      </c>
      <c r="AF34" s="43">
        <f t="shared" si="43"/>
        <v>3.1160174413721511</v>
      </c>
      <c r="AG34" s="43">
        <f t="shared" si="43"/>
        <v>6.8369903768493216</v>
      </c>
      <c r="AH34" s="43">
        <f t="shared" si="43"/>
        <v>13.829109069695624</v>
      </c>
      <c r="AI34" s="50">
        <f t="shared" si="43"/>
        <v>287.49881900985878</v>
      </c>
      <c r="AJ34" s="43">
        <f t="shared" si="43"/>
        <v>563.75899076477356</v>
      </c>
    </row>
    <row r="35" spans="1:75" x14ac:dyDescent="0.25">
      <c r="A35" s="88" t="str">
        <f t="shared" si="37"/>
        <v>residual</v>
      </c>
      <c r="B35" s="56" t="s">
        <v>630</v>
      </c>
      <c r="C35" s="55">
        <f>C86</f>
        <v>0.50890552029110536</v>
      </c>
      <c r="D35" s="55">
        <f t="shared" ref="D35:Q35" si="44">D86</f>
        <v>0.68825799867247472</v>
      </c>
      <c r="E35" s="55">
        <f t="shared" si="44"/>
        <v>0.86413518771496001</v>
      </c>
      <c r="F35" s="55">
        <f t="shared" si="44"/>
        <v>1.2461044834627633</v>
      </c>
      <c r="G35" s="55">
        <f t="shared" si="44"/>
        <v>1.950687414445837</v>
      </c>
      <c r="H35" s="57">
        <f t="shared" si="44"/>
        <v>0.49434014744672661</v>
      </c>
      <c r="I35" s="55">
        <f t="shared" si="44"/>
        <v>0.7693400135097701</v>
      </c>
      <c r="J35" s="55">
        <f t="shared" si="44"/>
        <v>1.103457471344468</v>
      </c>
      <c r="K35" s="55">
        <f t="shared" si="44"/>
        <v>1.4617630872602714</v>
      </c>
      <c r="L35" s="56">
        <f t="shared" si="44"/>
        <v>1.4265673587056324</v>
      </c>
      <c r="M35" s="57">
        <f t="shared" si="44"/>
        <v>0.42760799757445744</v>
      </c>
      <c r="N35" s="55">
        <f t="shared" si="44"/>
        <v>0.38410293815402302</v>
      </c>
      <c r="O35" s="55">
        <f t="shared" si="44"/>
        <v>0.79268309316114538</v>
      </c>
      <c r="P35" s="55">
        <f t="shared" si="44"/>
        <v>0.54908406415933408</v>
      </c>
      <c r="Q35" s="56">
        <f t="shared" si="44"/>
        <v>0.93137393923764245</v>
      </c>
      <c r="R35" s="55">
        <f t="shared" ref="R35" si="45">R86</f>
        <v>1.0665757691621724</v>
      </c>
      <c r="T35" s="49" t="s">
        <v>630</v>
      </c>
      <c r="U35" s="55">
        <f>U86</f>
        <v>1.4962895204106827</v>
      </c>
      <c r="V35" s="55">
        <f t="shared" ref="V35:AJ35" si="46">V86</f>
        <v>2.9976291788363763</v>
      </c>
      <c r="W35" s="55">
        <f t="shared" si="46"/>
        <v>5.1637530924316586</v>
      </c>
      <c r="X35" s="55">
        <f t="shared" si="46"/>
        <v>10.708253829470493</v>
      </c>
      <c r="Y35" s="55">
        <f t="shared" si="46"/>
        <v>18.559485546691228</v>
      </c>
      <c r="Z35" s="57">
        <f t="shared" si="46"/>
        <v>0.2798738659327481</v>
      </c>
      <c r="AA35" s="55">
        <f t="shared" si="46"/>
        <v>0.64946887730957514</v>
      </c>
      <c r="AB35" s="55">
        <f t="shared" si="46"/>
        <v>1.128619125404847</v>
      </c>
      <c r="AC35" s="55">
        <f t="shared" si="46"/>
        <v>1.9115449764552372</v>
      </c>
      <c r="AD35" s="56">
        <f t="shared" si="46"/>
        <v>2.3844117292860627</v>
      </c>
      <c r="AE35" s="57">
        <f t="shared" si="46"/>
        <v>0.12491128180225841</v>
      </c>
      <c r="AF35" s="55">
        <f t="shared" si="46"/>
        <v>0.23398813710115124</v>
      </c>
      <c r="AG35" s="55">
        <f t="shared" si="46"/>
        <v>0.82514079693737763</v>
      </c>
      <c r="AH35" s="55">
        <f t="shared" si="46"/>
        <v>1.2149915560618629</v>
      </c>
      <c r="AI35" s="56">
        <f t="shared" si="46"/>
        <v>27.597149071673513</v>
      </c>
      <c r="AJ35" s="55">
        <f t="shared" si="46"/>
        <v>75.275510585805065</v>
      </c>
    </row>
    <row r="36" spans="1:75" x14ac:dyDescent="0.25">
      <c r="A36" s="86" t="str">
        <f t="shared" si="37"/>
        <v>residual</v>
      </c>
      <c r="B36" s="50" t="s">
        <v>631</v>
      </c>
      <c r="C36" s="43">
        <f>SUM(C87,C88)</f>
        <v>2.9215820687288585</v>
      </c>
      <c r="D36" s="43">
        <f t="shared" ref="D36:Q36" si="47">SUM(D87,D88)</f>
        <v>4.2814737954030617</v>
      </c>
      <c r="E36" s="43">
        <f t="shared" si="47"/>
        <v>5.7299580394008967</v>
      </c>
      <c r="F36" s="43">
        <f t="shared" si="47"/>
        <v>6.3187423525363666</v>
      </c>
      <c r="G36" s="43">
        <f t="shared" si="47"/>
        <v>7.5233544281893368</v>
      </c>
      <c r="H36" s="51">
        <f t="shared" si="47"/>
        <v>3.717580784227938</v>
      </c>
      <c r="I36" s="43">
        <f t="shared" si="47"/>
        <v>5.027925884086895</v>
      </c>
      <c r="J36" s="43">
        <f t="shared" si="47"/>
        <v>6.2127334223229722</v>
      </c>
      <c r="K36" s="43">
        <f t="shared" si="47"/>
        <v>6.9129200115405123</v>
      </c>
      <c r="L36" s="50">
        <f t="shared" si="47"/>
        <v>10.282247776916831</v>
      </c>
      <c r="M36" s="51">
        <f t="shared" si="47"/>
        <v>2.1309838282815701</v>
      </c>
      <c r="N36" s="43">
        <f t="shared" si="47"/>
        <v>4.1914658067111237</v>
      </c>
      <c r="O36" s="43">
        <f t="shared" si="47"/>
        <v>3.2835220233580698</v>
      </c>
      <c r="P36" s="43">
        <f t="shared" si="47"/>
        <v>5.389735477804118</v>
      </c>
      <c r="Q36" s="50">
        <f t="shared" si="47"/>
        <v>6.068724735045091</v>
      </c>
      <c r="R36" s="43">
        <f t="shared" ref="R36" si="48">SUM(R87,R88)</f>
        <v>6.0165137180823143</v>
      </c>
      <c r="T36" s="40" t="s">
        <v>631</v>
      </c>
      <c r="U36" s="43">
        <f>SUM(U87,U88)</f>
        <v>8.5900672288996596</v>
      </c>
      <c r="V36" s="43">
        <f t="shared" ref="V36:AJ36" si="49">SUM(V87,V88)</f>
        <v>18.647470573939614</v>
      </c>
      <c r="W36" s="43">
        <f t="shared" si="49"/>
        <v>34.240115396411589</v>
      </c>
      <c r="X36" s="43">
        <f t="shared" si="49"/>
        <v>54.299376891702579</v>
      </c>
      <c r="Y36" s="43">
        <f t="shared" si="49"/>
        <v>71.579683520069395</v>
      </c>
      <c r="Z36" s="51">
        <f t="shared" si="49"/>
        <v>2.1047323616605444</v>
      </c>
      <c r="AA36" s="43">
        <f t="shared" si="49"/>
        <v>4.24452299606304</v>
      </c>
      <c r="AB36" s="43">
        <f t="shared" si="49"/>
        <v>6.3543996425456504</v>
      </c>
      <c r="AC36" s="43">
        <f t="shared" si="49"/>
        <v>9.0400131429398254</v>
      </c>
      <c r="AD36" s="50">
        <f t="shared" si="49"/>
        <v>17.186088026681862</v>
      </c>
      <c r="AE36" s="51">
        <f t="shared" si="49"/>
        <v>0.62249518952036254</v>
      </c>
      <c r="AF36" s="43">
        <f t="shared" si="49"/>
        <v>2.5533605146291114</v>
      </c>
      <c r="AG36" s="43">
        <f t="shared" si="49"/>
        <v>3.4179711949076701</v>
      </c>
      <c r="AH36" s="43">
        <f t="shared" si="49"/>
        <v>11.926194042737333</v>
      </c>
      <c r="AI36" s="50">
        <f t="shared" si="49"/>
        <v>179.81982760337775</v>
      </c>
      <c r="AJ36" s="43">
        <f t="shared" si="49"/>
        <v>424.62631832608599</v>
      </c>
    </row>
    <row r="37" spans="1:75" x14ac:dyDescent="0.25">
      <c r="A37" s="86" t="str">
        <f t="shared" si="37"/>
        <v>residual</v>
      </c>
      <c r="B37" s="50" t="s">
        <v>632</v>
      </c>
      <c r="C37" s="43">
        <f>SUM(C89:C91)</f>
        <v>2.420842341241332</v>
      </c>
      <c r="D37" s="43">
        <f t="shared" ref="D37:Q37" si="50">SUM(D89:D91)</f>
        <v>3.6943646377765313</v>
      </c>
      <c r="E37" s="43">
        <f t="shared" si="50"/>
        <v>5.4691797671206039</v>
      </c>
      <c r="F37" s="43">
        <f t="shared" si="50"/>
        <v>8.2407025711016963</v>
      </c>
      <c r="G37" s="43">
        <f t="shared" si="50"/>
        <v>15.27350281562914</v>
      </c>
      <c r="H37" s="51">
        <f t="shared" si="50"/>
        <v>1.7169840745226597</v>
      </c>
      <c r="I37" s="43">
        <f t="shared" si="50"/>
        <v>3.2905148290073489</v>
      </c>
      <c r="J37" s="43">
        <f t="shared" si="50"/>
        <v>5.0750963292282787</v>
      </c>
      <c r="K37" s="43">
        <f t="shared" si="50"/>
        <v>6.3349866109722512</v>
      </c>
      <c r="L37" s="50">
        <f t="shared" si="50"/>
        <v>12.881350755543611</v>
      </c>
      <c r="M37" s="51">
        <f t="shared" si="50"/>
        <v>6.2733034321468573</v>
      </c>
      <c r="N37" s="43">
        <f t="shared" si="50"/>
        <v>9.290779067598109</v>
      </c>
      <c r="O37" s="43">
        <f t="shared" si="50"/>
        <v>11.216806517916483</v>
      </c>
      <c r="P37" s="43">
        <f t="shared" si="50"/>
        <v>19.555381586769009</v>
      </c>
      <c r="Q37" s="50">
        <f t="shared" si="50"/>
        <v>26.290287628151603</v>
      </c>
      <c r="R37" s="43">
        <f t="shared" ref="R37" si="51">SUM(R89:R91)</f>
        <v>16.325677324475052</v>
      </c>
      <c r="T37" s="40" t="s">
        <v>632</v>
      </c>
      <c r="U37" s="43">
        <f>SUM(U89:U91)</f>
        <v>7.1177868608967767</v>
      </c>
      <c r="V37" s="43">
        <f t="shared" ref="V37:AJ37" si="52">SUM(V89:V91)</f>
        <v>16.090383630587077</v>
      </c>
      <c r="W37" s="43">
        <f t="shared" si="52"/>
        <v>32.681800645351451</v>
      </c>
      <c r="X37" s="43">
        <f t="shared" si="52"/>
        <v>70.815518309756598</v>
      </c>
      <c r="Y37" s="43">
        <f t="shared" si="52"/>
        <v>145.31715981493949</v>
      </c>
      <c r="Z37" s="51">
        <f t="shared" si="52"/>
        <v>0.97208161862557318</v>
      </c>
      <c r="AA37" s="43">
        <f t="shared" si="52"/>
        <v>2.7778185642735607</v>
      </c>
      <c r="AB37" s="43">
        <f t="shared" si="52"/>
        <v>5.1908215125500723</v>
      </c>
      <c r="AC37" s="43">
        <f t="shared" si="52"/>
        <v>8.2842506680147423</v>
      </c>
      <c r="AD37" s="50">
        <f t="shared" si="52"/>
        <v>21.530314459482806</v>
      </c>
      <c r="AE37" s="51">
        <f t="shared" si="52"/>
        <v>1.832534417711692</v>
      </c>
      <c r="AF37" s="43">
        <f t="shared" si="52"/>
        <v>5.659764272289733</v>
      </c>
      <c r="AG37" s="43">
        <f t="shared" si="52"/>
        <v>11.676096978902549</v>
      </c>
      <c r="AH37" s="43">
        <f t="shared" si="52"/>
        <v>43.271376924531125</v>
      </c>
      <c r="AI37" s="50">
        <f t="shared" si="52"/>
        <v>778.99644411904796</v>
      </c>
      <c r="AJ37" s="43">
        <f t="shared" si="52"/>
        <v>1152.2141527969611</v>
      </c>
    </row>
    <row r="38" spans="1:75" x14ac:dyDescent="0.25">
      <c r="A38" s="87" t="str">
        <f t="shared" si="37"/>
        <v>residual</v>
      </c>
      <c r="B38" s="53" t="s">
        <v>635</v>
      </c>
      <c r="C38" s="52">
        <f>SUM(C92:C94)</f>
        <v>10.284632334388142</v>
      </c>
      <c r="D38" s="52">
        <f t="shared" ref="D38:Q38" si="53">SUM(D92:D94)</f>
        <v>10.117054608897892</v>
      </c>
      <c r="E38" s="52">
        <f t="shared" si="53"/>
        <v>9.4005074180947137</v>
      </c>
      <c r="F38" s="52">
        <f t="shared" si="53"/>
        <v>10.094651660989497</v>
      </c>
      <c r="G38" s="52">
        <f t="shared" si="53"/>
        <v>9.8747319532075348</v>
      </c>
      <c r="H38" s="54">
        <f t="shared" si="53"/>
        <v>10.190295478214633</v>
      </c>
      <c r="I38" s="52">
        <f t="shared" si="53"/>
        <v>10.565912583057829</v>
      </c>
      <c r="J38" s="52">
        <f t="shared" si="53"/>
        <v>9.567087231919075</v>
      </c>
      <c r="K38" s="52">
        <f t="shared" si="53"/>
        <v>9.5043751964521466</v>
      </c>
      <c r="L38" s="53">
        <f t="shared" si="53"/>
        <v>11.234497748860445</v>
      </c>
      <c r="M38" s="54">
        <f t="shared" si="53"/>
        <v>9.8570601774065523</v>
      </c>
      <c r="N38" s="52">
        <f t="shared" si="53"/>
        <v>9.9710347337383922</v>
      </c>
      <c r="O38" s="52">
        <f t="shared" si="53"/>
        <v>11.942249124027956</v>
      </c>
      <c r="P38" s="52">
        <f t="shared" si="53"/>
        <v>9.6844298031463723</v>
      </c>
      <c r="Q38" s="53">
        <f t="shared" si="53"/>
        <v>14.677824371277362</v>
      </c>
      <c r="R38" s="52">
        <f t="shared" ref="R38" si="54">SUM(R92:R94)</f>
        <v>11.966858228102117</v>
      </c>
      <c r="T38" s="39" t="s">
        <v>635</v>
      </c>
      <c r="U38" s="52">
        <f>SUM(U92:U94)</f>
        <v>30.238987335840068</v>
      </c>
      <c r="V38" s="52">
        <f t="shared" ref="V38:AJ38" si="55">SUM(V92:V94)</f>
        <v>44.063676932210022</v>
      </c>
      <c r="W38" s="52">
        <f t="shared" si="55"/>
        <v>56.173964375843866</v>
      </c>
      <c r="X38" s="52">
        <f t="shared" si="55"/>
        <v>86.747214010157791</v>
      </c>
      <c r="Y38" s="52">
        <f t="shared" si="55"/>
        <v>93.951467367758511</v>
      </c>
      <c r="Z38" s="54">
        <f t="shared" si="55"/>
        <v>5.7693015734520774</v>
      </c>
      <c r="AA38" s="52">
        <f t="shared" si="55"/>
        <v>8.9196340533021488</v>
      </c>
      <c r="AB38" s="52">
        <f t="shared" si="55"/>
        <v>9.7852413026887568</v>
      </c>
      <c r="AC38" s="52">
        <f t="shared" si="55"/>
        <v>12.428854456282345</v>
      </c>
      <c r="AD38" s="53">
        <f t="shared" si="55"/>
        <v>18.77771003349325</v>
      </c>
      <c r="AE38" s="54">
        <f t="shared" si="55"/>
        <v>2.8794083098210894</v>
      </c>
      <c r="AF38" s="52">
        <f t="shared" si="55"/>
        <v>6.0741629666544208</v>
      </c>
      <c r="AG38" s="52">
        <f t="shared" si="55"/>
        <v>12.431244017237908</v>
      </c>
      <c r="AH38" s="52">
        <f t="shared" si="55"/>
        <v>21.429324222169136</v>
      </c>
      <c r="AI38" s="53">
        <f t="shared" si="55"/>
        <v>434.91243436931757</v>
      </c>
      <c r="AJ38" s="52">
        <f t="shared" si="55"/>
        <v>844.58262532622894</v>
      </c>
    </row>
    <row r="39" spans="1:75" x14ac:dyDescent="0.25">
      <c r="A39" s="172" t="s">
        <v>608</v>
      </c>
      <c r="B39" s="173"/>
      <c r="C39" s="131">
        <f t="shared" ref="C39:R39" si="56">SUM(C19:C27)</f>
        <v>39.605750434690698</v>
      </c>
      <c r="D39" s="132">
        <f t="shared" si="56"/>
        <v>42.622830029782442</v>
      </c>
      <c r="E39" s="132">
        <f t="shared" si="56"/>
        <v>43.026333354827351</v>
      </c>
      <c r="F39" s="132">
        <f t="shared" si="56"/>
        <v>43.11589918715763</v>
      </c>
      <c r="G39" s="133">
        <f t="shared" si="56"/>
        <v>36.579933464641599</v>
      </c>
      <c r="H39" s="131">
        <f t="shared" si="56"/>
        <v>43.650970514890119</v>
      </c>
      <c r="I39" s="132">
        <f t="shared" si="56"/>
        <v>43.777305159392334</v>
      </c>
      <c r="J39" s="132">
        <f t="shared" si="56"/>
        <v>46.237151874503482</v>
      </c>
      <c r="K39" s="132">
        <f t="shared" si="56"/>
        <v>43.394661300139198</v>
      </c>
      <c r="L39" s="133">
        <f t="shared" si="56"/>
        <v>35.99411423749671</v>
      </c>
      <c r="M39" s="132">
        <f t="shared" si="56"/>
        <v>39.014506280083197</v>
      </c>
      <c r="N39" s="132">
        <f t="shared" si="56"/>
        <v>39.540380379192285</v>
      </c>
      <c r="O39" s="132">
        <f t="shared" si="56"/>
        <v>35.810414273074684</v>
      </c>
      <c r="P39" s="132">
        <f t="shared" si="56"/>
        <v>31.731858036934312</v>
      </c>
      <c r="Q39" s="133">
        <f t="shared" si="56"/>
        <v>20.241061463811093</v>
      </c>
      <c r="R39" s="130">
        <f t="shared" si="56"/>
        <v>31.828342972314239</v>
      </c>
      <c r="T39" s="49" t="s">
        <v>608</v>
      </c>
      <c r="U39" s="55">
        <f t="shared" ref="U39:AJ39" si="57">SUM(U19:U27)</f>
        <v>116.44925621857971</v>
      </c>
      <c r="V39" s="55">
        <f t="shared" si="57"/>
        <v>185.63887267318279</v>
      </c>
      <c r="W39" s="55">
        <f t="shared" si="57"/>
        <v>257.10949522202719</v>
      </c>
      <c r="X39" s="55">
        <f t="shared" si="57"/>
        <v>370.51146088404312</v>
      </c>
      <c r="Y39" s="55">
        <f t="shared" si="57"/>
        <v>348.0335913423678</v>
      </c>
      <c r="Z39" s="57">
        <f t="shared" si="57"/>
        <v>24.713278767299109</v>
      </c>
      <c r="AA39" s="55">
        <f t="shared" si="57"/>
        <v>36.956347953099339</v>
      </c>
      <c r="AB39" s="55">
        <f t="shared" si="57"/>
        <v>47.291477256691479</v>
      </c>
      <c r="AC39" s="55">
        <f t="shared" si="57"/>
        <v>56.747121018583996</v>
      </c>
      <c r="AD39" s="56">
        <f t="shared" si="57"/>
        <v>60.161749565769576</v>
      </c>
      <c r="AE39" s="57">
        <f t="shared" si="57"/>
        <v>11.396774653352635</v>
      </c>
      <c r="AF39" s="55">
        <f t="shared" si="57"/>
        <v>24.087240752863302</v>
      </c>
      <c r="AG39" s="55">
        <f t="shared" si="57"/>
        <v>37.276730167292101</v>
      </c>
      <c r="AH39" s="55">
        <f t="shared" si="57"/>
        <v>70.215003657147307</v>
      </c>
      <c r="AI39" s="56">
        <f t="shared" si="57"/>
        <v>599.75437045503759</v>
      </c>
      <c r="AJ39" s="55">
        <f t="shared" si="57"/>
        <v>2246.3427705873373</v>
      </c>
    </row>
    <row r="40" spans="1:75" x14ac:dyDescent="0.25">
      <c r="A40" s="174" t="s">
        <v>638</v>
      </c>
      <c r="B40" s="175"/>
      <c r="C40" s="135">
        <f>SUM(C28:C38)</f>
        <v>60.394249565309337</v>
      </c>
      <c r="D40" s="136">
        <f t="shared" ref="D40:R40" si="58">SUM(D28:D38)</f>
        <v>57.377169970217579</v>
      </c>
      <c r="E40" s="136">
        <f t="shared" si="58"/>
        <v>56.973666645172663</v>
      </c>
      <c r="F40" s="136">
        <f t="shared" si="58"/>
        <v>56.884100812842377</v>
      </c>
      <c r="G40" s="137">
        <f t="shared" si="58"/>
        <v>63.420066535358394</v>
      </c>
      <c r="H40" s="135">
        <f t="shared" si="58"/>
        <v>56.349029485109881</v>
      </c>
      <c r="I40" s="136">
        <f t="shared" si="58"/>
        <v>56.222694840607687</v>
      </c>
      <c r="J40" s="136">
        <f t="shared" si="58"/>
        <v>53.762848125496504</v>
      </c>
      <c r="K40" s="136">
        <f t="shared" si="58"/>
        <v>56.605338699860802</v>
      </c>
      <c r="L40" s="137">
        <f t="shared" si="58"/>
        <v>64.005885762503311</v>
      </c>
      <c r="M40" s="136">
        <f t="shared" si="58"/>
        <v>60.985493719916803</v>
      </c>
      <c r="N40" s="136">
        <f t="shared" si="58"/>
        <v>60.459619620807729</v>
      </c>
      <c r="O40" s="136">
        <f t="shared" si="58"/>
        <v>64.189585726925344</v>
      </c>
      <c r="P40" s="136">
        <f t="shared" si="58"/>
        <v>68.268141963065659</v>
      </c>
      <c r="Q40" s="137">
        <f t="shared" si="58"/>
        <v>79.758938536188921</v>
      </c>
      <c r="R40" s="134">
        <f t="shared" si="58"/>
        <v>68.171657027685768</v>
      </c>
      <c r="T40" s="40" t="s">
        <v>638</v>
      </c>
      <c r="U40" s="43">
        <f t="shared" ref="U40:AJ40" si="59">SUM(U29:U38)</f>
        <v>164.41918426199467</v>
      </c>
      <c r="V40" s="43">
        <f t="shared" si="59"/>
        <v>227.73494433087382</v>
      </c>
      <c r="W40" s="43">
        <f t="shared" si="59"/>
        <v>308.10791375305945</v>
      </c>
      <c r="X40" s="43">
        <f t="shared" si="59"/>
        <v>442.58351501179851</v>
      </c>
      <c r="Y40" s="43">
        <f t="shared" si="59"/>
        <v>550.77678396885597</v>
      </c>
      <c r="Z40" s="51">
        <f t="shared" si="59"/>
        <v>28.866348113653572</v>
      </c>
      <c r="AA40" s="43">
        <f t="shared" si="59"/>
        <v>42.958492231848574</v>
      </c>
      <c r="AB40" s="43">
        <f t="shared" si="59"/>
        <v>49.446354053347235</v>
      </c>
      <c r="AC40" s="43">
        <f t="shared" si="59"/>
        <v>66.672011806414829</v>
      </c>
      <c r="AD40" s="50">
        <f t="shared" si="59"/>
        <v>97.948588128871876</v>
      </c>
      <c r="AE40" s="51">
        <f t="shared" si="59"/>
        <v>16.587590865315001</v>
      </c>
      <c r="AF40" s="43">
        <f t="shared" si="59"/>
        <v>34.136261680345555</v>
      </c>
      <c r="AG40" s="43">
        <f t="shared" si="59"/>
        <v>61.544011844999268</v>
      </c>
      <c r="AH40" s="43">
        <f t="shared" si="59"/>
        <v>139.44528445473097</v>
      </c>
      <c r="AI40" s="50">
        <f t="shared" si="59"/>
        <v>2220.5014989536621</v>
      </c>
      <c r="AJ40" s="43">
        <f t="shared" si="59"/>
        <v>4451.728783459771</v>
      </c>
    </row>
    <row r="41" spans="1:75" x14ac:dyDescent="0.25">
      <c r="A41" s="172" t="s">
        <v>672</v>
      </c>
      <c r="B41" s="173"/>
      <c r="C41" s="131">
        <f>SUM(C19:C31)</f>
        <v>51.665710844721744</v>
      </c>
      <c r="D41" s="132">
        <f t="shared" ref="D41:R41" si="60">SUM(D19:D31)</f>
        <v>54.508245785950294</v>
      </c>
      <c r="E41" s="132">
        <f t="shared" si="60"/>
        <v>55.254353252443579</v>
      </c>
      <c r="F41" s="132">
        <f t="shared" si="60"/>
        <v>55.628714834522363</v>
      </c>
      <c r="G41" s="133">
        <f t="shared" si="60"/>
        <v>51.077172465121009</v>
      </c>
      <c r="H41" s="131">
        <f t="shared" si="60"/>
        <v>56.587347645180721</v>
      </c>
      <c r="I41" s="132">
        <f t="shared" si="60"/>
        <v>56.209189789872667</v>
      </c>
      <c r="J41" s="132">
        <f t="shared" si="60"/>
        <v>58.780904343431722</v>
      </c>
      <c r="K41" s="132">
        <f t="shared" si="60"/>
        <v>57.659717695354473</v>
      </c>
      <c r="L41" s="133">
        <f t="shared" si="60"/>
        <v>50.183145613179725</v>
      </c>
      <c r="M41" s="132">
        <f t="shared" si="60"/>
        <v>54.50414433172709</v>
      </c>
      <c r="N41" s="132">
        <f t="shared" si="60"/>
        <v>57.311400915316618</v>
      </c>
      <c r="O41" s="132">
        <f t="shared" si="60"/>
        <v>54.177656745772921</v>
      </c>
      <c r="P41" s="132">
        <f t="shared" si="60"/>
        <v>51.393962172858323</v>
      </c>
      <c r="Q41" s="133">
        <f t="shared" si="60"/>
        <v>41.66335287940322</v>
      </c>
      <c r="R41" s="130">
        <f t="shared" si="60"/>
        <v>48.71072853554822</v>
      </c>
      <c r="T41" s="40"/>
      <c r="U41" s="43"/>
      <c r="V41" s="43"/>
      <c r="W41" s="43"/>
      <c r="X41" s="43"/>
      <c r="Y41" s="43"/>
      <c r="Z41" s="51"/>
      <c r="AA41" s="43"/>
      <c r="AB41" s="43"/>
      <c r="AC41" s="43"/>
      <c r="AD41" s="50"/>
      <c r="AE41" s="51"/>
      <c r="AF41" s="43"/>
      <c r="AG41" s="43"/>
      <c r="AH41" s="43"/>
      <c r="AI41" s="50"/>
      <c r="AJ41" s="43"/>
    </row>
    <row r="42" spans="1:75" x14ac:dyDescent="0.25">
      <c r="A42" s="174" t="s">
        <v>673</v>
      </c>
      <c r="B42" s="175"/>
      <c r="C42" s="135">
        <f>SUM(C32:C38)</f>
        <v>48.334289155278292</v>
      </c>
      <c r="D42" s="136">
        <f t="shared" ref="D42:R42" si="61">SUM(D32:D38)</f>
        <v>45.49175421404972</v>
      </c>
      <c r="E42" s="136">
        <f t="shared" si="61"/>
        <v>44.745646747556428</v>
      </c>
      <c r="F42" s="136">
        <f t="shared" si="61"/>
        <v>44.37128516547763</v>
      </c>
      <c r="G42" s="137">
        <f t="shared" si="61"/>
        <v>48.922827534878984</v>
      </c>
      <c r="H42" s="135">
        <f t="shared" si="61"/>
        <v>43.412652354819272</v>
      </c>
      <c r="I42" s="136">
        <f t="shared" si="61"/>
        <v>43.79081021012734</v>
      </c>
      <c r="J42" s="136">
        <f t="shared" si="61"/>
        <v>41.219095656568271</v>
      </c>
      <c r="K42" s="136">
        <f t="shared" si="61"/>
        <v>42.340282304645527</v>
      </c>
      <c r="L42" s="137">
        <f t="shared" si="61"/>
        <v>49.816854386820296</v>
      </c>
      <c r="M42" s="136">
        <f t="shared" si="61"/>
        <v>45.49585566827291</v>
      </c>
      <c r="N42" s="136">
        <f t="shared" si="61"/>
        <v>42.688599084683389</v>
      </c>
      <c r="O42" s="136">
        <f t="shared" si="61"/>
        <v>45.822343254227121</v>
      </c>
      <c r="P42" s="136">
        <f t="shared" si="61"/>
        <v>48.606037827141648</v>
      </c>
      <c r="Q42" s="137">
        <f t="shared" si="61"/>
        <v>58.336647120596794</v>
      </c>
      <c r="R42" s="134">
        <f t="shared" si="61"/>
        <v>51.28927146445178</v>
      </c>
      <c r="T42" s="40"/>
      <c r="U42" s="43"/>
      <c r="V42" s="43"/>
      <c r="W42" s="43"/>
      <c r="X42" s="43"/>
      <c r="Y42" s="43"/>
      <c r="Z42" s="51"/>
      <c r="AA42" s="43"/>
      <c r="AB42" s="43"/>
      <c r="AC42" s="43"/>
      <c r="AD42" s="50"/>
      <c r="AE42" s="51"/>
      <c r="AF42" s="43"/>
      <c r="AG42" s="43"/>
      <c r="AH42" s="43"/>
      <c r="AI42" s="50"/>
      <c r="AJ42" s="43"/>
    </row>
    <row r="43" spans="1:75" x14ac:dyDescent="0.25">
      <c r="A43" s="176" t="s">
        <v>127</v>
      </c>
      <c r="B43" s="177"/>
      <c r="C43" s="139">
        <f>C39+C40</f>
        <v>100.00000000000003</v>
      </c>
      <c r="D43" s="140">
        <f t="shared" ref="D43:R43" si="62">D39+D40</f>
        <v>100.00000000000003</v>
      </c>
      <c r="E43" s="140">
        <f t="shared" si="62"/>
        <v>100.00000000000001</v>
      </c>
      <c r="F43" s="140">
        <f t="shared" si="62"/>
        <v>100</v>
      </c>
      <c r="G43" s="141">
        <f t="shared" si="62"/>
        <v>100</v>
      </c>
      <c r="H43" s="139">
        <f t="shared" si="62"/>
        <v>100</v>
      </c>
      <c r="I43" s="140">
        <f t="shared" si="62"/>
        <v>100.00000000000003</v>
      </c>
      <c r="J43" s="140">
        <f t="shared" si="62"/>
        <v>99.999999999999986</v>
      </c>
      <c r="K43" s="140">
        <f t="shared" si="62"/>
        <v>100</v>
      </c>
      <c r="L43" s="141">
        <f t="shared" si="62"/>
        <v>100.00000000000003</v>
      </c>
      <c r="M43" s="140">
        <f t="shared" si="62"/>
        <v>100</v>
      </c>
      <c r="N43" s="140">
        <f t="shared" si="62"/>
        <v>100.00000000000001</v>
      </c>
      <c r="O43" s="140">
        <f t="shared" si="62"/>
        <v>100.00000000000003</v>
      </c>
      <c r="P43" s="140">
        <f t="shared" si="62"/>
        <v>99.999999999999972</v>
      </c>
      <c r="Q43" s="141">
        <f t="shared" si="62"/>
        <v>100.00000000000001</v>
      </c>
      <c r="R43" s="138">
        <f t="shared" si="62"/>
        <v>100</v>
      </c>
      <c r="T43" s="40" t="s">
        <v>127</v>
      </c>
      <c r="U43" s="43">
        <f>U39+U40</f>
        <v>280.86844048057435</v>
      </c>
      <c r="V43" s="43">
        <f t="shared" ref="V43" si="63">V39+V40</f>
        <v>413.3738170040566</v>
      </c>
      <c r="W43" s="43">
        <f t="shared" ref="W43" si="64">W39+W40</f>
        <v>565.21740897508664</v>
      </c>
      <c r="X43" s="43">
        <f t="shared" ref="X43" si="65">X39+X40</f>
        <v>813.09497589584157</v>
      </c>
      <c r="Y43" s="43">
        <f t="shared" ref="Y43" si="66">Y39+Y40</f>
        <v>898.81037531122377</v>
      </c>
      <c r="Z43" s="51">
        <f t="shared" ref="Z43" si="67">Z39+Z40</f>
        <v>53.579626880952681</v>
      </c>
      <c r="AA43" s="43">
        <f t="shared" ref="AA43" si="68">AA39+AA40</f>
        <v>79.914840184947906</v>
      </c>
      <c r="AB43" s="43">
        <f t="shared" ref="AB43" si="69">AB39+AB40</f>
        <v>96.737831310038715</v>
      </c>
      <c r="AC43" s="43">
        <f t="shared" ref="AC43" si="70">AC39+AC40</f>
        <v>123.41913282499883</v>
      </c>
      <c r="AD43" s="50">
        <f t="shared" ref="AD43" si="71">AD39+AD40</f>
        <v>158.11033769464146</v>
      </c>
      <c r="AE43" s="51">
        <f t="shared" ref="AE43" si="72">AE39+AE40</f>
        <v>27.984365518667637</v>
      </c>
      <c r="AF43" s="43">
        <f t="shared" ref="AF43" si="73">AF39+AF40</f>
        <v>58.223502433208857</v>
      </c>
      <c r="AG43" s="43">
        <f t="shared" ref="AG43" si="74">AG39+AG40</f>
        <v>98.820742012291362</v>
      </c>
      <c r="AH43" s="43">
        <f t="shared" ref="AH43" si="75">AH39+AH40</f>
        <v>209.66028811187829</v>
      </c>
      <c r="AI43" s="50">
        <f t="shared" ref="AI43" si="76">AI39+AI40</f>
        <v>2820.2558694086997</v>
      </c>
      <c r="AJ43" s="43">
        <f t="shared" ref="AJ43" si="77">AJ39+AJ40</f>
        <v>6698.0715540471083</v>
      </c>
    </row>
    <row r="44" spans="1:75" x14ac:dyDescent="0.25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spans="1:75" x14ac:dyDescent="0.25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spans="1:75" x14ac:dyDescent="0.25">
      <c r="A46" t="s">
        <v>636</v>
      </c>
    </row>
    <row r="47" spans="1:75" x14ac:dyDescent="0.2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U47" t="s">
        <v>605</v>
      </c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L47" t="s">
        <v>603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C47" t="s">
        <v>604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</row>
    <row r="48" spans="1:75" x14ac:dyDescent="0.25">
      <c r="A48" s="78" t="s">
        <v>658</v>
      </c>
      <c r="B48" s="79" t="s">
        <v>348</v>
      </c>
      <c r="C48" s="80" t="s">
        <v>217</v>
      </c>
      <c r="D48" s="80" t="s">
        <v>218</v>
      </c>
      <c r="E48" s="80" t="s">
        <v>219</v>
      </c>
      <c r="F48" s="80" t="s">
        <v>220</v>
      </c>
      <c r="G48" s="80" t="s">
        <v>221</v>
      </c>
      <c r="H48" s="80" t="s">
        <v>595</v>
      </c>
      <c r="I48" s="80" t="s">
        <v>596</v>
      </c>
      <c r="J48" s="80" t="s">
        <v>597</v>
      </c>
      <c r="K48" s="80" t="s">
        <v>598</v>
      </c>
      <c r="L48" s="80" t="s">
        <v>599</v>
      </c>
      <c r="M48" s="80" t="s">
        <v>222</v>
      </c>
      <c r="N48" s="80" t="s">
        <v>223</v>
      </c>
      <c r="O48" s="80" t="s">
        <v>224</v>
      </c>
      <c r="P48" s="80" t="s">
        <v>225</v>
      </c>
      <c r="Q48" s="80" t="s">
        <v>226</v>
      </c>
      <c r="R48" s="80" t="s">
        <v>126</v>
      </c>
      <c r="S48" s="26"/>
      <c r="T48" s="45"/>
      <c r="U48" s="35" t="s">
        <v>217</v>
      </c>
      <c r="V48" s="35" t="s">
        <v>218</v>
      </c>
      <c r="W48" s="35" t="s">
        <v>219</v>
      </c>
      <c r="X48" s="35" t="s">
        <v>220</v>
      </c>
      <c r="Y48" s="35" t="s">
        <v>221</v>
      </c>
      <c r="Z48" s="35" t="s">
        <v>595</v>
      </c>
      <c r="AA48" s="35" t="s">
        <v>596</v>
      </c>
      <c r="AB48" s="35" t="s">
        <v>597</v>
      </c>
      <c r="AC48" s="35" t="s">
        <v>598</v>
      </c>
      <c r="AD48" s="35" t="s">
        <v>599</v>
      </c>
      <c r="AE48" s="35" t="s">
        <v>222</v>
      </c>
      <c r="AF48" s="35" t="s">
        <v>223</v>
      </c>
      <c r="AG48" s="35" t="s">
        <v>224</v>
      </c>
      <c r="AH48" s="35" t="s">
        <v>225</v>
      </c>
      <c r="AI48" s="35" t="s">
        <v>226</v>
      </c>
      <c r="AJ48" s="35" t="s">
        <v>126</v>
      </c>
      <c r="AK48" s="26"/>
      <c r="AL48" s="45"/>
      <c r="AM48" s="35" t="s">
        <v>217</v>
      </c>
      <c r="AN48" s="35" t="s">
        <v>218</v>
      </c>
      <c r="AO48" s="35" t="s">
        <v>219</v>
      </c>
      <c r="AP48" s="35" t="s">
        <v>220</v>
      </c>
      <c r="AQ48" s="35" t="s">
        <v>221</v>
      </c>
      <c r="AR48" s="35" t="s">
        <v>595</v>
      </c>
      <c r="AS48" s="35" t="s">
        <v>596</v>
      </c>
      <c r="AT48" s="35" t="s">
        <v>597</v>
      </c>
      <c r="AU48" s="35" t="s">
        <v>598</v>
      </c>
      <c r="AV48" s="35" t="s">
        <v>599</v>
      </c>
      <c r="AW48" s="35" t="s">
        <v>222</v>
      </c>
      <c r="AX48" s="35" t="s">
        <v>223</v>
      </c>
      <c r="AY48" s="35" t="s">
        <v>224</v>
      </c>
      <c r="AZ48" s="35" t="s">
        <v>225</v>
      </c>
      <c r="BA48" s="35" t="s">
        <v>226</v>
      </c>
      <c r="BB48" s="45"/>
      <c r="BC48" s="45"/>
      <c r="BD48" s="35" t="s">
        <v>217</v>
      </c>
      <c r="BE48" s="35" t="s">
        <v>218</v>
      </c>
      <c r="BF48" s="35" t="s">
        <v>219</v>
      </c>
      <c r="BG48" s="35" t="s">
        <v>220</v>
      </c>
      <c r="BH48" s="35" t="s">
        <v>221</v>
      </c>
      <c r="BI48" s="35" t="s">
        <v>595</v>
      </c>
      <c r="BJ48" s="35" t="s">
        <v>596</v>
      </c>
      <c r="BK48" s="35" t="s">
        <v>597</v>
      </c>
      <c r="BL48" s="35" t="s">
        <v>598</v>
      </c>
      <c r="BM48" s="35" t="s">
        <v>599</v>
      </c>
      <c r="BN48" s="35" t="s">
        <v>222</v>
      </c>
      <c r="BO48" s="35" t="s">
        <v>223</v>
      </c>
      <c r="BP48" s="35" t="s">
        <v>224</v>
      </c>
      <c r="BQ48" s="35" t="s">
        <v>225</v>
      </c>
      <c r="BR48" s="35" t="s">
        <v>226</v>
      </c>
      <c r="BW48" t="s">
        <v>735</v>
      </c>
    </row>
    <row r="49" spans="1:76" x14ac:dyDescent="0.25">
      <c r="A49" t="str">
        <f t="shared" ref="A49:A55" si="78">HLOOKUP(B49,$B$6:$BR$9,4,FALSE)</f>
        <v>cereals</v>
      </c>
      <c r="B49" t="s">
        <v>694</v>
      </c>
      <c r="C49" s="18">
        <f t="shared" ref="C49:C94" si="79">IFERROR(100*U49/U$95,"")</f>
        <v>3.4557095295904792</v>
      </c>
      <c r="D49" s="18">
        <f t="shared" ref="D49:D94" si="80">IFERROR(100*V49/V$95,"")</f>
        <v>3.5401625339819112</v>
      </c>
      <c r="E49" s="18">
        <f t="shared" ref="E49:E94" si="81">IFERROR(100*W49/W$95,"")</f>
        <v>2.8989739947877053</v>
      </c>
      <c r="F49" s="18">
        <f t="shared" ref="F49:F94" si="82">IFERROR(100*X49/X$95,"")</f>
        <v>2.1138208057619106</v>
      </c>
      <c r="G49" s="18">
        <f t="shared" ref="G49:G94" si="83">IFERROR(100*Y49/Y$95,"")</f>
        <v>1.1633643818609163</v>
      </c>
      <c r="H49" s="18">
        <f t="shared" ref="H49:H94" si="84">IFERROR(100*Z49/Z$95,"")</f>
        <v>3.4841979650123984</v>
      </c>
      <c r="I49" s="18">
        <f t="shared" ref="I49:I94" si="85">IFERROR(100*AA49/AA$95,"")</f>
        <v>2.403962776349585</v>
      </c>
      <c r="J49" s="18">
        <f t="shared" ref="J49:J94" si="86">IFERROR(100*AB49/AB$95,"")</f>
        <v>3.3448448540147999</v>
      </c>
      <c r="K49" s="18">
        <f t="shared" ref="K49:K94" si="87">IFERROR(100*AC49/AC$95,"")</f>
        <v>2.435651459940849</v>
      </c>
      <c r="L49" s="18">
        <f t="shared" ref="L49:L94" si="88">IFERROR(100*AD49/AD$95,"")</f>
        <v>1.1209855811492933</v>
      </c>
      <c r="M49" s="18">
        <f t="shared" ref="M49:M94" si="89">IFERROR(100*AE49/AE$95,"")</f>
        <v>1.3001045278062358</v>
      </c>
      <c r="N49" s="18">
        <f t="shared" ref="N49:N94" si="90">IFERROR(100*AF49/AF$95,"")</f>
        <v>1.4011847737668741</v>
      </c>
      <c r="O49" s="18">
        <f t="shared" ref="O49:O94" si="91">IFERROR(100*AG49/AG$95,"")</f>
        <v>0.79794009848609226</v>
      </c>
      <c r="P49" s="18">
        <f t="shared" ref="P49:P94" si="92">IFERROR(100*AH49/AH$95,"")</f>
        <v>0.79612053097157076</v>
      </c>
      <c r="Q49" s="18">
        <f t="shared" ref="Q49:Q94" si="93">IFERROR(100*AI49/AI$95,"")</f>
        <v>0.16512572328213207</v>
      </c>
      <c r="R49" s="18">
        <f t="shared" ref="R49:R94" si="94">IFERROR(100*AJ49/AJ$95,"")</f>
        <v>1.3224773383638289</v>
      </c>
      <c r="T49" t="str">
        <f>B49</f>
        <v>cere</v>
      </c>
      <c r="U49" s="18">
        <f>IFERROR(AM49+BD49,"")</f>
        <v>10.160514572040375</v>
      </c>
      <c r="V49" s="18">
        <f t="shared" ref="V49:V77" si="95">IFERROR(AN49+BE49,"")</f>
        <v>15.418773962898088</v>
      </c>
      <c r="W49" s="18">
        <f t="shared" ref="W49:W77" si="96">IFERROR(AO49+BF49,"")</f>
        <v>17.323199128192169</v>
      </c>
      <c r="X49" s="18">
        <f t="shared" ref="X49:X77" si="97">IFERROR(AP49+BG49,"")</f>
        <v>18.164873041154404</v>
      </c>
      <c r="Y49" s="18">
        <f t="shared" ref="Y49:Y77" si="98">IFERROR(AQ49+BH49,"")</f>
        <v>11.068633688200052</v>
      </c>
      <c r="Z49" s="18">
        <f t="shared" ref="Z49:Z77" si="99">IFERROR(AR49+BI49,"")</f>
        <v>1.9726011718441723</v>
      </c>
      <c r="AA49" s="18">
        <f t="shared" ref="AA49:AA77" si="100">IFERROR(AS49+BJ49,"")</f>
        <v>2.029400496572439</v>
      </c>
      <c r="AB49" s="18">
        <f t="shared" ref="AB49:AB77" si="101">IFERROR(AT49+BK49,"")</f>
        <v>3.4211158760414264</v>
      </c>
      <c r="AC49" s="18">
        <f t="shared" ref="AC49:AC77" si="102">IFERROR(AU49+BL49,"")</f>
        <v>3.1850970606817661</v>
      </c>
      <c r="AD49" s="18">
        <f t="shared" ref="AD49:AD77" si="103">IFERROR(AV49+BM49,"")</f>
        <v>1.873652268672489</v>
      </c>
      <c r="AE49" s="18">
        <f t="shared" ref="AE49:AE77" si="104">IFERROR(AW49+BN49,"")</f>
        <v>0.37978177201168745</v>
      </c>
      <c r="AF49" s="18">
        <f t="shared" ref="AF49:AF77" si="105">IFERROR(AX49+BO49,"")</f>
        <v>0.85357486855968479</v>
      </c>
      <c r="AG49" s="18">
        <f t="shared" ref="AG49:AG77" si="106">IFERROR(AY49+BP49,"")</f>
        <v>0.83061305893054327</v>
      </c>
      <c r="AH49" s="18">
        <f t="shared" ref="AH49:AH77" si="107">IFERROR(AZ49+BQ49,"")</f>
        <v>1.7616241043507292</v>
      </c>
      <c r="AI49" s="18">
        <f t="shared" ref="AI49:AI77" si="108">IFERROR(BA49+BR49,"")</f>
        <v>4.8927707862590069</v>
      </c>
      <c r="AJ49" s="18">
        <f>SUM(U49:AI49)</f>
        <v>93.33622585640903</v>
      </c>
      <c r="AL49" t="str">
        <f>"c"&amp;T49</f>
        <v>ccere</v>
      </c>
      <c r="AM49" s="18">
        <f>_xlfn.IFNA(INDEX(SAM!$B$8:$HC$215,MATCH($AL49,SAM!$A$8:$A$215,0),MATCH(AM$48,SAM!$B$7:$HC$7,0)),0)</f>
        <v>8.3784421331211778</v>
      </c>
      <c r="AN49" s="18">
        <f>_xlfn.IFNA(INDEX(SAM!$B$8:$HC$215,MATCH($AL49,SAM!$A$8:$A$215,0),MATCH(AN$48,SAM!$B$7:$HC$7,0)),0)</f>
        <v>12.279521813341118</v>
      </c>
      <c r="AO49" s="18">
        <f>_xlfn.IFNA(INDEX(SAM!$B$8:$HC$215,MATCH($AL49,SAM!$A$8:$A$215,0),MATCH(AO$48,SAM!$B$7:$HC$7,0)),0)</f>
        <v>13.873731322039617</v>
      </c>
      <c r="AP49" s="18">
        <f>_xlfn.IFNA(INDEX(SAM!$B$8:$HC$215,MATCH($AL49,SAM!$A$8:$A$215,0),MATCH(AP$48,SAM!$B$7:$HC$7,0)),0)</f>
        <v>13.893501189199011</v>
      </c>
      <c r="AQ49" s="18">
        <f>_xlfn.IFNA(INDEX(SAM!$B$8:$HC$215,MATCH($AL49,SAM!$A$8:$A$215,0),MATCH(AQ$48,SAM!$B$7:$HC$7,0)),0)</f>
        <v>9.2052915114603024</v>
      </c>
      <c r="AR49" s="18">
        <f>_xlfn.IFNA(INDEX(SAM!$B$8:$HC$215,MATCH($AL49,SAM!$A$8:$A$215,0),MATCH(AR$48,SAM!$B$7:$HC$7,0)),0)</f>
        <v>1.6815114458340876</v>
      </c>
      <c r="AS49" s="18">
        <f>_xlfn.IFNA(INDEX(SAM!$B$8:$HC$215,MATCH($AL49,SAM!$A$8:$A$215,0),MATCH(AS$48,SAM!$B$7:$HC$7,0)),0)</f>
        <v>1.3080257588804933</v>
      </c>
      <c r="AT49" s="18">
        <f>_xlfn.IFNA(INDEX(SAM!$B$8:$HC$215,MATCH($AL49,SAM!$A$8:$A$215,0),MATCH(AT$48,SAM!$B$7:$HC$7,0)),0)</f>
        <v>2.8195568123247612</v>
      </c>
      <c r="AU49" s="18">
        <f>_xlfn.IFNA(INDEX(SAM!$B$8:$HC$215,MATCH($AL49,SAM!$A$8:$A$215,0),MATCH(AU$48,SAM!$B$7:$HC$7,0)),0)</f>
        <v>2.4491432614820088</v>
      </c>
      <c r="AV49" s="18">
        <f>_xlfn.IFNA(INDEX(SAM!$B$8:$HC$215,MATCH($AL49,SAM!$A$8:$A$215,0),MATCH(AV$48,SAM!$B$7:$HC$7,0)),0)</f>
        <v>1.4579352428318455</v>
      </c>
      <c r="AW49" s="18">
        <f>_xlfn.IFNA(INDEX(SAM!$B$8:$HC$215,MATCH($AL49,SAM!$A$8:$A$215,0),MATCH(AW$48,SAM!$B$7:$HC$7,0)),0)</f>
        <v>0.35515689597726202</v>
      </c>
      <c r="AX49" s="18">
        <f>_xlfn.IFNA(INDEX(SAM!$B$8:$HC$215,MATCH($AL49,SAM!$A$8:$A$215,0),MATCH(AX$48,SAM!$B$7:$HC$7,0)),0)</f>
        <v>0.7670015056913283</v>
      </c>
      <c r="AY49" s="18">
        <f>_xlfn.IFNA(INDEX(SAM!$B$8:$HC$215,MATCH($AL49,SAM!$A$8:$A$215,0),MATCH(AY$48,SAM!$B$7:$HC$7,0)),0)</f>
        <v>0.75515549137598281</v>
      </c>
      <c r="AZ49" s="18">
        <f>_xlfn.IFNA(INDEX(SAM!$B$8:$HC$215,MATCH($AL49,SAM!$A$8:$A$215,0),MATCH(AZ$48,SAM!$B$7:$HC$7,0)),0)</f>
        <v>1.6170539942256623</v>
      </c>
      <c r="BA49" s="18">
        <f>_xlfn.IFNA(INDEX(SAM!$B$8:$HC$215,MATCH($AL49,SAM!$A$8:$A$215,0),MATCH(BA$48,SAM!$B$7:$HC$7,0)),0)</f>
        <v>4.6805724842558023</v>
      </c>
      <c r="BB49" s="18"/>
      <c r="BC49" t="str">
        <f>"a"&amp;T49</f>
        <v>acere</v>
      </c>
      <c r="BD49" s="18">
        <f>_xlfn.IFNA(INDEX(SAM!$B$8:$HC$215,MATCH($BC49,SAM!$A$8:$A$215,0),MATCH(BD$48,SAM!$B$7:$HC$7,0)),0)</f>
        <v>1.782072438919198</v>
      </c>
      <c r="BE49" s="18">
        <f>_xlfn.IFNA(INDEX(SAM!$B$8:$HC$215,MATCH($BC49,SAM!$A$8:$A$215,0),MATCH(BE$48,SAM!$B$7:$HC$7,0)),0)</f>
        <v>3.1392521495569707</v>
      </c>
      <c r="BF49" s="18">
        <f>_xlfn.IFNA(INDEX(SAM!$B$8:$HC$215,MATCH($BC49,SAM!$A$8:$A$215,0),MATCH(BF$48,SAM!$B$7:$HC$7,0)),0)</f>
        <v>3.4494678061525512</v>
      </c>
      <c r="BG49" s="18">
        <f>_xlfn.IFNA(INDEX(SAM!$B$8:$HC$215,MATCH($BC49,SAM!$A$8:$A$215,0),MATCH(BG$48,SAM!$B$7:$HC$7,0)),0)</f>
        <v>4.2713718519553945</v>
      </c>
      <c r="BH49" s="18">
        <f>_xlfn.IFNA(INDEX(SAM!$B$8:$HC$215,MATCH($BC49,SAM!$A$8:$A$215,0),MATCH(BH$48,SAM!$B$7:$HC$7,0)),0)</f>
        <v>1.8633421767397491</v>
      </c>
      <c r="BI49" s="18">
        <f>_xlfn.IFNA(INDEX(SAM!$B$8:$HC$215,MATCH($BC49,SAM!$A$8:$A$215,0),MATCH(BI$48,SAM!$B$7:$HC$7,0)),0)</f>
        <v>0.2910897260100847</v>
      </c>
      <c r="BJ49" s="18">
        <f>_xlfn.IFNA(INDEX(SAM!$B$8:$HC$215,MATCH($BC49,SAM!$A$8:$A$215,0),MATCH(BJ$48,SAM!$B$7:$HC$7,0)),0)</f>
        <v>0.72137473769194593</v>
      </c>
      <c r="BK49" s="18">
        <f>_xlfn.IFNA(INDEX(SAM!$B$8:$HC$215,MATCH($BC49,SAM!$A$8:$A$215,0),MATCH(BK$48,SAM!$B$7:$HC$7,0)),0)</f>
        <v>0.60155906371666501</v>
      </c>
      <c r="BL49" s="18">
        <f>_xlfn.IFNA(INDEX(SAM!$B$8:$HC$215,MATCH($BC49,SAM!$A$8:$A$215,0),MATCH(BL$48,SAM!$B$7:$HC$7,0)),0)</f>
        <v>0.73595379919975756</v>
      </c>
      <c r="BM49" s="18">
        <f>_xlfn.IFNA(INDEX(SAM!$B$8:$HC$215,MATCH($BC49,SAM!$A$8:$A$215,0),MATCH(BM$48,SAM!$B$7:$HC$7,0)),0)</f>
        <v>0.41571702584064346</v>
      </c>
      <c r="BN49" s="18">
        <f>_xlfn.IFNA(INDEX(SAM!$B$8:$HC$215,MATCH($BC49,SAM!$A$8:$A$215,0),MATCH(BN$48,SAM!$B$7:$HC$7,0)),0)</f>
        <v>2.4624876034425442E-2</v>
      </c>
      <c r="BO49" s="18">
        <f>_xlfn.IFNA(INDEX(SAM!$B$8:$HC$215,MATCH($BC49,SAM!$A$8:$A$215,0),MATCH(BO$48,SAM!$B$7:$HC$7,0)),0)</f>
        <v>8.6573362868356499E-2</v>
      </c>
      <c r="BP49" s="18">
        <f>_xlfn.IFNA(INDEX(SAM!$B$8:$HC$215,MATCH($BC49,SAM!$A$8:$A$215,0),MATCH(BP$48,SAM!$B$7:$HC$7,0)),0)</f>
        <v>7.5457567554560484E-2</v>
      </c>
      <c r="BQ49" s="18">
        <f>_xlfn.IFNA(INDEX(SAM!$B$8:$HC$215,MATCH($BC49,SAM!$A$8:$A$215,0),MATCH(BQ$48,SAM!$B$7:$HC$7,0)),0)</f>
        <v>0.14457011012506688</v>
      </c>
      <c r="BR49" s="18">
        <f>_xlfn.IFNA(INDEX(SAM!$B$8:$HC$215,MATCH($BC49,SAM!$A$8:$A$215,0),MATCH(BR$48,SAM!$B$7:$HC$7,0)),0)</f>
        <v>0.21219830200320497</v>
      </c>
      <c r="BT49" t="str">
        <f t="shared" ref="BT49:BT94" si="109">AL49</f>
        <v>ccere</v>
      </c>
      <c r="BU49" s="7">
        <f t="shared" ref="BU49:BU94" si="110">SUM(BD49:BR49,AM49:BA49)</f>
        <v>93.336225856409044</v>
      </c>
      <c r="BW49" s="51" t="s">
        <v>680</v>
      </c>
      <c r="BX49" s="43">
        <f>100*VLOOKUP(BW49,$BT$49:$BU$94,2,FALSE)/$BU$95</f>
        <v>1.3224773383638289</v>
      </c>
    </row>
    <row r="50" spans="1:76" x14ac:dyDescent="0.25">
      <c r="A50" s="26" t="str">
        <f t="shared" si="78"/>
        <v>cereals</v>
      </c>
      <c r="B50" s="26" t="s">
        <v>35</v>
      </c>
      <c r="C50" s="45">
        <f t="shared" si="79"/>
        <v>2.3917141609609285</v>
      </c>
      <c r="D50" s="45">
        <f t="shared" si="80"/>
        <v>2.2731008848715621</v>
      </c>
      <c r="E50" s="45">
        <f t="shared" si="81"/>
        <v>2.2273071671533677</v>
      </c>
      <c r="F50" s="45">
        <f t="shared" si="82"/>
        <v>2.3113208419474689</v>
      </c>
      <c r="G50" s="45">
        <f t="shared" si="83"/>
        <v>2.056029776685119</v>
      </c>
      <c r="H50" s="45">
        <f t="shared" si="84"/>
        <v>2.9679083867735185</v>
      </c>
      <c r="I50" s="45">
        <f t="shared" si="85"/>
        <v>2.6888305452532886</v>
      </c>
      <c r="J50" s="45">
        <f t="shared" si="86"/>
        <v>2.3900026585841738</v>
      </c>
      <c r="K50" s="45">
        <f t="shared" si="87"/>
        <v>2.2893056615610443</v>
      </c>
      <c r="L50" s="45">
        <f t="shared" si="88"/>
        <v>2.1167357065365238</v>
      </c>
      <c r="M50" s="45">
        <f t="shared" si="89"/>
        <v>3.2998667899882297</v>
      </c>
      <c r="N50" s="45">
        <f t="shared" si="90"/>
        <v>3.2137160233613504</v>
      </c>
      <c r="O50" s="45">
        <f t="shared" si="91"/>
        <v>2.918978179412512</v>
      </c>
      <c r="P50" s="45">
        <f t="shared" si="92"/>
        <v>2.8176344666812003</v>
      </c>
      <c r="Q50" s="45">
        <f t="shared" si="93"/>
        <v>1.1335851913735731</v>
      </c>
      <c r="R50" s="45">
        <f t="shared" si="94"/>
        <v>1.8189525204077512</v>
      </c>
      <c r="S50" s="26"/>
      <c r="T50" s="26" t="str">
        <f t="shared" ref="T50:T77" si="111">B50</f>
        <v>gmll</v>
      </c>
      <c r="U50" s="45">
        <f t="shared" ref="U50:U77" si="112">IFERROR(AM50+BD50,"")</f>
        <v>7.0321438698809402</v>
      </c>
      <c r="V50" s="45">
        <f t="shared" si="95"/>
        <v>9.9002315295609904</v>
      </c>
      <c r="W50" s="45">
        <f t="shared" si="96"/>
        <v>13.30956595182322</v>
      </c>
      <c r="X50" s="45">
        <f t="shared" si="97"/>
        <v>19.862066612697927</v>
      </c>
      <c r="Y50" s="45">
        <f t="shared" si="98"/>
        <v>19.561747638995588</v>
      </c>
      <c r="Z50" s="45">
        <f t="shared" si="99"/>
        <v>1.6803004939631083</v>
      </c>
      <c r="AA50" s="45">
        <f t="shared" si="100"/>
        <v>2.2698829189119891</v>
      </c>
      <c r="AB50" s="45">
        <f t="shared" si="101"/>
        <v>2.4445008351431765</v>
      </c>
      <c r="AC50" s="45">
        <f t="shared" si="102"/>
        <v>2.9937209217189431</v>
      </c>
      <c r="AD50" s="45">
        <f t="shared" si="103"/>
        <v>3.5379818665161089</v>
      </c>
      <c r="AE50" s="45">
        <f t="shared" si="104"/>
        <v>0.96394499834480007</v>
      </c>
      <c r="AF50" s="45">
        <f t="shared" si="105"/>
        <v>1.9577341144339442</v>
      </c>
      <c r="AG50" s="45">
        <f t="shared" si="106"/>
        <v>3.0385005079370546</v>
      </c>
      <c r="AH50" s="45">
        <f t="shared" si="107"/>
        <v>6.2347503935082704</v>
      </c>
      <c r="AI50" s="45">
        <f t="shared" si="108"/>
        <v>33.588785549856276</v>
      </c>
      <c r="AJ50" s="45">
        <f t="shared" ref="AJ50:AJ77" si="113">SUM(U50:AI50)</f>
        <v>128.37585820329232</v>
      </c>
      <c r="AK50" s="26"/>
      <c r="AL50" s="26" t="str">
        <f t="shared" ref="AL50:AL77" si="114">"c"&amp;T50</f>
        <v>cgmll</v>
      </c>
      <c r="AM50" s="45">
        <f>_xlfn.IFNA(INDEX(SAM!$B$8:$HC$215,MATCH($AL50,SAM!$A$8:$A$215,0),MATCH(AM$48,SAM!$B$7:$HC$7,0)),0)</f>
        <v>6.7101614496970496</v>
      </c>
      <c r="AN50" s="45">
        <f>_xlfn.IFNA(INDEX(SAM!$B$8:$HC$215,MATCH($AL50,SAM!$A$8:$A$215,0),MATCH(AN$48,SAM!$B$7:$HC$7,0)),0)</f>
        <v>9.1164499510699812</v>
      </c>
      <c r="AO50" s="45">
        <f>_xlfn.IFNA(INDEX(SAM!$B$8:$HC$215,MATCH($AL50,SAM!$A$8:$A$215,0),MATCH(AO$48,SAM!$B$7:$HC$7,0)),0)</f>
        <v>12.122151657308498</v>
      </c>
      <c r="AP50" s="45">
        <f>_xlfn.IFNA(INDEX(SAM!$B$8:$HC$215,MATCH($AL50,SAM!$A$8:$A$215,0),MATCH(AP$48,SAM!$B$7:$HC$7,0)),0)</f>
        <v>18.269509507160109</v>
      </c>
      <c r="AQ50" s="45">
        <f>_xlfn.IFNA(INDEX(SAM!$B$8:$HC$215,MATCH($AL50,SAM!$A$8:$A$215,0),MATCH(AQ$48,SAM!$B$7:$HC$7,0)),0)</f>
        <v>18.313719292191823</v>
      </c>
      <c r="AR50" s="45">
        <f>_xlfn.IFNA(INDEX(SAM!$B$8:$HC$215,MATCH($AL50,SAM!$A$8:$A$215,0),MATCH(AR$48,SAM!$B$7:$HC$7,0)),0)</f>
        <v>1.6341303094429189</v>
      </c>
      <c r="AS50" s="45">
        <f>_xlfn.IFNA(INDEX(SAM!$B$8:$HC$215,MATCH($AL50,SAM!$A$8:$A$215,0),MATCH(AS$48,SAM!$B$7:$HC$7,0)),0)</f>
        <v>2.1342829297639399</v>
      </c>
      <c r="AT50" s="45">
        <f>_xlfn.IFNA(INDEX(SAM!$B$8:$HC$215,MATCH($AL50,SAM!$A$8:$A$215,0),MATCH(AT$48,SAM!$B$7:$HC$7,0)),0)</f>
        <v>2.2616671462560278</v>
      </c>
      <c r="AU50" s="45">
        <f>_xlfn.IFNA(INDEX(SAM!$B$8:$HC$215,MATCH($AL50,SAM!$A$8:$A$215,0),MATCH(AU$48,SAM!$B$7:$HC$7,0)),0)</f>
        <v>2.8003277571754674</v>
      </c>
      <c r="AV50" s="45">
        <f>_xlfn.IFNA(INDEX(SAM!$B$8:$HC$215,MATCH($AL50,SAM!$A$8:$A$215,0),MATCH(AV$48,SAM!$B$7:$HC$7,0)),0)</f>
        <v>3.3990166888203679</v>
      </c>
      <c r="AW50" s="45">
        <f>_xlfn.IFNA(INDEX(SAM!$B$8:$HC$215,MATCH($AL50,SAM!$A$8:$A$215,0),MATCH(AW$48,SAM!$B$7:$HC$7,0)),0)</f>
        <v>0.95087392197782672</v>
      </c>
      <c r="AX50" s="45">
        <f>_xlfn.IFNA(INDEX(SAM!$B$8:$HC$215,MATCH($AL50,SAM!$A$8:$A$215,0),MATCH(AX$48,SAM!$B$7:$HC$7,0)),0)</f>
        <v>1.9416742597120982</v>
      </c>
      <c r="AY50" s="45">
        <f>_xlfn.IFNA(INDEX(SAM!$B$8:$HC$215,MATCH($AL50,SAM!$A$8:$A$215,0),MATCH(AY$48,SAM!$B$7:$HC$7,0)),0)</f>
        <v>2.9933354463969417</v>
      </c>
      <c r="AZ50" s="45">
        <f>_xlfn.IFNA(INDEX(SAM!$B$8:$HC$215,MATCH($AL50,SAM!$A$8:$A$215,0),MATCH(AZ$48,SAM!$B$7:$HC$7,0)),0)</f>
        <v>6.1289787859038762</v>
      </c>
      <c r="BA50" s="45">
        <f>_xlfn.IFNA(INDEX(SAM!$B$8:$HC$215,MATCH($AL50,SAM!$A$8:$A$215,0),MATCH(BA$48,SAM!$B$7:$HC$7,0)),0)</f>
        <v>33.463332378834828</v>
      </c>
      <c r="BB50" s="45"/>
      <c r="BC50" s="26" t="str">
        <f t="shared" ref="BC50:BC77" si="115">"a"&amp;T50</f>
        <v>agmll</v>
      </c>
      <c r="BD50" s="45">
        <f>_xlfn.IFNA(INDEX(SAM!$B$8:$HC$215,MATCH($BC50,SAM!$A$8:$A$215,0),MATCH(BD$48,SAM!$B$7:$HC$7,0)),0)</f>
        <v>0.32198242018389034</v>
      </c>
      <c r="BE50" s="45">
        <f>_xlfn.IFNA(INDEX(SAM!$B$8:$HC$215,MATCH($BC50,SAM!$A$8:$A$215,0),MATCH(BE$48,SAM!$B$7:$HC$7,0)),0)</f>
        <v>0.78378157849100893</v>
      </c>
      <c r="BF50" s="45">
        <f>_xlfn.IFNA(INDEX(SAM!$B$8:$HC$215,MATCH($BC50,SAM!$A$8:$A$215,0),MATCH(BF$48,SAM!$B$7:$HC$7,0)),0)</f>
        <v>1.1874142945147215</v>
      </c>
      <c r="BG50" s="45">
        <f>_xlfn.IFNA(INDEX(SAM!$B$8:$HC$215,MATCH($BC50,SAM!$A$8:$A$215,0),MATCH(BG$48,SAM!$B$7:$HC$7,0)),0)</f>
        <v>1.5925571055378165</v>
      </c>
      <c r="BH50" s="45">
        <f>_xlfn.IFNA(INDEX(SAM!$B$8:$HC$215,MATCH($BC50,SAM!$A$8:$A$215,0),MATCH(BH$48,SAM!$B$7:$HC$7,0)),0)</f>
        <v>1.2480283468037625</v>
      </c>
      <c r="BI50" s="45">
        <f>_xlfn.IFNA(INDEX(SAM!$B$8:$HC$215,MATCH($BC50,SAM!$A$8:$A$215,0),MATCH(BI$48,SAM!$B$7:$HC$7,0)),0)</f>
        <v>4.6170184520189339E-2</v>
      </c>
      <c r="BJ50" s="45">
        <f>_xlfn.IFNA(INDEX(SAM!$B$8:$HC$215,MATCH($BC50,SAM!$A$8:$A$215,0),MATCH(BJ$48,SAM!$B$7:$HC$7,0)),0)</f>
        <v>0.13559998914804941</v>
      </c>
      <c r="BK50" s="45">
        <f>_xlfn.IFNA(INDEX(SAM!$B$8:$HC$215,MATCH($BC50,SAM!$A$8:$A$215,0),MATCH(BK$48,SAM!$B$7:$HC$7,0)),0)</f>
        <v>0.18283368888714865</v>
      </c>
      <c r="BL50" s="45">
        <f>_xlfn.IFNA(INDEX(SAM!$B$8:$HC$215,MATCH($BC50,SAM!$A$8:$A$215,0),MATCH(BL$48,SAM!$B$7:$HC$7,0)),0)</f>
        <v>0.19339316454347566</v>
      </c>
      <c r="BM50" s="45">
        <f>_xlfn.IFNA(INDEX(SAM!$B$8:$HC$215,MATCH($BC50,SAM!$A$8:$A$215,0),MATCH(BM$48,SAM!$B$7:$HC$7,0)),0)</f>
        <v>0.1389651776957409</v>
      </c>
      <c r="BN50" s="45">
        <f>_xlfn.IFNA(INDEX(SAM!$B$8:$HC$215,MATCH($BC50,SAM!$A$8:$A$215,0),MATCH(BN$48,SAM!$B$7:$HC$7,0)),0)</f>
        <v>1.3071076366973314E-2</v>
      </c>
      <c r="BO50" s="45">
        <f>_xlfn.IFNA(INDEX(SAM!$B$8:$HC$215,MATCH($BC50,SAM!$A$8:$A$215,0),MATCH(BO$48,SAM!$B$7:$HC$7,0)),0)</f>
        <v>1.6059854721845981E-2</v>
      </c>
      <c r="BP50" s="45">
        <f>_xlfn.IFNA(INDEX(SAM!$B$8:$HC$215,MATCH($BC50,SAM!$A$8:$A$215,0),MATCH(BP$48,SAM!$B$7:$HC$7,0)),0)</f>
        <v>4.5165061540112773E-2</v>
      </c>
      <c r="BQ50" s="45">
        <f>_xlfn.IFNA(INDEX(SAM!$B$8:$HC$215,MATCH($BC50,SAM!$A$8:$A$215,0),MATCH(BQ$48,SAM!$B$7:$HC$7,0)),0)</f>
        <v>0.10577160760439443</v>
      </c>
      <c r="BR50" s="45">
        <f>_xlfn.IFNA(INDEX(SAM!$B$8:$HC$215,MATCH($BC50,SAM!$A$8:$A$215,0),MATCH(BR$48,SAM!$B$7:$HC$7,0)),0)</f>
        <v>0.12545317102145026</v>
      </c>
      <c r="BT50" t="str">
        <f t="shared" si="109"/>
        <v>cgmll</v>
      </c>
      <c r="BU50" s="7">
        <f t="shared" si="110"/>
        <v>128.37585820329235</v>
      </c>
      <c r="BW50" s="51" t="s">
        <v>177</v>
      </c>
      <c r="BX50" s="43">
        <f t="shared" ref="BX50:BX94" si="116">100*VLOOKUP(BW50,$BT$49:$BU$94,2,FALSE)/$BU$95</f>
        <v>1.2971814752027289</v>
      </c>
    </row>
    <row r="51" spans="1:76" x14ac:dyDescent="0.25">
      <c r="A51" s="26" t="str">
        <f t="shared" si="78"/>
        <v>roots</v>
      </c>
      <c r="B51" s="26" t="s">
        <v>26</v>
      </c>
      <c r="C51" s="45">
        <f t="shared" si="79"/>
        <v>15.329137365504341</v>
      </c>
      <c r="D51" s="45">
        <f t="shared" si="80"/>
        <v>15.412014383896247</v>
      </c>
      <c r="E51" s="45">
        <f t="shared" si="81"/>
        <v>14.043550708442046</v>
      </c>
      <c r="F51" s="45">
        <f t="shared" si="82"/>
        <v>11.054121989694156</v>
      </c>
      <c r="G51" s="45">
        <f t="shared" si="83"/>
        <v>5.3288698020943102</v>
      </c>
      <c r="H51" s="45">
        <f t="shared" si="84"/>
        <v>16.67668534702781</v>
      </c>
      <c r="I51" s="45">
        <f t="shared" si="85"/>
        <v>15.477571416418568</v>
      </c>
      <c r="J51" s="45">
        <f t="shared" si="86"/>
        <v>14.116111371478503</v>
      </c>
      <c r="K51" s="45">
        <f t="shared" si="87"/>
        <v>11.725829844828212</v>
      </c>
      <c r="L51" s="45">
        <f t="shared" si="88"/>
        <v>5.4463593712186649</v>
      </c>
      <c r="M51" s="45">
        <f t="shared" si="89"/>
        <v>16.281053012766542</v>
      </c>
      <c r="N51" s="45">
        <f t="shared" si="90"/>
        <v>13.968589949071314</v>
      </c>
      <c r="O51" s="45">
        <f t="shared" si="91"/>
        <v>9.7558810426297455</v>
      </c>
      <c r="P51" s="45">
        <f t="shared" si="92"/>
        <v>6.0718005155400556</v>
      </c>
      <c r="Q51" s="45">
        <f t="shared" si="93"/>
        <v>1.1584436573951515</v>
      </c>
      <c r="R51" s="45">
        <f t="shared" si="94"/>
        <v>6.7213636793307625</v>
      </c>
      <c r="S51" s="26"/>
      <c r="T51" s="26" t="str">
        <f t="shared" si="111"/>
        <v>root</v>
      </c>
      <c r="U51" s="45">
        <f t="shared" si="112"/>
        <v>45.070895642514529</v>
      </c>
      <c r="V51" s="45">
        <f t="shared" si="95"/>
        <v>67.125270045424557</v>
      </c>
      <c r="W51" s="45">
        <f t="shared" si="96"/>
        <v>83.919078207192172</v>
      </c>
      <c r="X51" s="45">
        <f t="shared" si="97"/>
        <v>94.992310595529318</v>
      </c>
      <c r="Y51" s="45">
        <f t="shared" si="98"/>
        <v>50.700630628851989</v>
      </c>
      <c r="Z51" s="45">
        <f t="shared" si="99"/>
        <v>9.4416130737584343</v>
      </c>
      <c r="AA51" s="45">
        <f t="shared" si="100"/>
        <v>13.066005608419431</v>
      </c>
      <c r="AB51" s="45">
        <f t="shared" si="101"/>
        <v>14.437994833442978</v>
      </c>
      <c r="AC51" s="45">
        <f t="shared" si="102"/>
        <v>15.333846729336177</v>
      </c>
      <c r="AD51" s="45">
        <f t="shared" si="103"/>
        <v>9.1032246654120623</v>
      </c>
      <c r="AE51" s="45">
        <f t="shared" si="104"/>
        <v>4.755961563981443</v>
      </c>
      <c r="AF51" s="45">
        <f t="shared" si="105"/>
        <v>8.5093968711127612</v>
      </c>
      <c r="AG51" s="45">
        <f t="shared" si="106"/>
        <v>10.155351524200194</v>
      </c>
      <c r="AH51" s="45">
        <f t="shared" si="107"/>
        <v>13.435440651092197</v>
      </c>
      <c r="AI51" s="45">
        <f t="shared" si="108"/>
        <v>34.325356290768525</v>
      </c>
      <c r="AJ51" s="45">
        <f t="shared" si="113"/>
        <v>474.3723769310368</v>
      </c>
      <c r="AK51" s="26"/>
      <c r="AL51" s="26" t="str">
        <f t="shared" si="114"/>
        <v>croot</v>
      </c>
      <c r="AM51" s="45">
        <f>_xlfn.IFNA(INDEX(SAM!$B$8:$HC$215,MATCH($AL51,SAM!$A$8:$A$215,0),MATCH(AM$48,SAM!$B$7:$HC$7,0)),0)</f>
        <v>28.031862519418674</v>
      </c>
      <c r="AN51" s="45">
        <f>_xlfn.IFNA(INDEX(SAM!$B$8:$HC$215,MATCH($AL51,SAM!$A$8:$A$215,0),MATCH(AN$48,SAM!$B$7:$HC$7,0)),0)</f>
        <v>33.687296339411233</v>
      </c>
      <c r="AO51" s="45">
        <f>_xlfn.IFNA(INDEX(SAM!$B$8:$HC$215,MATCH($AL51,SAM!$A$8:$A$215,0),MATCH(AO$48,SAM!$B$7:$HC$7,0)),0)</f>
        <v>37.351415927348391</v>
      </c>
      <c r="AP51" s="45">
        <f>_xlfn.IFNA(INDEX(SAM!$B$8:$HC$215,MATCH($AL51,SAM!$A$8:$A$215,0),MATCH(AP$48,SAM!$B$7:$HC$7,0)),0)</f>
        <v>40.154543070066012</v>
      </c>
      <c r="AQ51" s="45">
        <f>_xlfn.IFNA(INDEX(SAM!$B$8:$HC$215,MATCH($AL51,SAM!$A$8:$A$215,0),MATCH(AQ$48,SAM!$B$7:$HC$7,0)),0)</f>
        <v>23.834845128470853</v>
      </c>
      <c r="AR51" s="45">
        <f>_xlfn.IFNA(INDEX(SAM!$B$8:$HC$215,MATCH($AL51,SAM!$A$8:$A$215,0),MATCH(AR$48,SAM!$B$7:$HC$7,0)),0)</f>
        <v>5.6427770684038361</v>
      </c>
      <c r="AS51" s="45">
        <f>_xlfn.IFNA(INDEX(SAM!$B$8:$HC$215,MATCH($AL51,SAM!$A$8:$A$215,0),MATCH(AS$48,SAM!$B$7:$HC$7,0)),0)</f>
        <v>6.3829730598285757</v>
      </c>
      <c r="AT51" s="45">
        <f>_xlfn.IFNA(INDEX(SAM!$B$8:$HC$215,MATCH($AL51,SAM!$A$8:$A$215,0),MATCH(AT$48,SAM!$B$7:$HC$7,0)),0)</f>
        <v>5.1005826405293826</v>
      </c>
      <c r="AU51" s="45">
        <f>_xlfn.IFNA(INDEX(SAM!$B$8:$HC$215,MATCH($AL51,SAM!$A$8:$A$215,0),MATCH(AU$48,SAM!$B$7:$HC$7,0)),0)</f>
        <v>6.1397041417136498</v>
      </c>
      <c r="AV51" s="45">
        <f>_xlfn.IFNA(INDEX(SAM!$B$8:$HC$215,MATCH($AL51,SAM!$A$8:$A$215,0),MATCH(AV$48,SAM!$B$7:$HC$7,0)),0)</f>
        <v>4.7273714062587207</v>
      </c>
      <c r="AW51" s="45">
        <f>_xlfn.IFNA(INDEX(SAM!$B$8:$HC$215,MATCH($AL51,SAM!$A$8:$A$215,0),MATCH(AW$48,SAM!$B$7:$HC$7,0)),0)</f>
        <v>4.3842554744387954</v>
      </c>
      <c r="AX51" s="45">
        <f>_xlfn.IFNA(INDEX(SAM!$B$8:$HC$215,MATCH($AL51,SAM!$A$8:$A$215,0),MATCH(AX$48,SAM!$B$7:$HC$7,0)),0)</f>
        <v>7.041422322939642</v>
      </c>
      <c r="AY51" s="45">
        <f>_xlfn.IFNA(INDEX(SAM!$B$8:$HC$215,MATCH($AL51,SAM!$A$8:$A$215,0),MATCH(AY$48,SAM!$B$7:$HC$7,0)),0)</f>
        <v>8.5175707981750683</v>
      </c>
      <c r="AZ51" s="45">
        <f>_xlfn.IFNA(INDEX(SAM!$B$8:$HC$215,MATCH($AL51,SAM!$A$8:$A$215,0),MATCH(AZ$48,SAM!$B$7:$HC$7,0)),0)</f>
        <v>11.369426211175096</v>
      </c>
      <c r="BA51" s="45">
        <f>_xlfn.IFNA(INDEX(SAM!$B$8:$HC$215,MATCH($AL51,SAM!$A$8:$A$215,0),MATCH(BA$48,SAM!$B$7:$HC$7,0)),0)</f>
        <v>30.743447848996734</v>
      </c>
      <c r="BB51" s="45"/>
      <c r="BC51" s="26" t="str">
        <f t="shared" si="115"/>
        <v>aroot</v>
      </c>
      <c r="BD51" s="45">
        <f>_xlfn.IFNA(INDEX(SAM!$B$8:$HC$215,MATCH($BC51,SAM!$A$8:$A$215,0),MATCH(BD$48,SAM!$B$7:$HC$7,0)),0)</f>
        <v>17.039033123095855</v>
      </c>
      <c r="BE51" s="45">
        <f>_xlfn.IFNA(INDEX(SAM!$B$8:$HC$215,MATCH($BC51,SAM!$A$8:$A$215,0),MATCH(BE$48,SAM!$B$7:$HC$7,0)),0)</f>
        <v>33.437973706013324</v>
      </c>
      <c r="BF51" s="45">
        <f>_xlfn.IFNA(INDEX(SAM!$B$8:$HC$215,MATCH($BC51,SAM!$A$8:$A$215,0),MATCH(BF$48,SAM!$B$7:$HC$7,0)),0)</f>
        <v>46.567662279843773</v>
      </c>
      <c r="BG51" s="45">
        <f>_xlfn.IFNA(INDEX(SAM!$B$8:$HC$215,MATCH($BC51,SAM!$A$8:$A$215,0),MATCH(BG$48,SAM!$B$7:$HC$7,0)),0)</f>
        <v>54.837767525463306</v>
      </c>
      <c r="BH51" s="45">
        <f>_xlfn.IFNA(INDEX(SAM!$B$8:$HC$215,MATCH($BC51,SAM!$A$8:$A$215,0),MATCH(BH$48,SAM!$B$7:$HC$7,0)),0)</f>
        <v>26.865785500381136</v>
      </c>
      <c r="BI51" s="45">
        <f>_xlfn.IFNA(INDEX(SAM!$B$8:$HC$215,MATCH($BC51,SAM!$A$8:$A$215,0),MATCH(BI$48,SAM!$B$7:$HC$7,0)),0)</f>
        <v>3.7988360053545982</v>
      </c>
      <c r="BJ51" s="45">
        <f>_xlfn.IFNA(INDEX(SAM!$B$8:$HC$215,MATCH($BC51,SAM!$A$8:$A$215,0),MATCH(BJ$48,SAM!$B$7:$HC$7,0)),0)</f>
        <v>6.6830325485908553</v>
      </c>
      <c r="BK51" s="45">
        <f>_xlfn.IFNA(INDEX(SAM!$B$8:$HC$215,MATCH($BC51,SAM!$A$8:$A$215,0),MATCH(BK$48,SAM!$B$7:$HC$7,0)),0)</f>
        <v>9.3374121929135967</v>
      </c>
      <c r="BL51" s="45">
        <f>_xlfn.IFNA(INDEX(SAM!$B$8:$HC$215,MATCH($BC51,SAM!$A$8:$A$215,0),MATCH(BL$48,SAM!$B$7:$HC$7,0)),0)</f>
        <v>9.194142587622526</v>
      </c>
      <c r="BM51" s="45">
        <f>_xlfn.IFNA(INDEX(SAM!$B$8:$HC$215,MATCH($BC51,SAM!$A$8:$A$215,0),MATCH(BM$48,SAM!$B$7:$HC$7,0)),0)</f>
        <v>4.3758532591533417</v>
      </c>
      <c r="BN51" s="45">
        <f>_xlfn.IFNA(INDEX(SAM!$B$8:$HC$215,MATCH($BC51,SAM!$A$8:$A$215,0),MATCH(BN$48,SAM!$B$7:$HC$7,0)),0)</f>
        <v>0.37170608954264728</v>
      </c>
      <c r="BO51" s="45">
        <f>_xlfn.IFNA(INDEX(SAM!$B$8:$HC$215,MATCH($BC51,SAM!$A$8:$A$215,0),MATCH(BO$48,SAM!$B$7:$HC$7,0)),0)</f>
        <v>1.4679745481731186</v>
      </c>
      <c r="BP51" s="45">
        <f>_xlfn.IFNA(INDEX(SAM!$B$8:$HC$215,MATCH($BC51,SAM!$A$8:$A$215,0),MATCH(BP$48,SAM!$B$7:$HC$7,0)),0)</f>
        <v>1.6377807260251263</v>
      </c>
      <c r="BQ51" s="45">
        <f>_xlfn.IFNA(INDEX(SAM!$B$8:$HC$215,MATCH($BC51,SAM!$A$8:$A$215,0),MATCH(BQ$48,SAM!$B$7:$HC$7,0)),0)</f>
        <v>2.0660144399171001</v>
      </c>
      <c r="BR51" s="45">
        <f>_xlfn.IFNA(INDEX(SAM!$B$8:$HC$215,MATCH($BC51,SAM!$A$8:$A$215,0),MATCH(BR$48,SAM!$B$7:$HC$7,0)),0)</f>
        <v>3.5819084417717932</v>
      </c>
      <c r="BT51" t="str">
        <f t="shared" si="109"/>
        <v>croot</v>
      </c>
      <c r="BU51" s="7">
        <f t="shared" si="110"/>
        <v>474.3723769310368</v>
      </c>
      <c r="BW51" s="51" t="s">
        <v>178</v>
      </c>
      <c r="BX51" s="43">
        <f t="shared" si="116"/>
        <v>0.34153658696064565</v>
      </c>
    </row>
    <row r="52" spans="1:76" x14ac:dyDescent="0.25">
      <c r="A52" s="47" t="str">
        <f t="shared" si="78"/>
        <v>pulses</v>
      </c>
      <c r="B52" s="47" t="s">
        <v>24</v>
      </c>
      <c r="C52" s="48">
        <f t="shared" si="79"/>
        <v>2.6873199056802251</v>
      </c>
      <c r="D52" s="48">
        <f t="shared" si="80"/>
        <v>2.6837664712419844</v>
      </c>
      <c r="E52" s="48">
        <f t="shared" si="81"/>
        <v>2.4511214376720902</v>
      </c>
      <c r="F52" s="48">
        <f t="shared" si="82"/>
        <v>1.8965996637906388</v>
      </c>
      <c r="G52" s="48">
        <f t="shared" si="83"/>
        <v>1.1180207857470923</v>
      </c>
      <c r="H52" s="48">
        <f t="shared" si="84"/>
        <v>3.0950954446874133</v>
      </c>
      <c r="I52" s="48">
        <f t="shared" si="85"/>
        <v>2.636450787549546</v>
      </c>
      <c r="J52" s="48">
        <f t="shared" si="86"/>
        <v>2.5257373102916678</v>
      </c>
      <c r="K52" s="48">
        <f t="shared" si="87"/>
        <v>1.7898450485640907</v>
      </c>
      <c r="L52" s="48">
        <f t="shared" si="88"/>
        <v>1.1784784709562821</v>
      </c>
      <c r="M52" s="48">
        <f t="shared" si="89"/>
        <v>2.3244538926399656</v>
      </c>
      <c r="N52" s="48">
        <f t="shared" si="90"/>
        <v>2.1489352193306406</v>
      </c>
      <c r="O52" s="48">
        <f t="shared" si="91"/>
        <v>1.8630494602179912</v>
      </c>
      <c r="P52" s="48">
        <f t="shared" si="92"/>
        <v>1.4620208362460376</v>
      </c>
      <c r="Q52" s="48">
        <f t="shared" si="93"/>
        <v>0.41660363467111317</v>
      </c>
      <c r="R52" s="48">
        <f t="shared" si="94"/>
        <v>1.2971814752027289</v>
      </c>
      <c r="S52" s="47"/>
      <c r="T52" s="47" t="str">
        <f t="shared" si="111"/>
        <v>puls</v>
      </c>
      <c r="U52" s="48">
        <f t="shared" si="112"/>
        <v>7.9012870808715903</v>
      </c>
      <c r="V52" s="48">
        <f t="shared" si="95"/>
        <v>11.68883863158138</v>
      </c>
      <c r="W52" s="48">
        <f t="shared" si="96"/>
        <v>14.646997464799185</v>
      </c>
      <c r="X52" s="48">
        <f t="shared" si="97"/>
        <v>16.298208442619291</v>
      </c>
      <c r="Y52" s="48">
        <f t="shared" si="98"/>
        <v>10.63721971050307</v>
      </c>
      <c r="Z52" s="48">
        <f t="shared" si="99"/>
        <v>1.7523082679196229</v>
      </c>
      <c r="AA52" s="48">
        <f t="shared" si="100"/>
        <v>2.2256644695499173</v>
      </c>
      <c r="AB52" s="48">
        <f t="shared" si="101"/>
        <v>2.5833305842503997</v>
      </c>
      <c r="AC52" s="48">
        <f t="shared" si="102"/>
        <v>2.3405771708386167</v>
      </c>
      <c r="AD52" s="48">
        <f t="shared" si="103"/>
        <v>1.9697477807208779</v>
      </c>
      <c r="AE52" s="48">
        <f t="shared" si="104"/>
        <v>0.67901095598510142</v>
      </c>
      <c r="AF52" s="48">
        <f t="shared" si="105"/>
        <v>1.3090900869927751</v>
      </c>
      <c r="AG52" s="48">
        <f t="shared" si="106"/>
        <v>1.9393350629032649</v>
      </c>
      <c r="AH52" s="48">
        <f t="shared" si="107"/>
        <v>3.2351020304059985</v>
      </c>
      <c r="AI52" s="48">
        <f t="shared" si="108"/>
        <v>12.344206902793974</v>
      </c>
      <c r="AJ52" s="48">
        <f t="shared" si="113"/>
        <v>91.550924642735083</v>
      </c>
      <c r="AK52" s="47"/>
      <c r="AL52" s="47" t="str">
        <f t="shared" si="114"/>
        <v>cpuls</v>
      </c>
      <c r="AM52" s="48">
        <f>_xlfn.IFNA(INDEX(SAM!$B$8:$HC$215,MATCH($AL52,SAM!$A$8:$A$215,0),MATCH(AM$48,SAM!$B$7:$HC$7,0)),0)</f>
        <v>5.4119485693871638</v>
      </c>
      <c r="AN52" s="48">
        <f>_xlfn.IFNA(INDEX(SAM!$B$8:$HC$215,MATCH($AL52,SAM!$A$8:$A$215,0),MATCH(AN$48,SAM!$B$7:$HC$7,0)),0)</f>
        <v>7.4494450940878973</v>
      </c>
      <c r="AO52" s="48">
        <f>_xlfn.IFNA(INDEX(SAM!$B$8:$HC$215,MATCH($AL52,SAM!$A$8:$A$215,0),MATCH(AO$48,SAM!$B$7:$HC$7,0)),0)</f>
        <v>9.035936379451817</v>
      </c>
      <c r="AP52" s="48">
        <f>_xlfn.IFNA(INDEX(SAM!$B$8:$HC$215,MATCH($AL52,SAM!$A$8:$A$215,0),MATCH(AP$48,SAM!$B$7:$HC$7,0)),0)</f>
        <v>9.268804185080846</v>
      </c>
      <c r="AQ52" s="48">
        <f>_xlfn.IFNA(INDEX(SAM!$B$8:$HC$215,MATCH($AL52,SAM!$A$8:$A$215,0),MATCH(AQ$48,SAM!$B$7:$HC$7,0)),0)</f>
        <v>6.7083536823591885</v>
      </c>
      <c r="AR52" s="48">
        <f>_xlfn.IFNA(INDEX(SAM!$B$8:$HC$215,MATCH($AL52,SAM!$A$8:$A$215,0),MATCH(AR$48,SAM!$B$7:$HC$7,0)),0)</f>
        <v>1.1916042369405715</v>
      </c>
      <c r="AS52" s="48">
        <f>_xlfn.IFNA(INDEX(SAM!$B$8:$HC$215,MATCH($AL52,SAM!$A$8:$A$215,0),MATCH(AS$48,SAM!$B$7:$HC$7,0)),0)</f>
        <v>1.2926037909585253</v>
      </c>
      <c r="AT52" s="48">
        <f>_xlfn.IFNA(INDEX(SAM!$B$8:$HC$215,MATCH($AL52,SAM!$A$8:$A$215,0),MATCH(AT$48,SAM!$B$7:$HC$7,0)),0)</f>
        <v>1.5274884834333624</v>
      </c>
      <c r="AU52" s="48">
        <f>_xlfn.IFNA(INDEX(SAM!$B$8:$HC$215,MATCH($AL52,SAM!$A$8:$A$215,0),MATCH(AU$48,SAM!$B$7:$HC$7,0)),0)</f>
        <v>1.2582000150039441</v>
      </c>
      <c r="AV52" s="48">
        <f>_xlfn.IFNA(INDEX(SAM!$B$8:$HC$215,MATCH($AL52,SAM!$A$8:$A$215,0),MATCH(AV$48,SAM!$B$7:$HC$7,0)),0)</f>
        <v>1.3624336356479834</v>
      </c>
      <c r="AW52" s="48">
        <f>_xlfn.IFNA(INDEX(SAM!$B$8:$HC$215,MATCH($AL52,SAM!$A$8:$A$215,0),MATCH(AW$48,SAM!$B$7:$HC$7,0)),0)</f>
        <v>0.60777679054825584</v>
      </c>
      <c r="AX52" s="48">
        <f>_xlfn.IFNA(INDEX(SAM!$B$8:$HC$215,MATCH($AL52,SAM!$A$8:$A$215,0),MATCH(AX$48,SAM!$B$7:$HC$7,0)),0)</f>
        <v>1.1692167649438652</v>
      </c>
      <c r="AY52" s="48">
        <f>_xlfn.IFNA(INDEX(SAM!$B$8:$HC$215,MATCH($AL52,SAM!$A$8:$A$215,0),MATCH(AY$48,SAM!$B$7:$HC$7,0)),0)</f>
        <v>1.6930729482174525</v>
      </c>
      <c r="AZ52" s="48">
        <f>_xlfn.IFNA(INDEX(SAM!$B$8:$HC$215,MATCH($AL52,SAM!$A$8:$A$215,0),MATCH(AZ$48,SAM!$B$7:$HC$7,0)),0)</f>
        <v>2.8298048765109325</v>
      </c>
      <c r="BA52" s="48">
        <f>_xlfn.IFNA(INDEX(SAM!$B$8:$HC$215,MATCH($AL52,SAM!$A$8:$A$215,0),MATCH(BA$48,SAM!$B$7:$HC$7,0)),0)</f>
        <v>11.444245130853766</v>
      </c>
      <c r="BB52" s="48"/>
      <c r="BC52" s="47" t="str">
        <f t="shared" si="115"/>
        <v>apuls</v>
      </c>
      <c r="BD52" s="48">
        <f>_xlfn.IFNA(INDEX(SAM!$B$8:$HC$215,MATCH($BC52,SAM!$A$8:$A$215,0),MATCH(BD$48,SAM!$B$7:$HC$7,0)),0)</f>
        <v>2.489338511484426</v>
      </c>
      <c r="BE52" s="48">
        <f>_xlfn.IFNA(INDEX(SAM!$B$8:$HC$215,MATCH($BC52,SAM!$A$8:$A$215,0),MATCH(BE$48,SAM!$B$7:$HC$7,0)),0)</f>
        <v>4.2393935374934815</v>
      </c>
      <c r="BF52" s="48">
        <f>_xlfn.IFNA(INDEX(SAM!$B$8:$HC$215,MATCH($BC52,SAM!$A$8:$A$215,0),MATCH(BF$48,SAM!$B$7:$HC$7,0)),0)</f>
        <v>5.6110610853473677</v>
      </c>
      <c r="BG52" s="48">
        <f>_xlfn.IFNA(INDEX(SAM!$B$8:$HC$215,MATCH($BC52,SAM!$A$8:$A$215,0),MATCH(BG$48,SAM!$B$7:$HC$7,0)),0)</f>
        <v>7.029404257538447</v>
      </c>
      <c r="BH52" s="48">
        <f>_xlfn.IFNA(INDEX(SAM!$B$8:$HC$215,MATCH($BC52,SAM!$A$8:$A$215,0),MATCH(BH$48,SAM!$B$7:$HC$7,0)),0)</f>
        <v>3.9288660281438812</v>
      </c>
      <c r="BI52" s="48">
        <f>_xlfn.IFNA(INDEX(SAM!$B$8:$HC$215,MATCH($BC52,SAM!$A$8:$A$215,0),MATCH(BI$48,SAM!$B$7:$HC$7,0)),0)</f>
        <v>0.56070403097905142</v>
      </c>
      <c r="BJ52" s="48">
        <f>_xlfn.IFNA(INDEX(SAM!$B$8:$HC$215,MATCH($BC52,SAM!$A$8:$A$215,0),MATCH(BJ$48,SAM!$B$7:$HC$7,0)),0)</f>
        <v>0.93306067859139175</v>
      </c>
      <c r="BK52" s="48">
        <f>_xlfn.IFNA(INDEX(SAM!$B$8:$HC$215,MATCH($BC52,SAM!$A$8:$A$215,0),MATCH(BK$48,SAM!$B$7:$HC$7,0)),0)</f>
        <v>1.0558421008170373</v>
      </c>
      <c r="BL52" s="48">
        <f>_xlfn.IFNA(INDEX(SAM!$B$8:$HC$215,MATCH($BC52,SAM!$A$8:$A$215,0),MATCH(BL$48,SAM!$B$7:$HC$7,0)),0)</f>
        <v>1.0823771558346724</v>
      </c>
      <c r="BM52" s="48">
        <f>_xlfn.IFNA(INDEX(SAM!$B$8:$HC$215,MATCH($BC52,SAM!$A$8:$A$215,0),MATCH(BM$48,SAM!$B$7:$HC$7,0)),0)</f>
        <v>0.6073141450728945</v>
      </c>
      <c r="BN52" s="48">
        <f>_xlfn.IFNA(INDEX(SAM!$B$8:$HC$215,MATCH($BC52,SAM!$A$8:$A$215,0),MATCH(BN$48,SAM!$B$7:$HC$7,0)),0)</f>
        <v>7.1234165436845534E-2</v>
      </c>
      <c r="BO52" s="48">
        <f>_xlfn.IFNA(INDEX(SAM!$B$8:$HC$215,MATCH($BC52,SAM!$A$8:$A$215,0),MATCH(BO$48,SAM!$B$7:$HC$7,0)),0)</f>
        <v>0.1398733220489099</v>
      </c>
      <c r="BP52" s="48">
        <f>_xlfn.IFNA(INDEX(SAM!$B$8:$HC$215,MATCH($BC52,SAM!$A$8:$A$215,0),MATCH(BP$48,SAM!$B$7:$HC$7,0)),0)</f>
        <v>0.24626211468581236</v>
      </c>
      <c r="BQ52" s="48">
        <f>_xlfn.IFNA(INDEX(SAM!$B$8:$HC$215,MATCH($BC52,SAM!$A$8:$A$215,0),MATCH(BQ$48,SAM!$B$7:$HC$7,0)),0)</f>
        <v>0.40529715389506615</v>
      </c>
      <c r="BR52" s="48">
        <f>_xlfn.IFNA(INDEX(SAM!$B$8:$HC$215,MATCH($BC52,SAM!$A$8:$A$215,0),MATCH(BR$48,SAM!$B$7:$HC$7,0)),0)</f>
        <v>0.8999617719402091</v>
      </c>
      <c r="BT52" t="str">
        <f t="shared" si="109"/>
        <v>cpuls</v>
      </c>
      <c r="BU52" s="7">
        <f t="shared" si="110"/>
        <v>91.550924642735083</v>
      </c>
      <c r="BW52" s="51" t="s">
        <v>179</v>
      </c>
      <c r="BX52" s="43">
        <f t="shared" si="116"/>
        <v>6.7213636793307625</v>
      </c>
    </row>
    <row r="53" spans="1:76" x14ac:dyDescent="0.25">
      <c r="A53" s="26" t="str">
        <f t="shared" si="78"/>
        <v>vegetables</v>
      </c>
      <c r="B53" s="26" t="s">
        <v>27</v>
      </c>
      <c r="C53" s="45">
        <f t="shared" si="79"/>
        <v>1.9250680061046077</v>
      </c>
      <c r="D53" s="45">
        <f t="shared" si="80"/>
        <v>1.5949272665811687</v>
      </c>
      <c r="E53" s="45">
        <f t="shared" si="81"/>
        <v>1.279564891859102</v>
      </c>
      <c r="F53" s="45">
        <f t="shared" si="82"/>
        <v>0.91990220686093505</v>
      </c>
      <c r="G53" s="45">
        <f t="shared" si="83"/>
        <v>0.62097707489352916</v>
      </c>
      <c r="H53" s="45">
        <f t="shared" si="84"/>
        <v>2.1481701000586537</v>
      </c>
      <c r="I53" s="45">
        <f t="shared" si="85"/>
        <v>1.4378946082779376</v>
      </c>
      <c r="J53" s="45">
        <f t="shared" si="86"/>
        <v>1.2753145218710737</v>
      </c>
      <c r="K53" s="45">
        <f t="shared" si="87"/>
        <v>0.91728603584199642</v>
      </c>
      <c r="L53" s="45">
        <f t="shared" si="88"/>
        <v>0.73038151951382224</v>
      </c>
      <c r="M53" s="45">
        <f t="shared" si="89"/>
        <v>1.7071219991681466</v>
      </c>
      <c r="N53" s="45">
        <f t="shared" si="90"/>
        <v>1.7302966560357127</v>
      </c>
      <c r="O53" s="45">
        <f t="shared" si="91"/>
        <v>1.305077197477809</v>
      </c>
      <c r="P53" s="45">
        <f t="shared" si="92"/>
        <v>1.1125789213029016</v>
      </c>
      <c r="Q53" s="45">
        <f t="shared" si="93"/>
        <v>0.39751099249213911</v>
      </c>
      <c r="R53" s="45">
        <f t="shared" si="94"/>
        <v>0.81290826327820864</v>
      </c>
      <c r="S53" s="26"/>
      <c r="T53" s="26" t="str">
        <f t="shared" si="111"/>
        <v>vege</v>
      </c>
      <c r="U53" s="45">
        <f t="shared" si="112"/>
        <v>5.6601057932413985</v>
      </c>
      <c r="V53" s="45">
        <f t="shared" si="95"/>
        <v>6.9465237187902504</v>
      </c>
      <c r="W53" s="45">
        <f t="shared" si="96"/>
        <v>7.646207747628365</v>
      </c>
      <c r="X53" s="45">
        <f t="shared" si="97"/>
        <v>7.9050725361195804</v>
      </c>
      <c r="Y53" s="45">
        <f t="shared" si="98"/>
        <v>5.9081813728660082</v>
      </c>
      <c r="Z53" s="45">
        <f t="shared" si="99"/>
        <v>1.2162003707160864</v>
      </c>
      <c r="AA53" s="45">
        <f t="shared" si="100"/>
        <v>1.2138557471714084</v>
      </c>
      <c r="AB53" s="45">
        <f t="shared" si="101"/>
        <v>1.304394956460365</v>
      </c>
      <c r="AC53" s="45">
        <f t="shared" si="102"/>
        <v>1.1995333095137206</v>
      </c>
      <c r="AD53" s="45">
        <f t="shared" si="103"/>
        <v>1.2207837585479862</v>
      </c>
      <c r="AE53" s="45">
        <f t="shared" si="104"/>
        <v>0.49867822472566548</v>
      </c>
      <c r="AF53" s="45">
        <f t="shared" si="105"/>
        <v>1.0540635099640863</v>
      </c>
      <c r="AG53" s="45">
        <f t="shared" si="106"/>
        <v>1.3585157146435065</v>
      </c>
      <c r="AH53" s="45">
        <f t="shared" si="107"/>
        <v>2.4618707463401841</v>
      </c>
      <c r="AI53" s="45">
        <f t="shared" si="108"/>
        <v>11.778480860666841</v>
      </c>
      <c r="AJ53" s="45">
        <f t="shared" si="113"/>
        <v>57.372468367395449</v>
      </c>
      <c r="AK53" s="26"/>
      <c r="AL53" s="26" t="str">
        <f t="shared" si="114"/>
        <v>cvege</v>
      </c>
      <c r="AM53" s="45">
        <f>_xlfn.IFNA(INDEX(SAM!$B$8:$HC$215,MATCH($AL53,SAM!$A$8:$A$215,0),MATCH(AM$48,SAM!$B$7:$HC$7,0)),0)</f>
        <v>4.6736775510033111</v>
      </c>
      <c r="AN53" s="45">
        <f>_xlfn.IFNA(INDEX(SAM!$B$8:$HC$215,MATCH($AL53,SAM!$A$8:$A$215,0),MATCH(AN$48,SAM!$B$7:$HC$7,0)),0)</f>
        <v>5.8167716838063344</v>
      </c>
      <c r="AO53" s="45">
        <f>_xlfn.IFNA(INDEX(SAM!$B$8:$HC$215,MATCH($AL53,SAM!$A$8:$A$215,0),MATCH(AO$48,SAM!$B$7:$HC$7,0)),0)</f>
        <v>6.3007513575383278</v>
      </c>
      <c r="AP53" s="45">
        <f>_xlfn.IFNA(INDEX(SAM!$B$8:$HC$215,MATCH($AL53,SAM!$A$8:$A$215,0),MATCH(AP$48,SAM!$B$7:$HC$7,0)),0)</f>
        <v>6.5593797299129202</v>
      </c>
      <c r="AQ53" s="45">
        <f>_xlfn.IFNA(INDEX(SAM!$B$8:$HC$215,MATCH($AL53,SAM!$A$8:$A$215,0),MATCH(AQ$48,SAM!$B$7:$HC$7,0)),0)</f>
        <v>5.2100440952718987</v>
      </c>
      <c r="AR53" s="45">
        <f>_xlfn.IFNA(INDEX(SAM!$B$8:$HC$215,MATCH($AL53,SAM!$A$8:$A$215,0),MATCH(AR$48,SAM!$B$7:$HC$7,0)),0)</f>
        <v>1.0060443226434466</v>
      </c>
      <c r="AS53" s="45">
        <f>_xlfn.IFNA(INDEX(SAM!$B$8:$HC$215,MATCH($AL53,SAM!$A$8:$A$215,0),MATCH(AS$48,SAM!$B$7:$HC$7,0)),0)</f>
        <v>0.98575392791826166</v>
      </c>
      <c r="AT53" s="45">
        <f>_xlfn.IFNA(INDEX(SAM!$B$8:$HC$215,MATCH($AL53,SAM!$A$8:$A$215,0),MATCH(AT$48,SAM!$B$7:$HC$7,0)),0)</f>
        <v>1.0683735235699969</v>
      </c>
      <c r="AU53" s="45">
        <f>_xlfn.IFNA(INDEX(SAM!$B$8:$HC$215,MATCH($AL53,SAM!$A$8:$A$215,0),MATCH(AU$48,SAM!$B$7:$HC$7,0)),0)</f>
        <v>1.0065173019840881</v>
      </c>
      <c r="AV53" s="45">
        <f>_xlfn.IFNA(INDEX(SAM!$B$8:$HC$215,MATCH($AL53,SAM!$A$8:$A$215,0),MATCH(AV$48,SAM!$B$7:$HC$7,0)),0)</f>
        <v>1.0666563677300731</v>
      </c>
      <c r="AW53" s="45">
        <f>_xlfn.IFNA(INDEX(SAM!$B$8:$HC$215,MATCH($AL53,SAM!$A$8:$A$215,0),MATCH(AW$48,SAM!$B$7:$HC$7,0)),0)</f>
        <v>0.43037334889324003</v>
      </c>
      <c r="AX53" s="45">
        <f>_xlfn.IFNA(INDEX(SAM!$B$8:$HC$215,MATCH($AL53,SAM!$A$8:$A$215,0),MATCH(AX$48,SAM!$B$7:$HC$7,0)),0)</f>
        <v>0.96724918282855377</v>
      </c>
      <c r="AY53" s="45">
        <f>_xlfn.IFNA(INDEX(SAM!$B$8:$HC$215,MATCH($AL53,SAM!$A$8:$A$215,0),MATCH(AY$48,SAM!$B$7:$HC$7,0)),0)</f>
        <v>1.2419948919804724</v>
      </c>
      <c r="AZ53" s="45">
        <f>_xlfn.IFNA(INDEX(SAM!$B$8:$HC$215,MATCH($AL53,SAM!$A$8:$A$215,0),MATCH(AZ$48,SAM!$B$7:$HC$7,0)),0)</f>
        <v>2.3264071614603119</v>
      </c>
      <c r="BA53" s="45">
        <f>_xlfn.IFNA(INDEX(SAM!$B$8:$HC$215,MATCH($AL53,SAM!$A$8:$A$215,0),MATCH(BA$48,SAM!$B$7:$HC$7,0)),0)</f>
        <v>11.529798847660626</v>
      </c>
      <c r="BB53" s="45"/>
      <c r="BC53" s="26" t="str">
        <f t="shared" si="115"/>
        <v>avege</v>
      </c>
      <c r="BD53" s="45">
        <f>_xlfn.IFNA(INDEX(SAM!$B$8:$HC$215,MATCH($BC53,SAM!$A$8:$A$215,0),MATCH(BD$48,SAM!$B$7:$HC$7,0)),0)</f>
        <v>0.98642824223808745</v>
      </c>
      <c r="BE53" s="45">
        <f>_xlfn.IFNA(INDEX(SAM!$B$8:$HC$215,MATCH($BC53,SAM!$A$8:$A$215,0),MATCH(BE$48,SAM!$B$7:$HC$7,0)),0)</f>
        <v>1.1297520349839161</v>
      </c>
      <c r="BF53" s="45">
        <f>_xlfn.IFNA(INDEX(SAM!$B$8:$HC$215,MATCH($BC53,SAM!$A$8:$A$215,0),MATCH(BF$48,SAM!$B$7:$HC$7,0)),0)</f>
        <v>1.3454563900900371</v>
      </c>
      <c r="BG53" s="45">
        <f>_xlfn.IFNA(INDEX(SAM!$B$8:$HC$215,MATCH($BC53,SAM!$A$8:$A$215,0),MATCH(BG$48,SAM!$B$7:$HC$7,0)),0)</f>
        <v>1.3456928062066602</v>
      </c>
      <c r="BH53" s="45">
        <f>_xlfn.IFNA(INDEX(SAM!$B$8:$HC$215,MATCH($BC53,SAM!$A$8:$A$215,0),MATCH(BH$48,SAM!$B$7:$HC$7,0)),0)</f>
        <v>0.69813727759410926</v>
      </c>
      <c r="BI53" s="45">
        <f>_xlfn.IFNA(INDEX(SAM!$B$8:$HC$215,MATCH($BC53,SAM!$A$8:$A$215,0),MATCH(BI$48,SAM!$B$7:$HC$7,0)),0)</f>
        <v>0.21015604807263999</v>
      </c>
      <c r="BJ53" s="45">
        <f>_xlfn.IFNA(INDEX(SAM!$B$8:$HC$215,MATCH($BC53,SAM!$A$8:$A$215,0),MATCH(BJ$48,SAM!$B$7:$HC$7,0)),0)</f>
        <v>0.22810181925314676</v>
      </c>
      <c r="BK53" s="45">
        <f>_xlfn.IFNA(INDEX(SAM!$B$8:$HC$215,MATCH($BC53,SAM!$A$8:$A$215,0),MATCH(BK$48,SAM!$B$7:$HC$7,0)),0)</f>
        <v>0.23602143289036795</v>
      </c>
      <c r="BL53" s="45">
        <f>_xlfn.IFNA(INDEX(SAM!$B$8:$HC$215,MATCH($BC53,SAM!$A$8:$A$215,0),MATCH(BL$48,SAM!$B$7:$HC$7,0)),0)</f>
        <v>0.1930160075296326</v>
      </c>
      <c r="BM53" s="45">
        <f>_xlfn.IFNA(INDEX(SAM!$B$8:$HC$215,MATCH($BC53,SAM!$A$8:$A$215,0),MATCH(BM$48,SAM!$B$7:$HC$7,0)),0)</f>
        <v>0.15412739081791299</v>
      </c>
      <c r="BN53" s="45">
        <f>_xlfn.IFNA(INDEX(SAM!$B$8:$HC$215,MATCH($BC53,SAM!$A$8:$A$215,0),MATCH(BN$48,SAM!$B$7:$HC$7,0)),0)</f>
        <v>6.8304875832425449E-2</v>
      </c>
      <c r="BO53" s="45">
        <f>_xlfn.IFNA(INDEX(SAM!$B$8:$HC$215,MATCH($BC53,SAM!$A$8:$A$215,0),MATCH(BO$48,SAM!$B$7:$HC$7,0)),0)</f>
        <v>8.681432713553254E-2</v>
      </c>
      <c r="BP53" s="45">
        <f>_xlfn.IFNA(INDEX(SAM!$B$8:$HC$215,MATCH($BC53,SAM!$A$8:$A$215,0),MATCH(BP$48,SAM!$B$7:$HC$7,0)),0)</f>
        <v>0.11652082266303415</v>
      </c>
      <c r="BQ53" s="45">
        <f>_xlfn.IFNA(INDEX(SAM!$B$8:$HC$215,MATCH($BC53,SAM!$A$8:$A$215,0),MATCH(BQ$48,SAM!$B$7:$HC$7,0)),0)</f>
        <v>0.13546358487987209</v>
      </c>
      <c r="BR53" s="45">
        <f>_xlfn.IFNA(INDEX(SAM!$B$8:$HC$215,MATCH($BC53,SAM!$A$8:$A$215,0),MATCH(BR$48,SAM!$B$7:$HC$7,0)),0)</f>
        <v>0.24868201300621609</v>
      </c>
      <c r="BT53" t="str">
        <f t="shared" si="109"/>
        <v>cvege</v>
      </c>
      <c r="BU53" s="7">
        <f t="shared" si="110"/>
        <v>57.372468367395456</v>
      </c>
      <c r="BW53" s="51" t="s">
        <v>180</v>
      </c>
      <c r="BX53" s="43">
        <f t="shared" si="116"/>
        <v>0.81290826327820875</v>
      </c>
    </row>
    <row r="54" spans="1:76" x14ac:dyDescent="0.25">
      <c r="A54" t="str">
        <f t="shared" si="78"/>
        <v>fruits</v>
      </c>
      <c r="B54" t="s">
        <v>28</v>
      </c>
      <c r="C54" s="18">
        <f t="shared" si="79"/>
        <v>3.5456138876542913</v>
      </c>
      <c r="D54" s="18">
        <f t="shared" si="80"/>
        <v>4.3403048649044988</v>
      </c>
      <c r="E54" s="18">
        <f t="shared" si="81"/>
        <v>4.7319430050522753</v>
      </c>
      <c r="F54" s="18">
        <f t="shared" si="82"/>
        <v>5.0500432315488606</v>
      </c>
      <c r="G54" s="18">
        <f t="shared" si="83"/>
        <v>3.9726092043679557</v>
      </c>
      <c r="H54" s="18">
        <f t="shared" si="84"/>
        <v>3.2007439827016908</v>
      </c>
      <c r="I54" s="18">
        <f t="shared" si="85"/>
        <v>4.5114773412541709</v>
      </c>
      <c r="J54" s="18">
        <f t="shared" si="86"/>
        <v>4.7006147034120636</v>
      </c>
      <c r="K54" s="18">
        <f t="shared" si="87"/>
        <v>4.7605705567577639</v>
      </c>
      <c r="L54" s="18">
        <f t="shared" si="88"/>
        <v>3.7320537749109177</v>
      </c>
      <c r="M54" s="18">
        <f t="shared" si="89"/>
        <v>3.6078487127465113</v>
      </c>
      <c r="N54" s="18">
        <f t="shared" si="90"/>
        <v>3.374393409633079</v>
      </c>
      <c r="O54" s="18">
        <f t="shared" si="91"/>
        <v>3.7244984294907959</v>
      </c>
      <c r="P54" s="18">
        <f t="shared" si="92"/>
        <v>3.9063259488940338</v>
      </c>
      <c r="Q54" s="18">
        <f t="shared" si="93"/>
        <v>1.9022924085839177</v>
      </c>
      <c r="R54" s="18">
        <f t="shared" si="94"/>
        <v>3.3110967476376971</v>
      </c>
      <c r="T54" t="str">
        <f t="shared" si="111"/>
        <v>frui</v>
      </c>
      <c r="U54" s="18">
        <f t="shared" si="112"/>
        <v>10.424852338966506</v>
      </c>
      <c r="V54" s="18">
        <f t="shared" si="95"/>
        <v>18.903702584173875</v>
      </c>
      <c r="W54" s="18">
        <f t="shared" si="96"/>
        <v>28.276345730303635</v>
      </c>
      <c r="X54" s="18">
        <f t="shared" si="97"/>
        <v>43.39695867472625</v>
      </c>
      <c r="Y54" s="18">
        <f t="shared" si="98"/>
        <v>37.796718513235064</v>
      </c>
      <c r="Z54" s="18">
        <f t="shared" si="99"/>
        <v>1.8121218697824681</v>
      </c>
      <c r="AA54" s="18">
        <f t="shared" si="100"/>
        <v>3.8085424810609094</v>
      </c>
      <c r="AB54" s="18">
        <f t="shared" si="101"/>
        <v>4.8078007473782867</v>
      </c>
      <c r="AC54" s="18">
        <f t="shared" si="102"/>
        <v>6.2253896080293654</v>
      </c>
      <c r="AD54" s="18">
        <f t="shared" si="103"/>
        <v>6.2378777566437718</v>
      </c>
      <c r="AE54" s="18">
        <f t="shared" si="104"/>
        <v>1.0539115493959468</v>
      </c>
      <c r="AF54" s="18">
        <f t="shared" si="105"/>
        <v>2.0556156939623147</v>
      </c>
      <c r="AG54" s="18">
        <f t="shared" si="106"/>
        <v>3.8770041001458391</v>
      </c>
      <c r="AH54" s="18">
        <f t="shared" si="107"/>
        <v>8.6437639569782689</v>
      </c>
      <c r="AI54" s="18">
        <f t="shared" si="108"/>
        <v>56.366025466177739</v>
      </c>
      <c r="AJ54" s="18">
        <f t="shared" si="113"/>
        <v>233.6866310709602</v>
      </c>
      <c r="AL54" t="str">
        <f t="shared" si="114"/>
        <v>cfrui</v>
      </c>
      <c r="AM54" s="18">
        <f>_xlfn.IFNA(INDEX(SAM!$B$8:$HC$215,MATCH($AL54,SAM!$A$8:$A$215,0),MATCH(AM$48,SAM!$B$7:$HC$7,0)),0)</f>
        <v>6.5214655056339206</v>
      </c>
      <c r="AN54" s="18">
        <f>_xlfn.IFNA(INDEX(SAM!$B$8:$HC$215,MATCH($AL54,SAM!$A$8:$A$215,0),MATCH(AN$48,SAM!$B$7:$HC$7,0)),0)</f>
        <v>11.412929120343025</v>
      </c>
      <c r="AO54" s="18">
        <f>_xlfn.IFNA(INDEX(SAM!$B$8:$HC$215,MATCH($AL54,SAM!$A$8:$A$215,0),MATCH(AO$48,SAM!$B$7:$HC$7,0)),0)</f>
        <v>15.459817547994499</v>
      </c>
      <c r="AP54" s="18">
        <f>_xlfn.IFNA(INDEX(SAM!$B$8:$HC$215,MATCH($AL54,SAM!$A$8:$A$215,0),MATCH(AP$48,SAM!$B$7:$HC$7,0)),0)</f>
        <v>22.27004731303397</v>
      </c>
      <c r="AQ54" s="18">
        <f>_xlfn.IFNA(INDEX(SAM!$B$8:$HC$215,MATCH($AL54,SAM!$A$8:$A$215,0),MATCH(AQ$48,SAM!$B$7:$HC$7,0)),0)</f>
        <v>21.416681172105111</v>
      </c>
      <c r="AR54" s="18">
        <f>_xlfn.IFNA(INDEX(SAM!$B$8:$HC$215,MATCH($AL54,SAM!$A$8:$A$215,0),MATCH(AR$48,SAM!$B$7:$HC$7,0)),0)</f>
        <v>1.2379764034678573</v>
      </c>
      <c r="AS54" s="18">
        <f>_xlfn.IFNA(INDEX(SAM!$B$8:$HC$215,MATCH($AL54,SAM!$A$8:$A$215,0),MATCH(AS$48,SAM!$B$7:$HC$7,0)),0)</f>
        <v>1.8347024746882947</v>
      </c>
      <c r="AT54" s="18">
        <f>_xlfn.IFNA(INDEX(SAM!$B$8:$HC$215,MATCH($AL54,SAM!$A$8:$A$215,0),MATCH(AT$48,SAM!$B$7:$HC$7,0)),0)</f>
        <v>2.6906368884857002</v>
      </c>
      <c r="AU54" s="18">
        <f>_xlfn.IFNA(INDEX(SAM!$B$8:$HC$215,MATCH($AL54,SAM!$A$8:$A$215,0),MATCH(AU$48,SAM!$B$7:$HC$7,0)),0)</f>
        <v>3.2359640399962184</v>
      </c>
      <c r="AV54" s="18">
        <f>_xlfn.IFNA(INDEX(SAM!$B$8:$HC$215,MATCH($AL54,SAM!$A$8:$A$215,0),MATCH(AV$48,SAM!$B$7:$HC$7,0)),0)</f>
        <v>4.0304140378456514</v>
      </c>
      <c r="AW54" s="18">
        <f>_xlfn.IFNA(INDEX(SAM!$B$8:$HC$215,MATCH($AL54,SAM!$A$8:$A$215,0),MATCH(AW$48,SAM!$B$7:$HC$7,0)),0)</f>
        <v>0.95805085121914035</v>
      </c>
      <c r="AX54" s="18">
        <f>_xlfn.IFNA(INDEX(SAM!$B$8:$HC$215,MATCH($AL54,SAM!$A$8:$A$215,0),MATCH(AX$48,SAM!$B$7:$HC$7,0)),0)</f>
        <v>1.7233061678695594</v>
      </c>
      <c r="AY54" s="18">
        <f>_xlfn.IFNA(INDEX(SAM!$B$8:$HC$215,MATCH($AL54,SAM!$A$8:$A$215,0),MATCH(AY$48,SAM!$B$7:$HC$7,0)),0)</f>
        <v>2.7630629488135781</v>
      </c>
      <c r="AZ54" s="18">
        <f>_xlfn.IFNA(INDEX(SAM!$B$8:$HC$215,MATCH($AL54,SAM!$A$8:$A$215,0),MATCH(AZ$48,SAM!$B$7:$HC$7,0)),0)</f>
        <v>7.1741737204002733</v>
      </c>
      <c r="BA54" s="18">
        <f>_xlfn.IFNA(INDEX(SAM!$B$8:$HC$215,MATCH($AL54,SAM!$A$8:$A$215,0),MATCH(BA$48,SAM!$B$7:$HC$7,0)),0)</f>
        <v>51.491860125691119</v>
      </c>
      <c r="BB54" s="18"/>
      <c r="BC54" t="str">
        <f t="shared" si="115"/>
        <v>afrui</v>
      </c>
      <c r="BD54" s="18">
        <f>_xlfn.IFNA(INDEX(SAM!$B$8:$HC$215,MATCH($BC54,SAM!$A$8:$A$215,0),MATCH(BD$48,SAM!$B$7:$HC$7,0)),0)</f>
        <v>3.9033868333325854</v>
      </c>
      <c r="BE54" s="18">
        <f>_xlfn.IFNA(INDEX(SAM!$B$8:$HC$215,MATCH($BC54,SAM!$A$8:$A$215,0),MATCH(BE$48,SAM!$B$7:$HC$7,0)),0)</f>
        <v>7.490773463830851</v>
      </c>
      <c r="BF54" s="18">
        <f>_xlfn.IFNA(INDEX(SAM!$B$8:$HC$215,MATCH($BC54,SAM!$A$8:$A$215,0),MATCH(BF$48,SAM!$B$7:$HC$7,0)),0)</f>
        <v>12.816528182309137</v>
      </c>
      <c r="BG54" s="18">
        <f>_xlfn.IFNA(INDEX(SAM!$B$8:$HC$215,MATCH($BC54,SAM!$A$8:$A$215,0),MATCH(BG$48,SAM!$B$7:$HC$7,0)),0)</f>
        <v>21.126911361692279</v>
      </c>
      <c r="BH54" s="18">
        <f>_xlfn.IFNA(INDEX(SAM!$B$8:$HC$215,MATCH($BC54,SAM!$A$8:$A$215,0),MATCH(BH$48,SAM!$B$7:$HC$7,0)),0)</f>
        <v>16.380037341129952</v>
      </c>
      <c r="BI54" s="18">
        <f>_xlfn.IFNA(INDEX(SAM!$B$8:$HC$215,MATCH($BC54,SAM!$A$8:$A$215,0),MATCH(BI$48,SAM!$B$7:$HC$7,0)),0)</f>
        <v>0.57414546631461083</v>
      </c>
      <c r="BJ54" s="18">
        <f>_xlfn.IFNA(INDEX(SAM!$B$8:$HC$215,MATCH($BC54,SAM!$A$8:$A$215,0),MATCH(BJ$48,SAM!$B$7:$HC$7,0)),0)</f>
        <v>1.9738400063726145</v>
      </c>
      <c r="BK54" s="18">
        <f>_xlfn.IFNA(INDEX(SAM!$B$8:$HC$215,MATCH($BC54,SAM!$A$8:$A$215,0),MATCH(BK$48,SAM!$B$7:$HC$7,0)),0)</f>
        <v>2.1171638588925865</v>
      </c>
      <c r="BL54" s="18">
        <f>_xlfn.IFNA(INDEX(SAM!$B$8:$HC$215,MATCH($BC54,SAM!$A$8:$A$215,0),MATCH(BL$48,SAM!$B$7:$HC$7,0)),0)</f>
        <v>2.989425568033147</v>
      </c>
      <c r="BM54" s="18">
        <f>_xlfn.IFNA(INDEX(SAM!$B$8:$HC$215,MATCH($BC54,SAM!$A$8:$A$215,0),MATCH(BM$48,SAM!$B$7:$HC$7,0)),0)</f>
        <v>2.2074637187981203</v>
      </c>
      <c r="BN54" s="18">
        <f>_xlfn.IFNA(INDEX(SAM!$B$8:$HC$215,MATCH($BC54,SAM!$A$8:$A$215,0),MATCH(BN$48,SAM!$B$7:$HC$7,0)),0)</f>
        <v>9.5860698176806383E-2</v>
      </c>
      <c r="BO54" s="18">
        <f>_xlfn.IFNA(INDEX(SAM!$B$8:$HC$215,MATCH($BC54,SAM!$A$8:$A$215,0),MATCH(BO$48,SAM!$B$7:$HC$7,0)),0)</f>
        <v>0.33230952609275521</v>
      </c>
      <c r="BP54" s="18">
        <f>_xlfn.IFNA(INDEX(SAM!$B$8:$HC$215,MATCH($BC54,SAM!$A$8:$A$215,0),MATCH(BP$48,SAM!$B$7:$HC$7,0)),0)</f>
        <v>1.113941151332261</v>
      </c>
      <c r="BQ54" s="18">
        <f>_xlfn.IFNA(INDEX(SAM!$B$8:$HC$215,MATCH($BC54,SAM!$A$8:$A$215,0),MATCH(BQ$48,SAM!$B$7:$HC$7,0)),0)</f>
        <v>1.469590236577996</v>
      </c>
      <c r="BR54" s="18">
        <f>_xlfn.IFNA(INDEX(SAM!$B$8:$HC$215,MATCH($BC54,SAM!$A$8:$A$215,0),MATCH(BR$48,SAM!$B$7:$HC$7,0)),0)</f>
        <v>4.8741653404866199</v>
      </c>
      <c r="BT54" t="str">
        <f t="shared" si="109"/>
        <v>cfrui</v>
      </c>
      <c r="BU54" s="7">
        <f t="shared" si="110"/>
        <v>233.6866310709602</v>
      </c>
      <c r="BW54" s="51" t="s">
        <v>181</v>
      </c>
      <c r="BX54" s="43">
        <f t="shared" si="116"/>
        <v>3.3110967476376971</v>
      </c>
    </row>
    <row r="55" spans="1:76" x14ac:dyDescent="0.25">
      <c r="A55" s="26" t="str">
        <f t="shared" si="78"/>
        <v>fruits</v>
      </c>
      <c r="B55" s="26" t="s">
        <v>33</v>
      </c>
      <c r="C55" s="45">
        <f t="shared" si="79"/>
        <v>8.7551241387774301E-3</v>
      </c>
      <c r="D55" s="45">
        <f t="shared" si="80"/>
        <v>3.5875593535731845E-2</v>
      </c>
      <c r="E55" s="45">
        <f t="shared" si="81"/>
        <v>6.5671923004871235E-2</v>
      </c>
      <c r="F55" s="45">
        <f t="shared" si="82"/>
        <v>0.14730473654659951</v>
      </c>
      <c r="G55" s="45">
        <f t="shared" si="83"/>
        <v>0.30429499118118269</v>
      </c>
      <c r="H55" s="45">
        <f t="shared" si="84"/>
        <v>0</v>
      </c>
      <c r="I55" s="45">
        <f t="shared" si="85"/>
        <v>2.4940039519989948E-2</v>
      </c>
      <c r="J55" s="45">
        <f t="shared" si="86"/>
        <v>2.7290115512068995E-2</v>
      </c>
      <c r="K55" s="45">
        <f t="shared" si="87"/>
        <v>7.2617653905097709E-2</v>
      </c>
      <c r="L55" s="45">
        <f t="shared" si="88"/>
        <v>0.63695557139290226</v>
      </c>
      <c r="M55" s="45">
        <f t="shared" si="89"/>
        <v>5.8086973131247513E-2</v>
      </c>
      <c r="N55" s="45">
        <f t="shared" si="90"/>
        <v>5.135815753263618E-2</v>
      </c>
      <c r="O55" s="45">
        <f t="shared" si="91"/>
        <v>0.20029385114909606</v>
      </c>
      <c r="P55" s="45">
        <f t="shared" si="92"/>
        <v>0.33939506678507209</v>
      </c>
      <c r="Q55" s="45">
        <f t="shared" si="93"/>
        <v>1.2524566583727825</v>
      </c>
      <c r="R55" s="45">
        <f t="shared" si="94"/>
        <v>0.62432348656900072</v>
      </c>
      <c r="S55" s="26"/>
      <c r="T55" s="26" t="str">
        <f t="shared" si="111"/>
        <v>fveg</v>
      </c>
      <c r="U55" s="45">
        <f t="shared" si="112"/>
        <v>2.5741910779929579E-2</v>
      </c>
      <c r="V55" s="45">
        <f t="shared" si="95"/>
        <v>0.15625205402365391</v>
      </c>
      <c r="W55" s="45">
        <f t="shared" si="96"/>
        <v>0.3924311847536941</v>
      </c>
      <c r="X55" s="45">
        <f t="shared" si="97"/>
        <v>1.2658461069339393</v>
      </c>
      <c r="Y55" s="45">
        <f t="shared" si="98"/>
        <v>2.8951632378076764</v>
      </c>
      <c r="Z55" s="45">
        <f t="shared" si="99"/>
        <v>0</v>
      </c>
      <c r="AA55" s="45">
        <f t="shared" si="100"/>
        <v>2.1054123251966542E-2</v>
      </c>
      <c r="AB55" s="45">
        <f t="shared" si="101"/>
        <v>2.7912399980310278E-2</v>
      </c>
      <c r="AC55" s="45">
        <f t="shared" si="102"/>
        <v>9.4961976214917698E-2</v>
      </c>
      <c r="AD55" s="45">
        <f t="shared" si="103"/>
        <v>1.0646285478180035</v>
      </c>
      <c r="AE55" s="45">
        <f t="shared" si="104"/>
        <v>1.696815380206743E-2</v>
      </c>
      <c r="AF55" s="45">
        <f t="shared" si="105"/>
        <v>3.1286403753543204E-2</v>
      </c>
      <c r="AG55" s="45">
        <f t="shared" si="106"/>
        <v>0.20849520998327081</v>
      </c>
      <c r="AH55" s="45">
        <f t="shared" si="107"/>
        <v>0.75100001480511858</v>
      </c>
      <c r="AI55" s="45">
        <f t="shared" si="108"/>
        <v>37.111015941905791</v>
      </c>
      <c r="AJ55" s="45">
        <f t="shared" si="113"/>
        <v>44.062757265813879</v>
      </c>
      <c r="AK55" s="26"/>
      <c r="AL55" s="26" t="str">
        <f t="shared" si="114"/>
        <v>cfveg</v>
      </c>
      <c r="AM55" s="45">
        <f>_xlfn.IFNA(INDEX(SAM!$B$8:$HC$215,MATCH($AL55,SAM!$A$8:$A$215,0),MATCH(AM$48,SAM!$B$7:$HC$7,0)),0)</f>
        <v>2.5741910779929579E-2</v>
      </c>
      <c r="AN55" s="45">
        <f>_xlfn.IFNA(INDEX(SAM!$B$8:$HC$215,MATCH($AL55,SAM!$A$8:$A$215,0),MATCH(AN$48,SAM!$B$7:$HC$7,0)),0)</f>
        <v>0.15625205402365391</v>
      </c>
      <c r="AO55" s="45">
        <f>_xlfn.IFNA(INDEX(SAM!$B$8:$HC$215,MATCH($AL55,SAM!$A$8:$A$215,0),MATCH(AO$48,SAM!$B$7:$HC$7,0)),0)</f>
        <v>0.3924311847536941</v>
      </c>
      <c r="AP55" s="45">
        <f>_xlfn.IFNA(INDEX(SAM!$B$8:$HC$215,MATCH($AL55,SAM!$A$8:$A$215,0),MATCH(AP$48,SAM!$B$7:$HC$7,0)),0)</f>
        <v>1.2658461069339393</v>
      </c>
      <c r="AQ55" s="45">
        <f>_xlfn.IFNA(INDEX(SAM!$B$8:$HC$215,MATCH($AL55,SAM!$A$8:$A$215,0),MATCH(AQ$48,SAM!$B$7:$HC$7,0)),0)</f>
        <v>2.8951632378076764</v>
      </c>
      <c r="AR55" s="45">
        <f>_xlfn.IFNA(INDEX(SAM!$B$8:$HC$215,MATCH($AL55,SAM!$A$8:$A$215,0),MATCH(AR$48,SAM!$B$7:$HC$7,0)),0)</f>
        <v>0</v>
      </c>
      <c r="AS55" s="45">
        <f>_xlfn.IFNA(INDEX(SAM!$B$8:$HC$215,MATCH($AL55,SAM!$A$8:$A$215,0),MATCH(AS$48,SAM!$B$7:$HC$7,0)),0)</f>
        <v>2.1054123251966542E-2</v>
      </c>
      <c r="AT55" s="45">
        <f>_xlfn.IFNA(INDEX(SAM!$B$8:$HC$215,MATCH($AL55,SAM!$A$8:$A$215,0),MATCH(AT$48,SAM!$B$7:$HC$7,0)),0)</f>
        <v>2.7912399980310278E-2</v>
      </c>
      <c r="AU55" s="45">
        <f>_xlfn.IFNA(INDEX(SAM!$B$8:$HC$215,MATCH($AL55,SAM!$A$8:$A$215,0),MATCH(AU$48,SAM!$B$7:$HC$7,0)),0)</f>
        <v>9.4961976214917698E-2</v>
      </c>
      <c r="AV55" s="45">
        <f>_xlfn.IFNA(INDEX(SAM!$B$8:$HC$215,MATCH($AL55,SAM!$A$8:$A$215,0),MATCH(AV$48,SAM!$B$7:$HC$7,0)),0)</f>
        <v>1.0646285478180035</v>
      </c>
      <c r="AW55" s="45">
        <f>_xlfn.IFNA(INDEX(SAM!$B$8:$HC$215,MATCH($AL55,SAM!$A$8:$A$215,0),MATCH(AW$48,SAM!$B$7:$HC$7,0)),0)</f>
        <v>1.696815380206743E-2</v>
      </c>
      <c r="AX55" s="45">
        <f>_xlfn.IFNA(INDEX(SAM!$B$8:$HC$215,MATCH($AL55,SAM!$A$8:$A$215,0),MATCH(AX$48,SAM!$B$7:$HC$7,0)),0)</f>
        <v>3.1286403753543204E-2</v>
      </c>
      <c r="AY55" s="45">
        <f>_xlfn.IFNA(INDEX(SAM!$B$8:$HC$215,MATCH($AL55,SAM!$A$8:$A$215,0),MATCH(AY$48,SAM!$B$7:$HC$7,0)),0)</f>
        <v>0.20849520998327081</v>
      </c>
      <c r="AZ55" s="45">
        <f>_xlfn.IFNA(INDEX(SAM!$B$8:$HC$215,MATCH($AL55,SAM!$A$8:$A$215,0),MATCH(AZ$48,SAM!$B$7:$HC$7,0)),0)</f>
        <v>0.75100001480511858</v>
      </c>
      <c r="BA55" s="45">
        <f>_xlfn.IFNA(INDEX(SAM!$B$8:$HC$215,MATCH($AL55,SAM!$A$8:$A$215,0),MATCH(BA$48,SAM!$B$7:$HC$7,0)),0)</f>
        <v>37.111015941905791</v>
      </c>
      <c r="BB55" s="45"/>
      <c r="BC55" s="26" t="str">
        <f t="shared" si="115"/>
        <v>afveg</v>
      </c>
      <c r="BD55" s="45">
        <f>_xlfn.IFNA(INDEX(SAM!$B$8:$HC$215,MATCH($BC55,SAM!$A$8:$A$215,0),MATCH(BD$48,SAM!$B$7:$HC$7,0)),0)</f>
        <v>0</v>
      </c>
      <c r="BE55" s="45">
        <f>_xlfn.IFNA(INDEX(SAM!$B$8:$HC$215,MATCH($BC55,SAM!$A$8:$A$215,0),MATCH(BE$48,SAM!$B$7:$HC$7,0)),0)</f>
        <v>0</v>
      </c>
      <c r="BF55" s="45">
        <f>_xlfn.IFNA(INDEX(SAM!$B$8:$HC$215,MATCH($BC55,SAM!$A$8:$A$215,0),MATCH(BF$48,SAM!$B$7:$HC$7,0)),0)</f>
        <v>0</v>
      </c>
      <c r="BG55" s="45">
        <f>_xlfn.IFNA(INDEX(SAM!$B$8:$HC$215,MATCH($BC55,SAM!$A$8:$A$215,0),MATCH(BG$48,SAM!$B$7:$HC$7,0)),0)</f>
        <v>0</v>
      </c>
      <c r="BH55" s="45">
        <f>_xlfn.IFNA(INDEX(SAM!$B$8:$HC$215,MATCH($BC55,SAM!$A$8:$A$215,0),MATCH(BH$48,SAM!$B$7:$HC$7,0)),0)</f>
        <v>0</v>
      </c>
      <c r="BI55" s="45">
        <f>_xlfn.IFNA(INDEX(SAM!$B$8:$HC$215,MATCH($BC55,SAM!$A$8:$A$215,0),MATCH(BI$48,SAM!$B$7:$HC$7,0)),0)</f>
        <v>0</v>
      </c>
      <c r="BJ55" s="45">
        <f>_xlfn.IFNA(INDEX(SAM!$B$8:$HC$215,MATCH($BC55,SAM!$A$8:$A$215,0),MATCH(BJ$48,SAM!$B$7:$HC$7,0)),0)</f>
        <v>0</v>
      </c>
      <c r="BK55" s="45">
        <f>_xlfn.IFNA(INDEX(SAM!$B$8:$HC$215,MATCH($BC55,SAM!$A$8:$A$215,0),MATCH(BK$48,SAM!$B$7:$HC$7,0)),0)</f>
        <v>0</v>
      </c>
      <c r="BL55" s="45">
        <f>_xlfn.IFNA(INDEX(SAM!$B$8:$HC$215,MATCH($BC55,SAM!$A$8:$A$215,0),MATCH(BL$48,SAM!$B$7:$HC$7,0)),0)</f>
        <v>0</v>
      </c>
      <c r="BM55" s="45">
        <f>_xlfn.IFNA(INDEX(SAM!$B$8:$HC$215,MATCH($BC55,SAM!$A$8:$A$215,0),MATCH(BM$48,SAM!$B$7:$HC$7,0)),0)</f>
        <v>0</v>
      </c>
      <c r="BN55" s="45">
        <f>_xlfn.IFNA(INDEX(SAM!$B$8:$HC$215,MATCH($BC55,SAM!$A$8:$A$215,0),MATCH(BN$48,SAM!$B$7:$HC$7,0)),0)</f>
        <v>0</v>
      </c>
      <c r="BO55" s="45">
        <f>_xlfn.IFNA(INDEX(SAM!$B$8:$HC$215,MATCH($BC55,SAM!$A$8:$A$215,0),MATCH(BO$48,SAM!$B$7:$HC$7,0)),0)</f>
        <v>0</v>
      </c>
      <c r="BP55" s="45">
        <f>_xlfn.IFNA(INDEX(SAM!$B$8:$HC$215,MATCH($BC55,SAM!$A$8:$A$215,0),MATCH(BP$48,SAM!$B$7:$HC$7,0)),0)</f>
        <v>0</v>
      </c>
      <c r="BQ55" s="45">
        <f>_xlfn.IFNA(INDEX(SAM!$B$8:$HC$215,MATCH($BC55,SAM!$A$8:$A$215,0),MATCH(BQ$48,SAM!$B$7:$HC$7,0)),0)</f>
        <v>0</v>
      </c>
      <c r="BR55" s="45">
        <f>_xlfn.IFNA(INDEX(SAM!$B$8:$HC$215,MATCH($BC55,SAM!$A$8:$A$215,0),MATCH(BR$48,SAM!$B$7:$HC$7,0)),0)</f>
        <v>0</v>
      </c>
      <c r="BT55" t="str">
        <f t="shared" si="109"/>
        <v>cfveg</v>
      </c>
      <c r="BU55" s="7">
        <f t="shared" si="110"/>
        <v>44.062757265813879</v>
      </c>
      <c r="BW55" s="51" t="s">
        <v>717</v>
      </c>
      <c r="BX55" s="43">
        <f t="shared" si="116"/>
        <v>3.5729883198296689E-2</v>
      </c>
    </row>
    <row r="56" spans="1:76" x14ac:dyDescent="0.25">
      <c r="A56" t="s">
        <v>621</v>
      </c>
      <c r="B56" t="s">
        <v>700</v>
      </c>
      <c r="C56" s="18">
        <f t="shared" si="79"/>
        <v>0.83751432188223807</v>
      </c>
      <c r="D56" s="18">
        <f t="shared" si="80"/>
        <v>1.0164965528365433</v>
      </c>
      <c r="E56" s="18">
        <f t="shared" si="81"/>
        <v>1.1989012209676577</v>
      </c>
      <c r="F56" s="18">
        <f t="shared" si="82"/>
        <v>1.3989648350042359</v>
      </c>
      <c r="G56" s="18">
        <f t="shared" si="83"/>
        <v>1.8208974013338597</v>
      </c>
      <c r="H56" s="18">
        <f t="shared" si="84"/>
        <v>1.6375455900079834</v>
      </c>
      <c r="I56" s="18">
        <f t="shared" si="85"/>
        <v>0.878293458673023</v>
      </c>
      <c r="J56" s="18">
        <f t="shared" si="86"/>
        <v>1.5536256410417293</v>
      </c>
      <c r="K56" s="18">
        <f t="shared" si="87"/>
        <v>1.5853737993551802</v>
      </c>
      <c r="L56" s="18">
        <f t="shared" si="88"/>
        <v>2.3285260524793565</v>
      </c>
      <c r="M56" s="18">
        <f t="shared" si="89"/>
        <v>0.67844252571032249</v>
      </c>
      <c r="N56" s="18">
        <f t="shared" si="90"/>
        <v>0.74432923586793254</v>
      </c>
      <c r="O56" s="18">
        <f t="shared" si="91"/>
        <v>1.0589747477143954</v>
      </c>
      <c r="P56" s="18">
        <f t="shared" si="92"/>
        <v>0.78615620724535762</v>
      </c>
      <c r="Q56" s="18">
        <f t="shared" si="93"/>
        <v>0.8138014884489313</v>
      </c>
      <c r="R56" s="18">
        <f t="shared" si="94"/>
        <v>1.1367766446631005</v>
      </c>
      <c r="T56" t="str">
        <f t="shared" si="111"/>
        <v>live</v>
      </c>
      <c r="U56" s="18">
        <f t="shared" si="112"/>
        <v>2.4624686765225392</v>
      </c>
      <c r="V56" s="18">
        <f t="shared" si="95"/>
        <v>4.4272347475026521</v>
      </c>
      <c r="W56" s="18">
        <f t="shared" si="96"/>
        <v>7.1641914081317495</v>
      </c>
      <c r="X56" s="18">
        <f t="shared" si="97"/>
        <v>12.021841467177676</v>
      </c>
      <c r="Y56" s="18">
        <f t="shared" si="98"/>
        <v>17.324620414216415</v>
      </c>
      <c r="Z56" s="18">
        <f t="shared" si="99"/>
        <v>0.92710700776340926</v>
      </c>
      <c r="AA56" s="18">
        <f t="shared" si="100"/>
        <v>0.74144624812949234</v>
      </c>
      <c r="AB56" s="18">
        <f t="shared" si="101"/>
        <v>1.5890522813377044</v>
      </c>
      <c r="AC56" s="18">
        <f t="shared" si="102"/>
        <v>2.0731904837199902</v>
      </c>
      <c r="AD56" s="18">
        <f t="shared" si="103"/>
        <v>3.8919752352371213</v>
      </c>
      <c r="AE56" s="18">
        <f t="shared" si="104"/>
        <v>0.19818414528339534</v>
      </c>
      <c r="AF56" s="18">
        <f t="shared" si="105"/>
        <v>0.45343108315620884</v>
      </c>
      <c r="AG56" s="18">
        <f t="shared" si="106"/>
        <v>1.1023361981658641</v>
      </c>
      <c r="AH56" s="18">
        <f t="shared" si="107"/>
        <v>1.7395754418972824</v>
      </c>
      <c r="AI56" s="18">
        <f t="shared" si="108"/>
        <v>24.11340928205269</v>
      </c>
      <c r="AJ56" s="18">
        <f t="shared" si="113"/>
        <v>80.230064120294188</v>
      </c>
      <c r="AL56" t="str">
        <f t="shared" si="114"/>
        <v>clive</v>
      </c>
      <c r="AM56" s="18">
        <f>_xlfn.IFNA(INDEX(SAM!$B$8:$HC$215,MATCH($AL56,SAM!$A$8:$A$215,0),MATCH(AM$48,SAM!$B$7:$HC$7,0)),0)</f>
        <v>1.9960694654749644</v>
      </c>
      <c r="AN56" s="18">
        <f>_xlfn.IFNA(INDEX(SAM!$B$8:$HC$215,MATCH($AL56,SAM!$A$8:$A$215,0),MATCH(AN$48,SAM!$B$7:$HC$7,0)),0)</f>
        <v>3.4673568679174536</v>
      </c>
      <c r="AO56" s="18">
        <f>_xlfn.IFNA(INDEX(SAM!$B$8:$HC$215,MATCH($AL56,SAM!$A$8:$A$215,0),MATCH(AO$48,SAM!$B$7:$HC$7,0)),0)</f>
        <v>5.5825009816840865</v>
      </c>
      <c r="AP56" s="18">
        <f>_xlfn.IFNA(INDEX(SAM!$B$8:$HC$215,MATCH($AL56,SAM!$A$8:$A$215,0),MATCH(AP$48,SAM!$B$7:$HC$7,0)),0)</f>
        <v>9.3557917568489906</v>
      </c>
      <c r="AQ56" s="18">
        <f>_xlfn.IFNA(INDEX(SAM!$B$8:$HC$215,MATCH($AL56,SAM!$A$8:$A$215,0),MATCH(AQ$48,SAM!$B$7:$HC$7,0)),0)</f>
        <v>12.9595049448004</v>
      </c>
      <c r="AR56" s="18">
        <f>_xlfn.IFNA(INDEX(SAM!$B$8:$HC$215,MATCH($AL56,SAM!$A$8:$A$215,0),MATCH(AR$48,SAM!$B$7:$HC$7,0)),0)</f>
        <v>0.83700206180969183</v>
      </c>
      <c r="AS56" s="18">
        <f>_xlfn.IFNA(INDEX(SAM!$B$8:$HC$215,MATCH($AL56,SAM!$A$8:$A$215,0),MATCH(AS$48,SAM!$B$7:$HC$7,0)),0)</f>
        <v>0.57468904735374271</v>
      </c>
      <c r="AT56" s="18">
        <f>_xlfn.IFNA(INDEX(SAM!$B$8:$HC$215,MATCH($AL56,SAM!$A$8:$A$215,0),MATCH(AT$48,SAM!$B$7:$HC$7,0)),0)</f>
        <v>1.3252963970666096</v>
      </c>
      <c r="AU56" s="18">
        <f>_xlfn.IFNA(INDEX(SAM!$B$8:$HC$215,MATCH($AL56,SAM!$A$8:$A$215,0),MATCH(AU$48,SAM!$B$7:$HC$7,0)),0)</f>
        <v>1.5138392001712904</v>
      </c>
      <c r="AV56" s="18">
        <f>_xlfn.IFNA(INDEX(SAM!$B$8:$HC$215,MATCH($AL56,SAM!$A$8:$A$215,0),MATCH(AV$48,SAM!$B$7:$HC$7,0)),0)</f>
        <v>3.1937490705463278</v>
      </c>
      <c r="AW56" s="18">
        <f>_xlfn.IFNA(INDEX(SAM!$B$8:$HC$215,MATCH($AL56,SAM!$A$8:$A$215,0),MATCH(AW$48,SAM!$B$7:$HC$7,0)),0)</f>
        <v>0.182978177125597</v>
      </c>
      <c r="AX56" s="18">
        <f>_xlfn.IFNA(INDEX(SAM!$B$8:$HC$215,MATCH($AL56,SAM!$A$8:$A$215,0),MATCH(AX$48,SAM!$B$7:$HC$7,0)),0)</f>
        <v>0.40042751900482998</v>
      </c>
      <c r="AY56" s="18">
        <f>_xlfn.IFNA(INDEX(SAM!$B$8:$HC$215,MATCH($AL56,SAM!$A$8:$A$215,0),MATCH(AY$48,SAM!$B$7:$HC$7,0)),0)</f>
        <v>1.063510734970802</v>
      </c>
      <c r="AZ56" s="18">
        <f>_xlfn.IFNA(INDEX(SAM!$B$8:$HC$215,MATCH($AL56,SAM!$A$8:$A$215,0),MATCH(AZ$48,SAM!$B$7:$HC$7,0)),0)</f>
        <v>1.6674503450461438</v>
      </c>
      <c r="BA56" s="18">
        <f>_xlfn.IFNA(INDEX(SAM!$B$8:$HC$215,MATCH($AL56,SAM!$A$8:$A$215,0),MATCH(BA$48,SAM!$B$7:$HC$7,0)),0)</f>
        <v>20.021666226474125</v>
      </c>
      <c r="BB56" s="18"/>
      <c r="BC56" t="str">
        <f t="shared" si="115"/>
        <v>alive</v>
      </c>
      <c r="BD56" s="18">
        <f>_xlfn.IFNA(INDEX(SAM!$B$8:$HC$215,MATCH($BC56,SAM!$A$8:$A$215,0),MATCH(BD$48,SAM!$B$7:$HC$7,0)),0)</f>
        <v>0.4663992110475747</v>
      </c>
      <c r="BE56" s="18">
        <f>_xlfn.IFNA(INDEX(SAM!$B$8:$HC$215,MATCH($BC56,SAM!$A$8:$A$215,0),MATCH(BE$48,SAM!$B$7:$HC$7,0)),0)</f>
        <v>0.95987787958519855</v>
      </c>
      <c r="BF56" s="18">
        <f>_xlfn.IFNA(INDEX(SAM!$B$8:$HC$215,MATCH($BC56,SAM!$A$8:$A$215,0),MATCH(BF$48,SAM!$B$7:$HC$7,0)),0)</f>
        <v>1.5816904264476634</v>
      </c>
      <c r="BG56" s="18">
        <f>_xlfn.IFNA(INDEX(SAM!$B$8:$HC$215,MATCH($BC56,SAM!$A$8:$A$215,0),MATCH(BG$48,SAM!$B$7:$HC$7,0)),0)</f>
        <v>2.6660497103286867</v>
      </c>
      <c r="BH56" s="18">
        <f>_xlfn.IFNA(INDEX(SAM!$B$8:$HC$215,MATCH($BC56,SAM!$A$8:$A$215,0),MATCH(BH$48,SAM!$B$7:$HC$7,0)),0)</f>
        <v>4.3651154694160157</v>
      </c>
      <c r="BI56" s="18">
        <f>_xlfn.IFNA(INDEX(SAM!$B$8:$HC$215,MATCH($BC56,SAM!$A$8:$A$215,0),MATCH(BI$48,SAM!$B$7:$HC$7,0)),0)</f>
        <v>9.0104945953717416E-2</v>
      </c>
      <c r="BJ56" s="18">
        <f>_xlfn.IFNA(INDEX(SAM!$B$8:$HC$215,MATCH($BC56,SAM!$A$8:$A$215,0),MATCH(BJ$48,SAM!$B$7:$HC$7,0)),0)</f>
        <v>0.16675720077574965</v>
      </c>
      <c r="BK56" s="18">
        <f>_xlfn.IFNA(INDEX(SAM!$B$8:$HC$215,MATCH($BC56,SAM!$A$8:$A$215,0),MATCH(BK$48,SAM!$B$7:$HC$7,0)),0)</f>
        <v>0.2637558842710947</v>
      </c>
      <c r="BL56" s="18">
        <f>_xlfn.IFNA(INDEX(SAM!$B$8:$HC$215,MATCH($BC56,SAM!$A$8:$A$215,0),MATCH(BL$48,SAM!$B$7:$HC$7,0)),0)</f>
        <v>0.55935128354869978</v>
      </c>
      <c r="BM56" s="18">
        <f>_xlfn.IFNA(INDEX(SAM!$B$8:$HC$215,MATCH($BC56,SAM!$A$8:$A$215,0),MATCH(BM$48,SAM!$B$7:$HC$7,0)),0)</f>
        <v>0.69822616469079335</v>
      </c>
      <c r="BN56" s="18">
        <f>_xlfn.IFNA(INDEX(SAM!$B$8:$HC$215,MATCH($BC56,SAM!$A$8:$A$215,0),MATCH(BN$48,SAM!$B$7:$HC$7,0)),0)</f>
        <v>1.520596815779833E-2</v>
      </c>
      <c r="BO56" s="18">
        <f>_xlfn.IFNA(INDEX(SAM!$B$8:$HC$215,MATCH($BC56,SAM!$A$8:$A$215,0),MATCH(BO$48,SAM!$B$7:$HC$7,0)),0)</f>
        <v>5.3003564151378836E-2</v>
      </c>
      <c r="BP56" s="18">
        <f>_xlfn.IFNA(INDEX(SAM!$B$8:$HC$215,MATCH($BC56,SAM!$A$8:$A$215,0),MATCH(BP$48,SAM!$B$7:$HC$7,0)),0)</f>
        <v>3.88254631950622E-2</v>
      </c>
      <c r="BQ56" s="18">
        <f>_xlfn.IFNA(INDEX(SAM!$B$8:$HC$215,MATCH($BC56,SAM!$A$8:$A$215,0),MATCH(BQ$48,SAM!$B$7:$HC$7,0)),0)</f>
        <v>7.2125096851138659E-2</v>
      </c>
      <c r="BR56" s="18">
        <f>_xlfn.IFNA(INDEX(SAM!$B$8:$HC$215,MATCH($BC56,SAM!$A$8:$A$215,0),MATCH(BR$48,SAM!$B$7:$HC$7,0)),0)</f>
        <v>4.0917430555785659</v>
      </c>
      <c r="BT56" t="str">
        <f t="shared" si="109"/>
        <v>clive</v>
      </c>
      <c r="BU56" s="7">
        <f t="shared" si="110"/>
        <v>80.230064120294202</v>
      </c>
      <c r="BW56" s="51" t="s">
        <v>182</v>
      </c>
      <c r="BX56" s="43">
        <f t="shared" si="116"/>
        <v>4.4475773541076964E-2</v>
      </c>
    </row>
    <row r="57" spans="1:76" x14ac:dyDescent="0.25">
      <c r="A57" t="str">
        <f t="shared" ref="A57:A63" si="117">HLOOKUP(B57,$B$6:$BR$9,4,FALSE)</f>
        <v>fish-meat-egg</v>
      </c>
      <c r="B57" t="s">
        <v>31</v>
      </c>
      <c r="C57" s="18">
        <f t="shared" si="79"/>
        <v>0.50063824497876308</v>
      </c>
      <c r="D57" s="18">
        <f t="shared" si="80"/>
        <v>0.4153736119950347</v>
      </c>
      <c r="E57" s="18">
        <f t="shared" si="81"/>
        <v>0.50416109274154541</v>
      </c>
      <c r="F57" s="18">
        <f t="shared" si="82"/>
        <v>0.57579171369899496</v>
      </c>
      <c r="G57" s="18">
        <f t="shared" si="83"/>
        <v>0.61501762859126186</v>
      </c>
      <c r="H57" s="18">
        <f t="shared" si="84"/>
        <v>0.27777867216412616</v>
      </c>
      <c r="I57" s="18">
        <f t="shared" si="85"/>
        <v>0.36254324480026867</v>
      </c>
      <c r="J57" s="18">
        <f t="shared" si="86"/>
        <v>0.37782719359903905</v>
      </c>
      <c r="K57" s="18">
        <f t="shared" si="87"/>
        <v>0.49061165756980185</v>
      </c>
      <c r="L57" s="18">
        <f t="shared" si="88"/>
        <v>0.45226237367782263</v>
      </c>
      <c r="M57" s="18">
        <f t="shared" si="89"/>
        <v>0.17104887190672743</v>
      </c>
      <c r="N57" s="18">
        <f t="shared" si="90"/>
        <v>0.38548537504592711</v>
      </c>
      <c r="O57" s="18">
        <f t="shared" si="91"/>
        <v>0.38317392579724174</v>
      </c>
      <c r="P57" s="18">
        <f t="shared" si="92"/>
        <v>0.70661302931593506</v>
      </c>
      <c r="Q57" s="18">
        <f t="shared" si="93"/>
        <v>0.51398652565885583</v>
      </c>
      <c r="R57" s="18">
        <f t="shared" si="94"/>
        <v>0.52166517392530254</v>
      </c>
      <c r="T57" t="str">
        <f t="shared" si="111"/>
        <v>fish</v>
      </c>
      <c r="U57" s="18">
        <f t="shared" si="112"/>
        <v>1.4719819880319194</v>
      </c>
      <c r="V57" s="18">
        <f t="shared" si="95"/>
        <v>1.8091123704143182</v>
      </c>
      <c r="W57" s="18">
        <f t="shared" si="96"/>
        <v>3.0126806994308093</v>
      </c>
      <c r="X57" s="18">
        <f t="shared" si="97"/>
        <v>4.9479990683131891</v>
      </c>
      <c r="Y57" s="18">
        <f t="shared" si="98"/>
        <v>5.8514812287557163</v>
      </c>
      <c r="Z57" s="18">
        <f t="shared" si="99"/>
        <v>0.15726618858246294</v>
      </c>
      <c r="AA57" s="18">
        <f t="shared" si="100"/>
        <v>0.30605525520818466</v>
      </c>
      <c r="AB57" s="18">
        <f t="shared" si="101"/>
        <v>0.38644262046126299</v>
      </c>
      <c r="AC57" s="18">
        <f t="shared" si="102"/>
        <v>0.64157198768486146</v>
      </c>
      <c r="AD57" s="18">
        <f t="shared" si="103"/>
        <v>0.75592624626614413</v>
      </c>
      <c r="AE57" s="18">
        <f t="shared" si="104"/>
        <v>4.9966169860935022E-2</v>
      </c>
      <c r="AF57" s="18">
        <f t="shared" si="105"/>
        <v>0.23483029111994408</v>
      </c>
      <c r="AG57" s="18">
        <f t="shared" si="106"/>
        <v>0.39886360794840947</v>
      </c>
      <c r="AH57" s="18">
        <f t="shared" si="107"/>
        <v>1.5635654357162794</v>
      </c>
      <c r="AI57" s="18">
        <f t="shared" si="108"/>
        <v>15.2297183460485</v>
      </c>
      <c r="AJ57" s="18">
        <f t="shared" si="113"/>
        <v>36.817461503842935</v>
      </c>
      <c r="AL57" t="str">
        <f t="shared" si="114"/>
        <v>cfish</v>
      </c>
      <c r="AM57" s="18">
        <f>_xlfn.IFNA(INDEX(SAM!$B$8:$HC$215,MATCH($AL57,SAM!$A$8:$A$215,0),MATCH(AM$48,SAM!$B$7:$HC$7,0)),0)</f>
        <v>1.3576105559213587</v>
      </c>
      <c r="AN57" s="18">
        <f>_xlfn.IFNA(INDEX(SAM!$B$8:$HC$215,MATCH($AL57,SAM!$A$8:$A$215,0),MATCH(AN$48,SAM!$B$7:$HC$7,0)),0)</f>
        <v>1.5253723350116728</v>
      </c>
      <c r="AO57" s="18">
        <f>_xlfn.IFNA(INDEX(SAM!$B$8:$HC$215,MATCH($AL57,SAM!$A$8:$A$215,0),MATCH(AO$48,SAM!$B$7:$HC$7,0)),0)</f>
        <v>2.5341818565109606</v>
      </c>
      <c r="AP57" s="18">
        <f>_xlfn.IFNA(INDEX(SAM!$B$8:$HC$215,MATCH($AL57,SAM!$A$8:$A$215,0),MATCH(AP$48,SAM!$B$7:$HC$7,0)),0)</f>
        <v>4.626403822017247</v>
      </c>
      <c r="AQ57" s="18">
        <f>_xlfn.IFNA(INDEX(SAM!$B$8:$HC$215,MATCH($AL57,SAM!$A$8:$A$215,0),MATCH(AQ$48,SAM!$B$7:$HC$7,0)),0)</f>
        <v>5.4175748234509431</v>
      </c>
      <c r="AR57" s="18">
        <f>_xlfn.IFNA(INDEX(SAM!$B$8:$HC$215,MATCH($AL57,SAM!$A$8:$A$215,0),MATCH(AR$48,SAM!$B$7:$HC$7,0)),0)</f>
        <v>0.15535855604766746</v>
      </c>
      <c r="AS57" s="18">
        <f>_xlfn.IFNA(INDEX(SAM!$B$8:$HC$215,MATCH($AL57,SAM!$A$8:$A$215,0),MATCH(AS$48,SAM!$B$7:$HC$7,0)),0)</f>
        <v>0.29583384393665801</v>
      </c>
      <c r="AT57" s="18">
        <f>_xlfn.IFNA(INDEX(SAM!$B$8:$HC$215,MATCH($AL57,SAM!$A$8:$A$215,0),MATCH(AT$48,SAM!$B$7:$HC$7,0)),0)</f>
        <v>0.34684633329150583</v>
      </c>
      <c r="AU57" s="18">
        <f>_xlfn.IFNA(INDEX(SAM!$B$8:$HC$215,MATCH($AL57,SAM!$A$8:$A$215,0),MATCH(AU$48,SAM!$B$7:$HC$7,0)),0)</f>
        <v>0.62496685636722993</v>
      </c>
      <c r="AV57" s="18">
        <f>_xlfn.IFNA(INDEX(SAM!$B$8:$HC$215,MATCH($AL57,SAM!$A$8:$A$215,0),MATCH(AV$48,SAM!$B$7:$HC$7,0)),0)</f>
        <v>0.75592624626614413</v>
      </c>
      <c r="AW57" s="18">
        <f>_xlfn.IFNA(INDEX(SAM!$B$8:$HC$215,MATCH($AL57,SAM!$A$8:$A$215,0),MATCH(AW$48,SAM!$B$7:$HC$7,0)),0)</f>
        <v>4.9966169860935022E-2</v>
      </c>
      <c r="AX57" s="18">
        <f>_xlfn.IFNA(INDEX(SAM!$B$8:$HC$215,MATCH($AL57,SAM!$A$8:$A$215,0),MATCH(AX$48,SAM!$B$7:$HC$7,0)),0)</f>
        <v>0.23483029111994408</v>
      </c>
      <c r="AY57" s="18">
        <f>_xlfn.IFNA(INDEX(SAM!$B$8:$HC$215,MATCH($AL57,SAM!$A$8:$A$215,0),MATCH(AY$48,SAM!$B$7:$HC$7,0)),0)</f>
        <v>0.39886360794840947</v>
      </c>
      <c r="AZ57" s="18">
        <f>_xlfn.IFNA(INDEX(SAM!$B$8:$HC$215,MATCH($AL57,SAM!$A$8:$A$215,0),MATCH(AZ$48,SAM!$B$7:$HC$7,0)),0)</f>
        <v>1.5635654357162794</v>
      </c>
      <c r="BA57" s="18">
        <f>_xlfn.IFNA(INDEX(SAM!$B$8:$HC$215,MATCH($AL57,SAM!$A$8:$A$215,0),MATCH(BA$48,SAM!$B$7:$HC$7,0)),0)</f>
        <v>15.2297183460485</v>
      </c>
      <c r="BB57" s="18"/>
      <c r="BC57" t="str">
        <f t="shared" si="115"/>
        <v>afish</v>
      </c>
      <c r="BD57" s="18">
        <f>_xlfn.IFNA(INDEX(SAM!$B$8:$HC$215,MATCH($BC57,SAM!$A$8:$A$215,0),MATCH(BD$48,SAM!$B$7:$HC$7,0)),0)</f>
        <v>0.11437143211056069</v>
      </c>
      <c r="BE57" s="18">
        <f>_xlfn.IFNA(INDEX(SAM!$B$8:$HC$215,MATCH($BC57,SAM!$A$8:$A$215,0),MATCH(BE$48,SAM!$B$7:$HC$7,0)),0)</f>
        <v>0.28374003540264547</v>
      </c>
      <c r="BF57" s="18">
        <f>_xlfn.IFNA(INDEX(SAM!$B$8:$HC$215,MATCH($BC57,SAM!$A$8:$A$215,0),MATCH(BF$48,SAM!$B$7:$HC$7,0)),0)</f>
        <v>0.47849884291984862</v>
      </c>
      <c r="BG57" s="18">
        <f>_xlfn.IFNA(INDEX(SAM!$B$8:$HC$215,MATCH($BC57,SAM!$A$8:$A$215,0),MATCH(BG$48,SAM!$B$7:$HC$7,0)),0)</f>
        <v>0.32159524629594211</v>
      </c>
      <c r="BH57" s="18">
        <f>_xlfn.IFNA(INDEX(SAM!$B$8:$HC$215,MATCH($BC57,SAM!$A$8:$A$215,0),MATCH(BH$48,SAM!$B$7:$HC$7,0)),0)</f>
        <v>0.43390640530477298</v>
      </c>
      <c r="BI57" s="18">
        <f>_xlfn.IFNA(INDEX(SAM!$B$8:$HC$215,MATCH($BC57,SAM!$A$8:$A$215,0),MATCH(BI$48,SAM!$B$7:$HC$7,0)),0)</f>
        <v>1.9076325347954716E-3</v>
      </c>
      <c r="BJ57" s="18">
        <f>_xlfn.IFNA(INDEX(SAM!$B$8:$HC$215,MATCH($BC57,SAM!$A$8:$A$215,0),MATCH(BJ$48,SAM!$B$7:$HC$7,0)),0)</f>
        <v>1.0221411271526669E-2</v>
      </c>
      <c r="BK57" s="18">
        <f>_xlfn.IFNA(INDEX(SAM!$B$8:$HC$215,MATCH($BC57,SAM!$A$8:$A$215,0),MATCH(BK$48,SAM!$B$7:$HC$7,0)),0)</f>
        <v>3.959628716975714E-2</v>
      </c>
      <c r="BL57" s="18">
        <f>_xlfn.IFNA(INDEX(SAM!$B$8:$HC$215,MATCH($BC57,SAM!$A$8:$A$215,0),MATCH(BL$48,SAM!$B$7:$HC$7,0)),0)</f>
        <v>1.660513131763151E-2</v>
      </c>
      <c r="BM57" s="18">
        <f>_xlfn.IFNA(INDEX(SAM!$B$8:$HC$215,MATCH($BC57,SAM!$A$8:$A$215,0),MATCH(BM$48,SAM!$B$7:$HC$7,0)),0)</f>
        <v>0</v>
      </c>
      <c r="BN57" s="18">
        <f>_xlfn.IFNA(INDEX(SAM!$B$8:$HC$215,MATCH($BC57,SAM!$A$8:$A$215,0),MATCH(BN$48,SAM!$B$7:$HC$7,0)),0)</f>
        <v>0</v>
      </c>
      <c r="BO57" s="18">
        <f>_xlfn.IFNA(INDEX(SAM!$B$8:$HC$215,MATCH($BC57,SAM!$A$8:$A$215,0),MATCH(BO$48,SAM!$B$7:$HC$7,0)),0)</f>
        <v>0</v>
      </c>
      <c r="BP57" s="18">
        <f>_xlfn.IFNA(INDEX(SAM!$B$8:$HC$215,MATCH($BC57,SAM!$A$8:$A$215,0),MATCH(BP$48,SAM!$B$7:$HC$7,0)),0)</f>
        <v>0</v>
      </c>
      <c r="BQ57" s="18">
        <f>_xlfn.IFNA(INDEX(SAM!$B$8:$HC$215,MATCH($BC57,SAM!$A$8:$A$215,0),MATCH(BQ$48,SAM!$B$7:$HC$7,0)),0)</f>
        <v>0</v>
      </c>
      <c r="BR57" s="18">
        <f>_xlfn.IFNA(INDEX(SAM!$B$8:$HC$215,MATCH($BC57,SAM!$A$8:$A$215,0),MATCH(BR$48,SAM!$B$7:$HC$7,0)),0)</f>
        <v>0</v>
      </c>
      <c r="BT57" t="str">
        <f t="shared" si="109"/>
        <v>cfish</v>
      </c>
      <c r="BU57" s="7">
        <f t="shared" si="110"/>
        <v>36.817461503842935</v>
      </c>
      <c r="BW57" s="51" t="s">
        <v>681</v>
      </c>
      <c r="BX57" s="43">
        <f t="shared" si="116"/>
        <v>1.1367766446631007</v>
      </c>
    </row>
    <row r="58" spans="1:76" x14ac:dyDescent="0.25">
      <c r="A58" t="str">
        <f t="shared" si="117"/>
        <v>fish-meat-egg</v>
      </c>
      <c r="B58" t="s">
        <v>32</v>
      </c>
      <c r="C58" s="18">
        <f t="shared" si="79"/>
        <v>0.24222609311366614</v>
      </c>
      <c r="D58" s="18">
        <f t="shared" si="80"/>
        <v>0.56237360682600412</v>
      </c>
      <c r="E58" s="18">
        <f t="shared" si="81"/>
        <v>0.72609098120892845</v>
      </c>
      <c r="F58" s="18">
        <f t="shared" si="82"/>
        <v>1.1960762350141767</v>
      </c>
      <c r="G58" s="18">
        <f t="shared" si="83"/>
        <v>1.9189747048018182</v>
      </c>
      <c r="H58" s="18">
        <f t="shared" si="84"/>
        <v>0.19029943169547014</v>
      </c>
      <c r="I58" s="18">
        <f t="shared" si="85"/>
        <v>0.5386151607357913</v>
      </c>
      <c r="J58" s="18">
        <f t="shared" si="86"/>
        <v>0.58920522656074281</v>
      </c>
      <c r="K58" s="18">
        <f t="shared" si="87"/>
        <v>1.0992525472776846</v>
      </c>
      <c r="L58" s="18">
        <f t="shared" si="88"/>
        <v>1.6069659717675939</v>
      </c>
      <c r="M58" s="18">
        <f t="shared" si="89"/>
        <v>0.52028570170323596</v>
      </c>
      <c r="N58" s="18">
        <f t="shared" si="90"/>
        <v>0.95795795974689968</v>
      </c>
      <c r="O58" s="18">
        <f t="shared" si="91"/>
        <v>1.2785932365485582</v>
      </c>
      <c r="P58" s="18">
        <f t="shared" si="92"/>
        <v>1.4869305826120911</v>
      </c>
      <c r="Q58" s="18">
        <f t="shared" si="93"/>
        <v>1.475526711907633</v>
      </c>
      <c r="R58" s="18">
        <f t="shared" si="94"/>
        <v>1.280908593649579</v>
      </c>
      <c r="T58" t="str">
        <f t="shared" si="111"/>
        <v>meat</v>
      </c>
      <c r="U58" s="18">
        <f t="shared" si="112"/>
        <v>0.71219578142653461</v>
      </c>
      <c r="V58" s="18">
        <f t="shared" si="95"/>
        <v>2.4493540743161217</v>
      </c>
      <c r="W58" s="18">
        <f t="shared" si="96"/>
        <v>4.3388518404380587</v>
      </c>
      <c r="X58" s="18">
        <f t="shared" si="97"/>
        <v>10.278341899820264</v>
      </c>
      <c r="Y58" s="18">
        <f t="shared" si="98"/>
        <v>18.257760333350582</v>
      </c>
      <c r="Z58" s="18">
        <f t="shared" si="99"/>
        <v>0.10773925182590154</v>
      </c>
      <c r="AA58" s="18">
        <f t="shared" si="100"/>
        <v>0.45469334442793591</v>
      </c>
      <c r="AB58" s="18">
        <f t="shared" si="101"/>
        <v>0.6026406134843777</v>
      </c>
      <c r="AC58" s="18">
        <f t="shared" si="102"/>
        <v>1.4374905912712677</v>
      </c>
      <c r="AD58" s="18">
        <f t="shared" si="103"/>
        <v>2.6859359204200604</v>
      </c>
      <c r="AE58" s="18">
        <f t="shared" si="104"/>
        <v>0.15198395322768099</v>
      </c>
      <c r="AF58" s="18">
        <f t="shared" si="105"/>
        <v>0.58356960115861845</v>
      </c>
      <c r="AG58" s="18">
        <f t="shared" si="106"/>
        <v>1.3309473246831849</v>
      </c>
      <c r="AH58" s="18">
        <f t="shared" si="107"/>
        <v>3.2902213344869402</v>
      </c>
      <c r="AI58" s="18">
        <f t="shared" si="108"/>
        <v>43.720710782483366</v>
      </c>
      <c r="AJ58" s="18">
        <f t="shared" si="113"/>
        <v>90.402436646820888</v>
      </c>
      <c r="AL58" t="str">
        <f t="shared" si="114"/>
        <v>cmeat</v>
      </c>
      <c r="AM58" s="18">
        <f>_xlfn.IFNA(INDEX(SAM!$B$8:$HC$215,MATCH($AL58,SAM!$A$8:$A$215,0),MATCH(AM$48,SAM!$B$7:$HC$7,0)),0)</f>
        <v>0.71219578142653461</v>
      </c>
      <c r="AN58" s="18">
        <f>_xlfn.IFNA(INDEX(SAM!$B$8:$HC$215,MATCH($AL58,SAM!$A$8:$A$215,0),MATCH(AN$48,SAM!$B$7:$HC$7,0)),0)</f>
        <v>2.4493540743161217</v>
      </c>
      <c r="AO58" s="18">
        <f>_xlfn.IFNA(INDEX(SAM!$B$8:$HC$215,MATCH($AL58,SAM!$A$8:$A$215,0),MATCH(AO$48,SAM!$B$7:$HC$7,0)),0)</f>
        <v>4.3388518404380587</v>
      </c>
      <c r="AP58" s="18">
        <f>_xlfn.IFNA(INDEX(SAM!$B$8:$HC$215,MATCH($AL58,SAM!$A$8:$A$215,0),MATCH(AP$48,SAM!$B$7:$HC$7,0)),0)</f>
        <v>10.278341899820264</v>
      </c>
      <c r="AQ58" s="18">
        <f>_xlfn.IFNA(INDEX(SAM!$B$8:$HC$215,MATCH($AL58,SAM!$A$8:$A$215,0),MATCH(AQ$48,SAM!$B$7:$HC$7,0)),0)</f>
        <v>18.257760333350582</v>
      </c>
      <c r="AR58" s="18">
        <f>_xlfn.IFNA(INDEX(SAM!$B$8:$HC$215,MATCH($AL58,SAM!$A$8:$A$215,0),MATCH(AR$48,SAM!$B$7:$HC$7,0)),0)</f>
        <v>0.10773925182590154</v>
      </c>
      <c r="AS58" s="18">
        <f>_xlfn.IFNA(INDEX(SAM!$B$8:$HC$215,MATCH($AL58,SAM!$A$8:$A$215,0),MATCH(AS$48,SAM!$B$7:$HC$7,0)),0)</f>
        <v>0.45469334442793591</v>
      </c>
      <c r="AT58" s="18">
        <f>_xlfn.IFNA(INDEX(SAM!$B$8:$HC$215,MATCH($AL58,SAM!$A$8:$A$215,0),MATCH(AT$48,SAM!$B$7:$HC$7,0)),0)</f>
        <v>0.6026406134843777</v>
      </c>
      <c r="AU58" s="18">
        <f>_xlfn.IFNA(INDEX(SAM!$B$8:$HC$215,MATCH($AL58,SAM!$A$8:$A$215,0),MATCH(AU$48,SAM!$B$7:$HC$7,0)),0)</f>
        <v>1.4374905912712677</v>
      </c>
      <c r="AV58" s="18">
        <f>_xlfn.IFNA(INDEX(SAM!$B$8:$HC$215,MATCH($AL58,SAM!$A$8:$A$215,0),MATCH(AV$48,SAM!$B$7:$HC$7,0)),0)</f>
        <v>2.6859359204200604</v>
      </c>
      <c r="AW58" s="18">
        <f>_xlfn.IFNA(INDEX(SAM!$B$8:$HC$215,MATCH($AL58,SAM!$A$8:$A$215,0),MATCH(AW$48,SAM!$B$7:$HC$7,0)),0)</f>
        <v>0.15198395322768099</v>
      </c>
      <c r="AX58" s="18">
        <f>_xlfn.IFNA(INDEX(SAM!$B$8:$HC$215,MATCH($AL58,SAM!$A$8:$A$215,0),MATCH(AX$48,SAM!$B$7:$HC$7,0)),0)</f>
        <v>0.58356960115861845</v>
      </c>
      <c r="AY58" s="18">
        <f>_xlfn.IFNA(INDEX(SAM!$B$8:$HC$215,MATCH($AL58,SAM!$A$8:$A$215,0),MATCH(AY$48,SAM!$B$7:$HC$7,0)),0)</f>
        <v>1.3309473246831849</v>
      </c>
      <c r="AZ58" s="18">
        <f>_xlfn.IFNA(INDEX(SAM!$B$8:$HC$215,MATCH($AL58,SAM!$A$8:$A$215,0),MATCH(AZ$48,SAM!$B$7:$HC$7,0)),0)</f>
        <v>3.2902213344869402</v>
      </c>
      <c r="BA58" s="18">
        <f>_xlfn.IFNA(INDEX(SAM!$B$8:$HC$215,MATCH($AL58,SAM!$A$8:$A$215,0),MATCH(BA$48,SAM!$B$7:$HC$7,0)),0)</f>
        <v>43.720710782483366</v>
      </c>
      <c r="BB58" s="18"/>
      <c r="BC58" t="str">
        <f t="shared" si="115"/>
        <v>ameat</v>
      </c>
      <c r="BD58" s="18">
        <f>_xlfn.IFNA(INDEX(SAM!$B$8:$HC$215,MATCH($BC58,SAM!$A$8:$A$215,0),MATCH(BD$48,SAM!$B$7:$HC$7,0)),0)</f>
        <v>0</v>
      </c>
      <c r="BE58" s="18">
        <f>_xlfn.IFNA(INDEX(SAM!$B$8:$HC$215,MATCH($BC58,SAM!$A$8:$A$215,0),MATCH(BE$48,SAM!$B$7:$HC$7,0)),0)</f>
        <v>0</v>
      </c>
      <c r="BF58" s="18">
        <f>_xlfn.IFNA(INDEX(SAM!$B$8:$HC$215,MATCH($BC58,SAM!$A$8:$A$215,0),MATCH(BF$48,SAM!$B$7:$HC$7,0)),0)</f>
        <v>0</v>
      </c>
      <c r="BG58" s="18">
        <f>_xlfn.IFNA(INDEX(SAM!$B$8:$HC$215,MATCH($BC58,SAM!$A$8:$A$215,0),MATCH(BG$48,SAM!$B$7:$HC$7,0)),0)</f>
        <v>0</v>
      </c>
      <c r="BH58" s="18">
        <f>_xlfn.IFNA(INDEX(SAM!$B$8:$HC$215,MATCH($BC58,SAM!$A$8:$A$215,0),MATCH(BH$48,SAM!$B$7:$HC$7,0)),0)</f>
        <v>0</v>
      </c>
      <c r="BI58" s="18">
        <f>_xlfn.IFNA(INDEX(SAM!$B$8:$HC$215,MATCH($BC58,SAM!$A$8:$A$215,0),MATCH(BI$48,SAM!$B$7:$HC$7,0)),0)</f>
        <v>0</v>
      </c>
      <c r="BJ58" s="18">
        <f>_xlfn.IFNA(INDEX(SAM!$B$8:$HC$215,MATCH($BC58,SAM!$A$8:$A$215,0),MATCH(BJ$48,SAM!$B$7:$HC$7,0)),0)</f>
        <v>0</v>
      </c>
      <c r="BK58" s="18">
        <f>_xlfn.IFNA(INDEX(SAM!$B$8:$HC$215,MATCH($BC58,SAM!$A$8:$A$215,0),MATCH(BK$48,SAM!$B$7:$HC$7,0)),0)</f>
        <v>0</v>
      </c>
      <c r="BL58" s="18">
        <f>_xlfn.IFNA(INDEX(SAM!$B$8:$HC$215,MATCH($BC58,SAM!$A$8:$A$215,0),MATCH(BL$48,SAM!$B$7:$HC$7,0)),0)</f>
        <v>0</v>
      </c>
      <c r="BM58" s="18">
        <f>_xlfn.IFNA(INDEX(SAM!$B$8:$HC$215,MATCH($BC58,SAM!$A$8:$A$215,0),MATCH(BM$48,SAM!$B$7:$HC$7,0)),0)</f>
        <v>0</v>
      </c>
      <c r="BN58" s="18">
        <f>_xlfn.IFNA(INDEX(SAM!$B$8:$HC$215,MATCH($BC58,SAM!$A$8:$A$215,0),MATCH(BN$48,SAM!$B$7:$HC$7,0)),0)</f>
        <v>0</v>
      </c>
      <c r="BO58" s="18">
        <f>_xlfn.IFNA(INDEX(SAM!$B$8:$HC$215,MATCH($BC58,SAM!$A$8:$A$215,0),MATCH(BO$48,SAM!$B$7:$HC$7,0)),0)</f>
        <v>0</v>
      </c>
      <c r="BP58" s="18">
        <f>_xlfn.IFNA(INDEX(SAM!$B$8:$HC$215,MATCH($BC58,SAM!$A$8:$A$215,0),MATCH(BP$48,SAM!$B$7:$HC$7,0)),0)</f>
        <v>0</v>
      </c>
      <c r="BQ58" s="18">
        <f>_xlfn.IFNA(INDEX(SAM!$B$8:$HC$215,MATCH($BC58,SAM!$A$8:$A$215,0),MATCH(BQ$48,SAM!$B$7:$HC$7,0)),0)</f>
        <v>0</v>
      </c>
      <c r="BR58" s="18">
        <f>_xlfn.IFNA(INDEX(SAM!$B$8:$HC$215,MATCH($BC58,SAM!$A$8:$A$215,0),MATCH(BR$48,SAM!$B$7:$HC$7,0)),0)</f>
        <v>0</v>
      </c>
      <c r="BT58" t="str">
        <f t="shared" si="109"/>
        <v>cmeat</v>
      </c>
      <c r="BU58" s="7">
        <f t="shared" si="110"/>
        <v>90.402436646820888</v>
      </c>
      <c r="BW58" s="51" t="s">
        <v>289</v>
      </c>
      <c r="BX58" s="43">
        <f t="shared" si="116"/>
        <v>1.3571612487820677</v>
      </c>
    </row>
    <row r="59" spans="1:76" x14ac:dyDescent="0.25">
      <c r="A59" s="26" t="str">
        <f t="shared" si="117"/>
        <v>fish-meat-egg</v>
      </c>
      <c r="B59" s="26" t="s">
        <v>498</v>
      </c>
      <c r="C59" s="45">
        <f t="shared" si="79"/>
        <v>0.36283924322335059</v>
      </c>
      <c r="D59" s="45">
        <f t="shared" si="80"/>
        <v>0.3818671621323691</v>
      </c>
      <c r="E59" s="45">
        <f t="shared" si="81"/>
        <v>0.38713600085928379</v>
      </c>
      <c r="F59" s="45">
        <f t="shared" si="82"/>
        <v>0.36223039474021967</v>
      </c>
      <c r="G59" s="45">
        <f t="shared" si="83"/>
        <v>0.30562245972473628</v>
      </c>
      <c r="H59" s="45">
        <f t="shared" si="84"/>
        <v>0.52504796752001348</v>
      </c>
      <c r="I59" s="45">
        <f t="shared" si="85"/>
        <v>0.43509172765550208</v>
      </c>
      <c r="J59" s="45">
        <f t="shared" si="86"/>
        <v>0.40858529943462729</v>
      </c>
      <c r="K59" s="45">
        <f t="shared" si="87"/>
        <v>0.39693132262455483</v>
      </c>
      <c r="L59" s="45">
        <f t="shared" si="88"/>
        <v>0.28613275464669913</v>
      </c>
      <c r="M59" s="45">
        <f t="shared" si="89"/>
        <v>0.62370722030921166</v>
      </c>
      <c r="N59" s="45">
        <f t="shared" si="90"/>
        <v>0.5408353416562951</v>
      </c>
      <c r="O59" s="45">
        <f t="shared" si="91"/>
        <v>0.48909569004320452</v>
      </c>
      <c r="P59" s="45">
        <f t="shared" si="92"/>
        <v>0.49632462182783349</v>
      </c>
      <c r="Q59" s="45">
        <f t="shared" si="93"/>
        <v>0.13894973069867644</v>
      </c>
      <c r="R59" s="45">
        <f t="shared" si="94"/>
        <v>0.27459353658667501</v>
      </c>
      <c r="S59" s="26"/>
      <c r="T59" s="26" t="str">
        <f t="shared" si="111"/>
        <v>fsea</v>
      </c>
      <c r="U59" s="45">
        <f t="shared" si="112"/>
        <v>1.0668238711937812</v>
      </c>
      <c r="V59" s="45">
        <f t="shared" si="95"/>
        <v>1.6631788513251466</v>
      </c>
      <c r="W59" s="45">
        <f t="shared" si="96"/>
        <v>2.3133819222371006</v>
      </c>
      <c r="X59" s="45">
        <f t="shared" si="97"/>
        <v>3.1127847328249145</v>
      </c>
      <c r="Y59" s="45">
        <f t="shared" si="98"/>
        <v>2.9077932127925563</v>
      </c>
      <c r="Z59" s="45">
        <f t="shared" si="99"/>
        <v>0.2972592965166645</v>
      </c>
      <c r="AA59" s="45">
        <f t="shared" si="100"/>
        <v>0.36729993361188118</v>
      </c>
      <c r="AB59" s="45">
        <f t="shared" si="101"/>
        <v>0.41790208981894938</v>
      </c>
      <c r="AC59" s="45">
        <f t="shared" si="102"/>
        <v>0.51906638112117187</v>
      </c>
      <c r="AD59" s="45">
        <f t="shared" si="103"/>
        <v>0.47825172232424701</v>
      </c>
      <c r="AE59" s="45">
        <f t="shared" si="104"/>
        <v>0.18219506838054736</v>
      </c>
      <c r="AF59" s="45">
        <f t="shared" si="105"/>
        <v>0.32946650884996809</v>
      </c>
      <c r="AG59" s="45">
        <f t="shared" si="106"/>
        <v>0.50912251181172052</v>
      </c>
      <c r="AH59" s="45">
        <f t="shared" si="107"/>
        <v>1.0982475434060799</v>
      </c>
      <c r="AI59" s="45">
        <f t="shared" si="108"/>
        <v>4.1171609704894809</v>
      </c>
      <c r="AJ59" s="45">
        <f t="shared" si="113"/>
        <v>19.379934616704212</v>
      </c>
      <c r="AK59" s="26"/>
      <c r="AL59" s="26" t="str">
        <f t="shared" si="114"/>
        <v>cfsea</v>
      </c>
      <c r="AM59" s="45">
        <f>_xlfn.IFNA(INDEX(SAM!$B$8:$HC$215,MATCH($AL59,SAM!$A$8:$A$215,0),MATCH(AM$48,SAM!$B$7:$HC$7,0)),0)</f>
        <v>1.0668238711937812</v>
      </c>
      <c r="AN59" s="45">
        <f>_xlfn.IFNA(INDEX(SAM!$B$8:$HC$215,MATCH($AL59,SAM!$A$8:$A$215,0),MATCH(AN$48,SAM!$B$7:$HC$7,0)),0)</f>
        <v>1.6631788513251466</v>
      </c>
      <c r="AO59" s="45">
        <f>_xlfn.IFNA(INDEX(SAM!$B$8:$HC$215,MATCH($AL59,SAM!$A$8:$A$215,0),MATCH(AO$48,SAM!$B$7:$HC$7,0)),0)</f>
        <v>2.3133819222371006</v>
      </c>
      <c r="AP59" s="45">
        <f>_xlfn.IFNA(INDEX(SAM!$B$8:$HC$215,MATCH($AL59,SAM!$A$8:$A$215,0),MATCH(AP$48,SAM!$B$7:$HC$7,0)),0)</f>
        <v>3.1127847328249145</v>
      </c>
      <c r="AQ59" s="45">
        <f>_xlfn.IFNA(INDEX(SAM!$B$8:$HC$215,MATCH($AL59,SAM!$A$8:$A$215,0),MATCH(AQ$48,SAM!$B$7:$HC$7,0)),0)</f>
        <v>2.9077932127925563</v>
      </c>
      <c r="AR59" s="45">
        <f>_xlfn.IFNA(INDEX(SAM!$B$8:$HC$215,MATCH($AL59,SAM!$A$8:$A$215,0),MATCH(AR$48,SAM!$B$7:$HC$7,0)),0)</f>
        <v>0.2972592965166645</v>
      </c>
      <c r="AS59" s="45">
        <f>_xlfn.IFNA(INDEX(SAM!$B$8:$HC$215,MATCH($AL59,SAM!$A$8:$A$215,0),MATCH(AS$48,SAM!$B$7:$HC$7,0)),0)</f>
        <v>0.36729993361188118</v>
      </c>
      <c r="AT59" s="45">
        <f>_xlfn.IFNA(INDEX(SAM!$B$8:$HC$215,MATCH($AL59,SAM!$A$8:$A$215,0),MATCH(AT$48,SAM!$B$7:$HC$7,0)),0)</f>
        <v>0.41790208981894938</v>
      </c>
      <c r="AU59" s="45">
        <f>_xlfn.IFNA(INDEX(SAM!$B$8:$HC$215,MATCH($AL59,SAM!$A$8:$A$215,0),MATCH(AU$48,SAM!$B$7:$HC$7,0)),0)</f>
        <v>0.51906638112117187</v>
      </c>
      <c r="AV59" s="45">
        <f>_xlfn.IFNA(INDEX(SAM!$B$8:$HC$215,MATCH($AL59,SAM!$A$8:$A$215,0),MATCH(AV$48,SAM!$B$7:$HC$7,0)),0)</f>
        <v>0.47825172232424701</v>
      </c>
      <c r="AW59" s="45">
        <f>_xlfn.IFNA(INDEX(SAM!$B$8:$HC$215,MATCH($AL59,SAM!$A$8:$A$215,0),MATCH(AW$48,SAM!$B$7:$HC$7,0)),0)</f>
        <v>0.18219506838054736</v>
      </c>
      <c r="AX59" s="45">
        <f>_xlfn.IFNA(INDEX(SAM!$B$8:$HC$215,MATCH($AL59,SAM!$A$8:$A$215,0),MATCH(AX$48,SAM!$B$7:$HC$7,0)),0)</f>
        <v>0.32946650884996809</v>
      </c>
      <c r="AY59" s="45">
        <f>_xlfn.IFNA(INDEX(SAM!$B$8:$HC$215,MATCH($AL59,SAM!$A$8:$A$215,0),MATCH(AY$48,SAM!$B$7:$HC$7,0)),0)</f>
        <v>0.50912251181172052</v>
      </c>
      <c r="AZ59" s="45">
        <f>_xlfn.IFNA(INDEX(SAM!$B$8:$HC$215,MATCH($AL59,SAM!$A$8:$A$215,0),MATCH(AZ$48,SAM!$B$7:$HC$7,0)),0)</f>
        <v>1.0982475434060799</v>
      </c>
      <c r="BA59" s="45">
        <f>_xlfn.IFNA(INDEX(SAM!$B$8:$HC$215,MATCH($AL59,SAM!$A$8:$A$215,0),MATCH(BA$48,SAM!$B$7:$HC$7,0)),0)</f>
        <v>4.1171609704894809</v>
      </c>
      <c r="BB59" s="45"/>
      <c r="BC59" s="26" t="str">
        <f t="shared" si="115"/>
        <v>afsea</v>
      </c>
      <c r="BD59" s="45">
        <f>_xlfn.IFNA(INDEX(SAM!$B$8:$HC$215,MATCH($BC59,SAM!$A$8:$A$215,0),MATCH(BD$48,SAM!$B$7:$HC$7,0)),0)</f>
        <v>0</v>
      </c>
      <c r="BE59" s="45">
        <f>_xlfn.IFNA(INDEX(SAM!$B$8:$HC$215,MATCH($BC59,SAM!$A$8:$A$215,0),MATCH(BE$48,SAM!$B$7:$HC$7,0)),0)</f>
        <v>0</v>
      </c>
      <c r="BF59" s="45">
        <f>_xlfn.IFNA(INDEX(SAM!$B$8:$HC$215,MATCH($BC59,SAM!$A$8:$A$215,0),MATCH(BF$48,SAM!$B$7:$HC$7,0)),0)</f>
        <v>0</v>
      </c>
      <c r="BG59" s="45">
        <f>_xlfn.IFNA(INDEX(SAM!$B$8:$HC$215,MATCH($BC59,SAM!$A$8:$A$215,0),MATCH(BG$48,SAM!$B$7:$HC$7,0)),0)</f>
        <v>0</v>
      </c>
      <c r="BH59" s="45">
        <f>_xlfn.IFNA(INDEX(SAM!$B$8:$HC$215,MATCH($BC59,SAM!$A$8:$A$215,0),MATCH(BH$48,SAM!$B$7:$HC$7,0)),0)</f>
        <v>0</v>
      </c>
      <c r="BI59" s="45">
        <f>_xlfn.IFNA(INDEX(SAM!$B$8:$HC$215,MATCH($BC59,SAM!$A$8:$A$215,0),MATCH(BI$48,SAM!$B$7:$HC$7,0)),0)</f>
        <v>0</v>
      </c>
      <c r="BJ59" s="45">
        <f>_xlfn.IFNA(INDEX(SAM!$B$8:$HC$215,MATCH($BC59,SAM!$A$8:$A$215,0),MATCH(BJ$48,SAM!$B$7:$HC$7,0)),0)</f>
        <v>0</v>
      </c>
      <c r="BK59" s="45">
        <f>_xlfn.IFNA(INDEX(SAM!$B$8:$HC$215,MATCH($BC59,SAM!$A$8:$A$215,0),MATCH(BK$48,SAM!$B$7:$HC$7,0)),0)</f>
        <v>0</v>
      </c>
      <c r="BL59" s="45">
        <f>_xlfn.IFNA(INDEX(SAM!$B$8:$HC$215,MATCH($BC59,SAM!$A$8:$A$215,0),MATCH(BL$48,SAM!$B$7:$HC$7,0)),0)</f>
        <v>0</v>
      </c>
      <c r="BM59" s="45">
        <f>_xlfn.IFNA(INDEX(SAM!$B$8:$HC$215,MATCH($BC59,SAM!$A$8:$A$215,0),MATCH(BM$48,SAM!$B$7:$HC$7,0)),0)</f>
        <v>0</v>
      </c>
      <c r="BN59" s="45">
        <f>_xlfn.IFNA(INDEX(SAM!$B$8:$HC$215,MATCH($BC59,SAM!$A$8:$A$215,0),MATCH(BN$48,SAM!$B$7:$HC$7,0)),0)</f>
        <v>0</v>
      </c>
      <c r="BO59" s="45">
        <f>_xlfn.IFNA(INDEX(SAM!$B$8:$HC$215,MATCH($BC59,SAM!$A$8:$A$215,0),MATCH(BO$48,SAM!$B$7:$HC$7,0)),0)</f>
        <v>0</v>
      </c>
      <c r="BP59" s="45">
        <f>_xlfn.IFNA(INDEX(SAM!$B$8:$HC$215,MATCH($BC59,SAM!$A$8:$A$215,0),MATCH(BP$48,SAM!$B$7:$HC$7,0)),0)</f>
        <v>0</v>
      </c>
      <c r="BQ59" s="45">
        <f>_xlfn.IFNA(INDEX(SAM!$B$8:$HC$215,MATCH($BC59,SAM!$A$8:$A$215,0),MATCH(BQ$48,SAM!$B$7:$HC$7,0)),0)</f>
        <v>0</v>
      </c>
      <c r="BR59" s="45">
        <f>_xlfn.IFNA(INDEX(SAM!$B$8:$HC$215,MATCH($BC59,SAM!$A$8:$A$215,0),MATCH(BR$48,SAM!$B$7:$HC$7,0)),0)</f>
        <v>0</v>
      </c>
      <c r="BT59" t="str">
        <f t="shared" si="109"/>
        <v>cfsea</v>
      </c>
      <c r="BU59" s="7">
        <f t="shared" si="110"/>
        <v>19.379934616704212</v>
      </c>
      <c r="BW59" s="51" t="s">
        <v>183</v>
      </c>
      <c r="BX59" s="43">
        <f t="shared" si="116"/>
        <v>7.5334938803459677</v>
      </c>
    </row>
    <row r="60" spans="1:76" x14ac:dyDescent="0.25">
      <c r="A60" t="str">
        <f t="shared" si="117"/>
        <v>diary</v>
      </c>
      <c r="B60" t="s">
        <v>496</v>
      </c>
      <c r="C60" s="18">
        <f t="shared" si="79"/>
        <v>0.25925624628728633</v>
      </c>
      <c r="D60" s="18">
        <f t="shared" si="80"/>
        <v>0.75051080120864078</v>
      </c>
      <c r="E60" s="18">
        <f t="shared" si="81"/>
        <v>0.95335996623741492</v>
      </c>
      <c r="F60" s="18">
        <f t="shared" si="82"/>
        <v>1.6733714408350369</v>
      </c>
      <c r="G60" s="18">
        <f t="shared" si="83"/>
        <v>2.0482612003835716</v>
      </c>
      <c r="H60" s="18">
        <f t="shared" si="84"/>
        <v>0.2869930784832736</v>
      </c>
      <c r="I60" s="18">
        <f t="shared" si="85"/>
        <v>0.46943024957396551</v>
      </c>
      <c r="J60" s="18">
        <f t="shared" si="86"/>
        <v>0.93790144492126881</v>
      </c>
      <c r="K60" s="18">
        <f t="shared" si="87"/>
        <v>1.5374316365851093</v>
      </c>
      <c r="L60" s="18">
        <f t="shared" si="88"/>
        <v>1.7416123694771051</v>
      </c>
      <c r="M60" s="18">
        <f t="shared" si="89"/>
        <v>0.32992558793378518</v>
      </c>
      <c r="N60" s="18">
        <f t="shared" si="90"/>
        <v>0.80382914668590699</v>
      </c>
      <c r="O60" s="18">
        <f t="shared" si="91"/>
        <v>1.0543291008323625</v>
      </c>
      <c r="P60" s="18">
        <f t="shared" si="92"/>
        <v>1.417874942688784</v>
      </c>
      <c r="Q60" s="18">
        <f t="shared" si="93"/>
        <v>1.3812714296261692</v>
      </c>
      <c r="R60" s="18">
        <f t="shared" si="94"/>
        <v>1.3571612487820675</v>
      </c>
      <c r="T60" t="str">
        <f t="shared" si="111"/>
        <v>milk</v>
      </c>
      <c r="U60" s="18">
        <f t="shared" si="112"/>
        <v>0.76226802216406941</v>
      </c>
      <c r="V60" s="18">
        <f t="shared" si="95"/>
        <v>3.2687641568630594</v>
      </c>
      <c r="W60" s="18">
        <f t="shared" si="96"/>
        <v>5.6969274528406837</v>
      </c>
      <c r="X60" s="18">
        <f t="shared" si="97"/>
        <v>14.379922692882118</v>
      </c>
      <c r="Y60" s="18">
        <f t="shared" si="98"/>
        <v>19.487834833428071</v>
      </c>
      <c r="Z60" s="18">
        <f t="shared" si="99"/>
        <v>0.162482984208177</v>
      </c>
      <c r="AA60" s="18">
        <f t="shared" si="100"/>
        <v>0.39628815843735554</v>
      </c>
      <c r="AB60" s="18">
        <f t="shared" si="101"/>
        <v>0.95928799792641994</v>
      </c>
      <c r="AC60" s="18">
        <f t="shared" si="102"/>
        <v>2.0104966031573794</v>
      </c>
      <c r="AD60" s="18">
        <f t="shared" si="103"/>
        <v>2.9109883499779432</v>
      </c>
      <c r="AE60" s="18">
        <f t="shared" si="104"/>
        <v>9.6376654136355031E-2</v>
      </c>
      <c r="AF60" s="18">
        <f t="shared" si="105"/>
        <v>0.48967728673093835</v>
      </c>
      <c r="AG60" s="18">
        <f t="shared" si="106"/>
        <v>1.097500327685464</v>
      </c>
      <c r="AH60" s="18">
        <f t="shared" si="107"/>
        <v>3.1374177386773927</v>
      </c>
      <c r="AI60" s="18">
        <f t="shared" si="108"/>
        <v>40.927872196036162</v>
      </c>
      <c r="AJ60" s="18">
        <f t="shared" si="113"/>
        <v>95.78410545515159</v>
      </c>
      <c r="AL60" t="str">
        <f t="shared" si="114"/>
        <v>cmilk</v>
      </c>
      <c r="AM60" s="18">
        <f>_xlfn.IFNA(INDEX(SAM!$B$8:$HC$215,MATCH($AL60,SAM!$A$8:$A$215,0),MATCH(AM$48,SAM!$B$7:$HC$7,0)),0)</f>
        <v>0.46355097978645327</v>
      </c>
      <c r="AN60" s="18">
        <f>_xlfn.IFNA(INDEX(SAM!$B$8:$HC$215,MATCH($AL60,SAM!$A$8:$A$215,0),MATCH(AN$48,SAM!$B$7:$HC$7,0)),0)</f>
        <v>1.4035606607072189</v>
      </c>
      <c r="AO60" s="18">
        <f>_xlfn.IFNA(INDEX(SAM!$B$8:$HC$215,MATCH($AL60,SAM!$A$8:$A$215,0),MATCH(AO$48,SAM!$B$7:$HC$7,0)),0)</f>
        <v>2.2376938571673555</v>
      </c>
      <c r="AP60" s="18">
        <f>_xlfn.IFNA(INDEX(SAM!$B$8:$HC$215,MATCH($AL60,SAM!$A$8:$A$215,0),MATCH(AP$48,SAM!$B$7:$HC$7,0)),0)</f>
        <v>5.3211500713597442</v>
      </c>
      <c r="AQ60" s="18">
        <f>_xlfn.IFNA(INDEX(SAM!$B$8:$HC$215,MATCH($AL60,SAM!$A$8:$A$215,0),MATCH(AQ$48,SAM!$B$7:$HC$7,0)),0)</f>
        <v>9.1199547158846652</v>
      </c>
      <c r="AR60" s="18">
        <f>_xlfn.IFNA(INDEX(SAM!$B$8:$HC$215,MATCH($AL60,SAM!$A$8:$A$215,0),MATCH(AR$48,SAM!$B$7:$HC$7,0)),0)</f>
        <v>0.12610133283548225</v>
      </c>
      <c r="AS60" s="18">
        <f>_xlfn.IFNA(INDEX(SAM!$B$8:$HC$215,MATCH($AL60,SAM!$A$8:$A$215,0),MATCH(AS$48,SAM!$B$7:$HC$7,0)),0)</f>
        <v>0.13592274798179491</v>
      </c>
      <c r="AT60" s="18">
        <f>_xlfn.IFNA(INDEX(SAM!$B$8:$HC$215,MATCH($AL60,SAM!$A$8:$A$215,0),MATCH(AT$48,SAM!$B$7:$HC$7,0)),0)</f>
        <v>0.36508629422089273</v>
      </c>
      <c r="AU60" s="18">
        <f>_xlfn.IFNA(INDEX(SAM!$B$8:$HC$215,MATCH($AL60,SAM!$A$8:$A$215,0),MATCH(AU$48,SAM!$B$7:$HC$7,0)),0)</f>
        <v>0.79980612627631487</v>
      </c>
      <c r="AV60" s="18">
        <f>_xlfn.IFNA(INDEX(SAM!$B$8:$HC$215,MATCH($AL60,SAM!$A$8:$A$215,0),MATCH(AV$48,SAM!$B$7:$HC$7,0)),0)</f>
        <v>2.2730095014067611</v>
      </c>
      <c r="AW60" s="18">
        <f>_xlfn.IFNA(INDEX(SAM!$B$8:$HC$215,MATCH($AL60,SAM!$A$8:$A$215,0),MATCH(AW$48,SAM!$B$7:$HC$7,0)),0)</f>
        <v>8.0579276626807569E-2</v>
      </c>
      <c r="AX60" s="18">
        <f>_xlfn.IFNA(INDEX(SAM!$B$8:$HC$215,MATCH($AL60,SAM!$A$8:$A$215,0),MATCH(AX$48,SAM!$B$7:$HC$7,0)),0)</f>
        <v>0.3124283857510422</v>
      </c>
      <c r="AY60" s="18">
        <f>_xlfn.IFNA(INDEX(SAM!$B$8:$HC$215,MATCH($AL60,SAM!$A$8:$A$215,0),MATCH(AY$48,SAM!$B$7:$HC$7,0)),0)</f>
        <v>0.77466561495757413</v>
      </c>
      <c r="AZ60" s="18">
        <f>_xlfn.IFNA(INDEX(SAM!$B$8:$HC$215,MATCH($AL60,SAM!$A$8:$A$215,0),MATCH(AZ$48,SAM!$B$7:$HC$7,0)),0)</f>
        <v>2.212016796646</v>
      </c>
      <c r="BA60" s="18">
        <f>_xlfn.IFNA(INDEX(SAM!$B$8:$HC$215,MATCH($AL60,SAM!$A$8:$A$215,0),MATCH(BA$48,SAM!$B$7:$HC$7,0)),0)</f>
        <v>37.241074638982454</v>
      </c>
      <c r="BB60" s="18"/>
      <c r="BC60" t="str">
        <f t="shared" si="115"/>
        <v>amilk</v>
      </c>
      <c r="BD60" s="18">
        <f>_xlfn.IFNA(INDEX(SAM!$B$8:$HC$215,MATCH($BC60,SAM!$A$8:$A$215,0),MATCH(BD$48,SAM!$B$7:$HC$7,0)),0)</f>
        <v>0.29871704237761609</v>
      </c>
      <c r="BE60" s="18">
        <f>_xlfn.IFNA(INDEX(SAM!$B$8:$HC$215,MATCH($BC60,SAM!$A$8:$A$215,0),MATCH(BE$48,SAM!$B$7:$HC$7,0)),0)</f>
        <v>1.8652034961558404</v>
      </c>
      <c r="BF60" s="18">
        <f>_xlfn.IFNA(INDEX(SAM!$B$8:$HC$215,MATCH($BC60,SAM!$A$8:$A$215,0),MATCH(BF$48,SAM!$B$7:$HC$7,0)),0)</f>
        <v>3.4592335956733282</v>
      </c>
      <c r="BG60" s="18">
        <f>_xlfn.IFNA(INDEX(SAM!$B$8:$HC$215,MATCH($BC60,SAM!$A$8:$A$215,0),MATCH(BG$48,SAM!$B$7:$HC$7,0)),0)</f>
        <v>9.0587726215223743</v>
      </c>
      <c r="BH60" s="18">
        <f>_xlfn.IFNA(INDEX(SAM!$B$8:$HC$215,MATCH($BC60,SAM!$A$8:$A$215,0),MATCH(BH$48,SAM!$B$7:$HC$7,0)),0)</f>
        <v>10.367880117543406</v>
      </c>
      <c r="BI60" s="18">
        <f>_xlfn.IFNA(INDEX(SAM!$B$8:$HC$215,MATCH($BC60,SAM!$A$8:$A$215,0),MATCH(BI$48,SAM!$B$7:$HC$7,0)),0)</f>
        <v>3.6381651372694751E-2</v>
      </c>
      <c r="BJ60" s="18">
        <f>_xlfn.IFNA(INDEX(SAM!$B$8:$HC$215,MATCH($BC60,SAM!$A$8:$A$215,0),MATCH(BJ$48,SAM!$B$7:$HC$7,0)),0)</f>
        <v>0.26036541045556066</v>
      </c>
      <c r="BK60" s="18">
        <f>_xlfn.IFNA(INDEX(SAM!$B$8:$HC$215,MATCH($BC60,SAM!$A$8:$A$215,0),MATCH(BK$48,SAM!$B$7:$HC$7,0)),0)</f>
        <v>0.59420170370552716</v>
      </c>
      <c r="BL60" s="18">
        <f>_xlfn.IFNA(INDEX(SAM!$B$8:$HC$215,MATCH($BC60,SAM!$A$8:$A$215,0),MATCH(BL$48,SAM!$B$7:$HC$7,0)),0)</f>
        <v>1.2106904768810645</v>
      </c>
      <c r="BM60" s="18">
        <f>_xlfn.IFNA(INDEX(SAM!$B$8:$HC$215,MATCH($BC60,SAM!$A$8:$A$215,0),MATCH(BM$48,SAM!$B$7:$HC$7,0)),0)</f>
        <v>0.63797884857118237</v>
      </c>
      <c r="BN60" s="18">
        <f>_xlfn.IFNA(INDEX(SAM!$B$8:$HC$215,MATCH($BC60,SAM!$A$8:$A$215,0),MATCH(BN$48,SAM!$B$7:$HC$7,0)),0)</f>
        <v>1.5797377509547461E-2</v>
      </c>
      <c r="BO60" s="18">
        <f>_xlfn.IFNA(INDEX(SAM!$B$8:$HC$215,MATCH($BC60,SAM!$A$8:$A$215,0),MATCH(BO$48,SAM!$B$7:$HC$7,0)),0)</f>
        <v>0.17724890097989612</v>
      </c>
      <c r="BP60" s="18">
        <f>_xlfn.IFNA(INDEX(SAM!$B$8:$HC$215,MATCH($BC60,SAM!$A$8:$A$215,0),MATCH(BP$48,SAM!$B$7:$HC$7,0)),0)</f>
        <v>0.32283471272788988</v>
      </c>
      <c r="BQ60" s="18">
        <f>_xlfn.IFNA(INDEX(SAM!$B$8:$HC$215,MATCH($BC60,SAM!$A$8:$A$215,0),MATCH(BQ$48,SAM!$B$7:$HC$7,0)),0)</f>
        <v>0.92540094203139278</v>
      </c>
      <c r="BR60" s="18">
        <f>_xlfn.IFNA(INDEX(SAM!$B$8:$HC$215,MATCH($BC60,SAM!$A$8:$A$215,0),MATCH(BR$48,SAM!$B$7:$HC$7,0)),0)</f>
        <v>3.6867975570537119</v>
      </c>
      <c r="BT60" t="str">
        <f t="shared" si="109"/>
        <v>cmilk</v>
      </c>
      <c r="BU60" s="7">
        <f t="shared" si="110"/>
        <v>95.784105455151604</v>
      </c>
      <c r="BW60" s="51" t="s">
        <v>184</v>
      </c>
      <c r="BX60" s="43">
        <f t="shared" si="116"/>
        <v>0.52166517392530254</v>
      </c>
    </row>
    <row r="61" spans="1:76" x14ac:dyDescent="0.25">
      <c r="A61" s="26" t="str">
        <f t="shared" si="117"/>
        <v>diary</v>
      </c>
      <c r="B61" s="26" t="s">
        <v>500</v>
      </c>
      <c r="C61" s="45">
        <f t="shared" si="79"/>
        <v>0.200203473712396</v>
      </c>
      <c r="D61" s="45">
        <f t="shared" si="80"/>
        <v>0.47432499493447516</v>
      </c>
      <c r="E61" s="45">
        <f t="shared" si="81"/>
        <v>0.61192244349419189</v>
      </c>
      <c r="F61" s="45">
        <f t="shared" si="82"/>
        <v>0.91143126539053232</v>
      </c>
      <c r="G61" s="45">
        <f t="shared" si="83"/>
        <v>0.84929919663877185</v>
      </c>
      <c r="H61" s="45">
        <f t="shared" si="84"/>
        <v>0.29247524748926135</v>
      </c>
      <c r="I61" s="45">
        <f t="shared" si="85"/>
        <v>0.69920324800267519</v>
      </c>
      <c r="J61" s="45">
        <f t="shared" si="86"/>
        <v>0.64310697845150933</v>
      </c>
      <c r="K61" s="45">
        <f t="shared" si="87"/>
        <v>0.88492889191437107</v>
      </c>
      <c r="L61" s="45">
        <f t="shared" si="88"/>
        <v>0.6513718987279673</v>
      </c>
      <c r="M61" s="45">
        <f t="shared" si="89"/>
        <v>0.25827170806566585</v>
      </c>
      <c r="N61" s="45">
        <f t="shared" si="90"/>
        <v>0.11351108472614201</v>
      </c>
      <c r="O61" s="45">
        <f t="shared" si="91"/>
        <v>0.42099246298473597</v>
      </c>
      <c r="P61" s="45">
        <f t="shared" si="92"/>
        <v>0.33774752999041385</v>
      </c>
      <c r="Q61" s="45">
        <f t="shared" si="93"/>
        <v>0.32561322040083479</v>
      </c>
      <c r="R61" s="45">
        <f t="shared" si="94"/>
        <v>0.52229303498850876</v>
      </c>
      <c r="S61" s="26"/>
      <c r="T61" s="26" t="str">
        <f t="shared" si="111"/>
        <v>dair</v>
      </c>
      <c r="U61" s="45">
        <f t="shared" si="112"/>
        <v>0.58864042090625668</v>
      </c>
      <c r="V61" s="45">
        <f t="shared" si="95"/>
        <v>2.0658683920993166</v>
      </c>
      <c r="W61" s="45">
        <f t="shared" si="96"/>
        <v>3.6566227771339799</v>
      </c>
      <c r="X61" s="45">
        <f t="shared" si="97"/>
        <v>7.8322784866289696</v>
      </c>
      <c r="Y61" s="45">
        <f t="shared" si="98"/>
        <v>8.0805135913134905</v>
      </c>
      <c r="Z61" s="45">
        <f t="shared" si="99"/>
        <v>0.16558674958375341</v>
      </c>
      <c r="AA61" s="45">
        <f t="shared" si="100"/>
        <v>0.59026014573170116</v>
      </c>
      <c r="AB61" s="45">
        <f t="shared" si="101"/>
        <v>0.65777146325117875</v>
      </c>
      <c r="AC61" s="45">
        <f t="shared" si="102"/>
        <v>1.157219930234717</v>
      </c>
      <c r="AD61" s="45">
        <f t="shared" si="103"/>
        <v>1.0887244727536094</v>
      </c>
      <c r="AE61" s="45">
        <f t="shared" si="104"/>
        <v>7.5445385237734086E-2</v>
      </c>
      <c r="AF61" s="45">
        <f t="shared" si="105"/>
        <v>6.9148773979829353E-2</v>
      </c>
      <c r="AG61" s="45">
        <f t="shared" si="106"/>
        <v>0.43823068690230738</v>
      </c>
      <c r="AH61" s="45">
        <f t="shared" si="107"/>
        <v>0.74735441038045602</v>
      </c>
      <c r="AI61" s="45">
        <f t="shared" si="108"/>
        <v>9.6481082458296274</v>
      </c>
      <c r="AJ61" s="45">
        <f t="shared" si="113"/>
        <v>36.86177393196693</v>
      </c>
      <c r="AK61" s="26"/>
      <c r="AL61" s="26" t="str">
        <f t="shared" si="114"/>
        <v>cdair</v>
      </c>
      <c r="AM61" s="45">
        <f>_xlfn.IFNA(INDEX(SAM!$B$8:$HC$215,MATCH($AL61,SAM!$A$8:$A$215,0),MATCH(AM$48,SAM!$B$7:$HC$7,0)),0)</f>
        <v>0.18501356157196674</v>
      </c>
      <c r="AN61" s="45">
        <f>_xlfn.IFNA(INDEX(SAM!$B$8:$HC$215,MATCH($AL61,SAM!$A$8:$A$215,0),MATCH(AN$48,SAM!$B$7:$HC$7,0)),0)</f>
        <v>0.44252413048447975</v>
      </c>
      <c r="AO61" s="45">
        <f>_xlfn.IFNA(INDEX(SAM!$B$8:$HC$215,MATCH($AL61,SAM!$A$8:$A$215,0),MATCH(AO$48,SAM!$B$7:$HC$7,0)),0)</f>
        <v>0.82860759859665334</v>
      </c>
      <c r="AP61" s="45">
        <f>_xlfn.IFNA(INDEX(SAM!$B$8:$HC$215,MATCH($AL61,SAM!$A$8:$A$215,0),MATCH(AP$48,SAM!$B$7:$HC$7,0)),0)</f>
        <v>1.8097728823392556</v>
      </c>
      <c r="AQ61" s="45">
        <f>_xlfn.IFNA(INDEX(SAM!$B$8:$HC$215,MATCH($AL61,SAM!$A$8:$A$215,0),MATCH(AQ$48,SAM!$B$7:$HC$7,0)),0)</f>
        <v>2.8274095053106683</v>
      </c>
      <c r="AR61" s="45">
        <f>_xlfn.IFNA(INDEX(SAM!$B$8:$HC$215,MATCH($AL61,SAM!$A$8:$A$215,0),MATCH(AR$48,SAM!$B$7:$HC$7,0)),0)</f>
        <v>5.5618926495063559E-2</v>
      </c>
      <c r="AS61" s="45">
        <f>_xlfn.IFNA(INDEX(SAM!$B$8:$HC$215,MATCH($AL61,SAM!$A$8:$A$215,0),MATCH(AS$48,SAM!$B$7:$HC$7,0)),0)</f>
        <v>0.11571258355928067</v>
      </c>
      <c r="AT61" s="45">
        <f>_xlfn.IFNA(INDEX(SAM!$B$8:$HC$215,MATCH($AL61,SAM!$A$8:$A$215,0),MATCH(AT$48,SAM!$B$7:$HC$7,0)),0)</f>
        <v>0.19440160441085827</v>
      </c>
      <c r="AU61" s="45">
        <f>_xlfn.IFNA(INDEX(SAM!$B$8:$HC$215,MATCH($AL61,SAM!$A$8:$A$215,0),MATCH(AU$48,SAM!$B$7:$HC$7,0)),0)</f>
        <v>0.23524752977919602</v>
      </c>
      <c r="AV61" s="45">
        <f>_xlfn.IFNA(INDEX(SAM!$B$8:$HC$215,MATCH($AL61,SAM!$A$8:$A$215,0),MATCH(AV$48,SAM!$B$7:$HC$7,0)),0)</f>
        <v>0.72242376116035112</v>
      </c>
      <c r="AW61" s="45">
        <f>_xlfn.IFNA(INDEX(SAM!$B$8:$HC$215,MATCH($AL61,SAM!$A$8:$A$215,0),MATCH(AW$48,SAM!$B$7:$HC$7,0)),0)</f>
        <v>6.6980269172461967E-3</v>
      </c>
      <c r="AX61" s="45">
        <f>_xlfn.IFNA(INDEX(SAM!$B$8:$HC$215,MATCH($AL61,SAM!$A$8:$A$215,0),MATCH(AX$48,SAM!$B$7:$HC$7,0)),0)</f>
        <v>6.9148773979829353E-2</v>
      </c>
      <c r="AY61" s="45">
        <f>_xlfn.IFNA(INDEX(SAM!$B$8:$HC$215,MATCH($AL61,SAM!$A$8:$A$215,0),MATCH(AY$48,SAM!$B$7:$HC$7,0)),0)</f>
        <v>0.11769390862304779</v>
      </c>
      <c r="AZ61" s="45">
        <f>_xlfn.IFNA(INDEX(SAM!$B$8:$HC$215,MATCH($AL61,SAM!$A$8:$A$215,0),MATCH(AZ$48,SAM!$B$7:$HC$7,0)),0)</f>
        <v>0.26339892707613055</v>
      </c>
      <c r="BA61" s="45">
        <f>_xlfn.IFNA(INDEX(SAM!$B$8:$HC$215,MATCH($AL61,SAM!$A$8:$A$215,0),MATCH(BA$48,SAM!$B$7:$HC$7,0)),0)</f>
        <v>9.2745340972055104</v>
      </c>
      <c r="BB61" s="45"/>
      <c r="BC61" s="26" t="str">
        <f t="shared" si="115"/>
        <v>adair</v>
      </c>
      <c r="BD61" s="45">
        <f>_xlfn.IFNA(INDEX(SAM!$B$8:$HC$215,MATCH($BC61,SAM!$A$8:$A$215,0),MATCH(BD$48,SAM!$B$7:$HC$7,0)),0)</f>
        <v>0.40362685933428993</v>
      </c>
      <c r="BE61" s="45">
        <f>_xlfn.IFNA(INDEX(SAM!$B$8:$HC$215,MATCH($BC61,SAM!$A$8:$A$215,0),MATCH(BE$48,SAM!$B$7:$HC$7,0)),0)</f>
        <v>1.623344261614837</v>
      </c>
      <c r="BF61" s="45">
        <f>_xlfn.IFNA(INDEX(SAM!$B$8:$HC$215,MATCH($BC61,SAM!$A$8:$A$215,0),MATCH(BF$48,SAM!$B$7:$HC$7,0)),0)</f>
        <v>2.8280151785373264</v>
      </c>
      <c r="BG61" s="45">
        <f>_xlfn.IFNA(INDEX(SAM!$B$8:$HC$215,MATCH($BC61,SAM!$A$8:$A$215,0),MATCH(BG$48,SAM!$B$7:$HC$7,0)),0)</f>
        <v>6.022505604289714</v>
      </c>
      <c r="BH61" s="45">
        <f>_xlfn.IFNA(INDEX(SAM!$B$8:$HC$215,MATCH($BC61,SAM!$A$8:$A$215,0),MATCH(BH$48,SAM!$B$7:$HC$7,0)),0)</f>
        <v>5.2531040860028231</v>
      </c>
      <c r="BI61" s="45">
        <f>_xlfn.IFNA(INDEX(SAM!$B$8:$HC$215,MATCH($BC61,SAM!$A$8:$A$215,0),MATCH(BI$48,SAM!$B$7:$HC$7,0)),0)</f>
        <v>0.10996782308868987</v>
      </c>
      <c r="BJ61" s="45">
        <f>_xlfn.IFNA(INDEX(SAM!$B$8:$HC$215,MATCH($BC61,SAM!$A$8:$A$215,0),MATCH(BJ$48,SAM!$B$7:$HC$7,0)),0)</f>
        <v>0.47454756217242045</v>
      </c>
      <c r="BK61" s="45">
        <f>_xlfn.IFNA(INDEX(SAM!$B$8:$HC$215,MATCH($BC61,SAM!$A$8:$A$215,0),MATCH(BK$48,SAM!$B$7:$HC$7,0)),0)</f>
        <v>0.4633698588403205</v>
      </c>
      <c r="BL61" s="45">
        <f>_xlfn.IFNA(INDEX(SAM!$B$8:$HC$215,MATCH($BC61,SAM!$A$8:$A$215,0),MATCH(BL$48,SAM!$B$7:$HC$7,0)),0)</f>
        <v>0.92197240045552098</v>
      </c>
      <c r="BM61" s="45">
        <f>_xlfn.IFNA(INDEX(SAM!$B$8:$HC$215,MATCH($BC61,SAM!$A$8:$A$215,0),MATCH(BM$48,SAM!$B$7:$HC$7,0)),0)</f>
        <v>0.36630071159325822</v>
      </c>
      <c r="BN61" s="45">
        <f>_xlfn.IFNA(INDEX(SAM!$B$8:$HC$215,MATCH($BC61,SAM!$A$8:$A$215,0),MATCH(BN$48,SAM!$B$7:$HC$7,0)),0)</f>
        <v>6.8747358320487895E-2</v>
      </c>
      <c r="BO61" s="45">
        <f>_xlfn.IFNA(INDEX(SAM!$B$8:$HC$215,MATCH($BC61,SAM!$A$8:$A$215,0),MATCH(BO$48,SAM!$B$7:$HC$7,0)),0)</f>
        <v>0</v>
      </c>
      <c r="BP61" s="45">
        <f>_xlfn.IFNA(INDEX(SAM!$B$8:$HC$215,MATCH($BC61,SAM!$A$8:$A$215,0),MATCH(BP$48,SAM!$B$7:$HC$7,0)),0)</f>
        <v>0.32053677827925958</v>
      </c>
      <c r="BQ61" s="45">
        <f>_xlfn.IFNA(INDEX(SAM!$B$8:$HC$215,MATCH($BC61,SAM!$A$8:$A$215,0),MATCH(BQ$48,SAM!$B$7:$HC$7,0)),0)</f>
        <v>0.48395548330432547</v>
      </c>
      <c r="BR61" s="45">
        <f>_xlfn.IFNA(INDEX(SAM!$B$8:$HC$215,MATCH($BC61,SAM!$A$8:$A$215,0),MATCH(BR$48,SAM!$B$7:$HC$7,0)),0)</f>
        <v>0.37357414862411764</v>
      </c>
      <c r="BT61" t="str">
        <f t="shared" si="109"/>
        <v>cdair</v>
      </c>
      <c r="BU61" s="7">
        <f t="shared" si="110"/>
        <v>36.861773931966923</v>
      </c>
      <c r="BW61" s="51" t="s">
        <v>682</v>
      </c>
      <c r="BX61" s="43">
        <f t="shared" si="116"/>
        <v>0</v>
      </c>
    </row>
    <row r="62" spans="1:76" x14ac:dyDescent="0.25">
      <c r="A62" t="str">
        <f t="shared" si="117"/>
        <v>fats &amp; oils</v>
      </c>
      <c r="B62" t="s">
        <v>25</v>
      </c>
      <c r="C62" s="18">
        <f t="shared" si="79"/>
        <v>5.0881787055123681E-2</v>
      </c>
      <c r="D62" s="18">
        <f t="shared" si="80"/>
        <v>0.14512874509570867</v>
      </c>
      <c r="E62" s="18">
        <f t="shared" si="81"/>
        <v>0.14540982280990455</v>
      </c>
      <c r="F62" s="18">
        <f t="shared" si="82"/>
        <v>0.33721364600960263</v>
      </c>
      <c r="G62" s="18">
        <f t="shared" si="83"/>
        <v>0.33802977121992606</v>
      </c>
      <c r="H62" s="18">
        <f t="shared" si="84"/>
        <v>0.19746392017842565</v>
      </c>
      <c r="I62" s="18">
        <f t="shared" si="85"/>
        <v>0.31685364806348254</v>
      </c>
      <c r="J62" s="18">
        <f t="shared" si="86"/>
        <v>6.6847420552819045E-2</v>
      </c>
      <c r="K62" s="18">
        <f t="shared" si="87"/>
        <v>0.3789876657851739</v>
      </c>
      <c r="L62" s="18">
        <f t="shared" si="88"/>
        <v>0.27837516133902801</v>
      </c>
      <c r="M62" s="18">
        <f t="shared" si="89"/>
        <v>0.2140045265015251</v>
      </c>
      <c r="N62" s="18">
        <f t="shared" si="90"/>
        <v>0.29400823343494181</v>
      </c>
      <c r="O62" s="18">
        <f t="shared" si="91"/>
        <v>0.39896195949186591</v>
      </c>
      <c r="P62" s="18">
        <f t="shared" si="92"/>
        <v>0.39940481685493495</v>
      </c>
      <c r="Q62" s="18">
        <f t="shared" si="93"/>
        <v>0.45192418381261368</v>
      </c>
      <c r="R62" s="18">
        <f t="shared" si="94"/>
        <v>0.34153658696064565</v>
      </c>
      <c r="T62" t="str">
        <f t="shared" si="111"/>
        <v>oils</v>
      </c>
      <c r="U62" s="18">
        <f t="shared" si="112"/>
        <v>0.1496031811696584</v>
      </c>
      <c r="V62" s="18">
        <f t="shared" si="95"/>
        <v>0.63209168920073655</v>
      </c>
      <c r="W62" s="18">
        <f t="shared" si="96"/>
        <v>0.86891545776545764</v>
      </c>
      <c r="X62" s="18">
        <f t="shared" si="97"/>
        <v>2.8978062146102048</v>
      </c>
      <c r="Y62" s="18">
        <f t="shared" si="98"/>
        <v>3.21612709799013</v>
      </c>
      <c r="Z62" s="18">
        <f t="shared" si="99"/>
        <v>0.11179547323440343</v>
      </c>
      <c r="AA62" s="18">
        <f t="shared" si="100"/>
        <v>0.26748457049624119</v>
      </c>
      <c r="AB62" s="18">
        <f t="shared" si="101"/>
        <v>6.8371712801916187E-2</v>
      </c>
      <c r="AC62" s="18">
        <f t="shared" si="102"/>
        <v>0.49560149314480167</v>
      </c>
      <c r="AD62" s="18">
        <f t="shared" si="103"/>
        <v>0.46528542503659193</v>
      </c>
      <c r="AE62" s="18">
        <f t="shared" si="104"/>
        <v>6.2514218322439655E-2</v>
      </c>
      <c r="AF62" s="18">
        <f t="shared" si="105"/>
        <v>0.17910417234625861</v>
      </c>
      <c r="AG62" s="18">
        <f t="shared" si="106"/>
        <v>0.415298108466018</v>
      </c>
      <c r="AH62" s="18">
        <f t="shared" si="107"/>
        <v>0.88378722240309515</v>
      </c>
      <c r="AI62" s="18">
        <f t="shared" si="108"/>
        <v>13.390775223944573</v>
      </c>
      <c r="AJ62" s="18">
        <f t="shared" si="113"/>
        <v>24.104561260932527</v>
      </c>
      <c r="AL62" t="str">
        <f t="shared" si="114"/>
        <v>coils</v>
      </c>
      <c r="AM62" s="18">
        <f>_xlfn.IFNA(INDEX(SAM!$B$8:$HC$215,MATCH($AL62,SAM!$A$8:$A$215,0),MATCH(AM$48,SAM!$B$7:$HC$7,0)),0)</f>
        <v>8.284864426061575E-2</v>
      </c>
      <c r="AN62" s="18">
        <f>_xlfn.IFNA(INDEX(SAM!$B$8:$HC$215,MATCH($AL62,SAM!$A$8:$A$215,0),MATCH(AN$48,SAM!$B$7:$HC$7,0)),0)</f>
        <v>0.15732568415697007</v>
      </c>
      <c r="AO62" s="18">
        <f>_xlfn.IFNA(INDEX(SAM!$B$8:$HC$215,MATCH($AL62,SAM!$A$8:$A$215,0),MATCH(AO$48,SAM!$B$7:$HC$7,0)),0)</f>
        <v>0.35745287947582244</v>
      </c>
      <c r="AP62" s="18">
        <f>_xlfn.IFNA(INDEX(SAM!$B$8:$HC$215,MATCH($AL62,SAM!$A$8:$A$215,0),MATCH(AP$48,SAM!$B$7:$HC$7,0)),0)</f>
        <v>0.84763119496559913</v>
      </c>
      <c r="AQ62" s="18">
        <f>_xlfn.IFNA(INDEX(SAM!$B$8:$HC$215,MATCH($AL62,SAM!$A$8:$A$215,0),MATCH(AQ$48,SAM!$B$7:$HC$7,0)),0)</f>
        <v>1.9707705025011524</v>
      </c>
      <c r="AR62" s="18">
        <f>_xlfn.IFNA(INDEX(SAM!$B$8:$HC$215,MATCH($AL62,SAM!$A$8:$A$215,0),MATCH(AR$48,SAM!$B$7:$HC$7,0)),0)</f>
        <v>0</v>
      </c>
      <c r="AS62" s="18">
        <f>_xlfn.IFNA(INDEX(SAM!$B$8:$HC$215,MATCH($AL62,SAM!$A$8:$A$215,0),MATCH(AS$48,SAM!$B$7:$HC$7,0)),0)</f>
        <v>7.6334911832862368E-2</v>
      </c>
      <c r="AT62" s="18">
        <f>_xlfn.IFNA(INDEX(SAM!$B$8:$HC$215,MATCH($AL62,SAM!$A$8:$A$215,0),MATCH(AT$48,SAM!$B$7:$HC$7,0)),0)</f>
        <v>6.8371712801916187E-2</v>
      </c>
      <c r="AU62" s="18">
        <f>_xlfn.IFNA(INDEX(SAM!$B$8:$HC$215,MATCH($AL62,SAM!$A$8:$A$215,0),MATCH(AU$48,SAM!$B$7:$HC$7,0)),0)</f>
        <v>0.14775492282337122</v>
      </c>
      <c r="AV62" s="18">
        <f>_xlfn.IFNA(INDEX(SAM!$B$8:$HC$215,MATCH($AL62,SAM!$A$8:$A$215,0),MATCH(AV$48,SAM!$B$7:$HC$7,0)),0)</f>
        <v>0.43170521521360727</v>
      </c>
      <c r="AW62" s="18">
        <f>_xlfn.IFNA(INDEX(SAM!$B$8:$HC$215,MATCH($AL62,SAM!$A$8:$A$215,0),MATCH(AW$48,SAM!$B$7:$HC$7,0)),0)</f>
        <v>6.2514218322439655E-2</v>
      </c>
      <c r="AX62" s="18">
        <f>_xlfn.IFNA(INDEX(SAM!$B$8:$HC$215,MATCH($AL62,SAM!$A$8:$A$215,0),MATCH(AX$48,SAM!$B$7:$HC$7,0)),0)</f>
        <v>0.17910417234625861</v>
      </c>
      <c r="AY62" s="18">
        <f>_xlfn.IFNA(INDEX(SAM!$B$8:$HC$215,MATCH($AL62,SAM!$A$8:$A$215,0),MATCH(AY$48,SAM!$B$7:$HC$7,0)),0)</f>
        <v>0.415298108466018</v>
      </c>
      <c r="AZ62" s="18">
        <f>_xlfn.IFNA(INDEX(SAM!$B$8:$HC$215,MATCH($AL62,SAM!$A$8:$A$215,0),MATCH(AZ$48,SAM!$B$7:$HC$7,0)),0)</f>
        <v>0.8634834358786353</v>
      </c>
      <c r="BA62" s="18">
        <f>_xlfn.IFNA(INDEX(SAM!$B$8:$HC$215,MATCH($AL62,SAM!$A$8:$A$215,0),MATCH(BA$48,SAM!$B$7:$HC$7,0)),0)</f>
        <v>13.065844009301262</v>
      </c>
      <c r="BB62" s="18"/>
      <c r="BC62" t="str">
        <f t="shared" si="115"/>
        <v>aoils</v>
      </c>
      <c r="BD62" s="18">
        <f>_xlfn.IFNA(INDEX(SAM!$B$8:$HC$215,MATCH($BC62,SAM!$A$8:$A$215,0),MATCH(BD$48,SAM!$B$7:$HC$7,0)),0)</f>
        <v>6.675453690904265E-2</v>
      </c>
      <c r="BE62" s="18">
        <f>_xlfn.IFNA(INDEX(SAM!$B$8:$HC$215,MATCH($BC62,SAM!$A$8:$A$215,0),MATCH(BE$48,SAM!$B$7:$HC$7,0)),0)</f>
        <v>0.47476600504376648</v>
      </c>
      <c r="BF62" s="18">
        <f>_xlfn.IFNA(INDEX(SAM!$B$8:$HC$215,MATCH($BC62,SAM!$A$8:$A$215,0),MATCH(BF$48,SAM!$B$7:$HC$7,0)),0)</f>
        <v>0.51146257828963515</v>
      </c>
      <c r="BG62" s="18">
        <f>_xlfn.IFNA(INDEX(SAM!$B$8:$HC$215,MATCH($BC62,SAM!$A$8:$A$215,0),MATCH(BG$48,SAM!$B$7:$HC$7,0)),0)</f>
        <v>2.0501750196446058</v>
      </c>
      <c r="BH62" s="18">
        <f>_xlfn.IFNA(INDEX(SAM!$B$8:$HC$215,MATCH($BC62,SAM!$A$8:$A$215,0),MATCH(BH$48,SAM!$B$7:$HC$7,0)),0)</f>
        <v>1.2453565954889778</v>
      </c>
      <c r="BI62" s="18">
        <f>_xlfn.IFNA(INDEX(SAM!$B$8:$HC$215,MATCH($BC62,SAM!$A$8:$A$215,0),MATCH(BI$48,SAM!$B$7:$HC$7,0)),0)</f>
        <v>0.11179547323440343</v>
      </c>
      <c r="BJ62" s="18">
        <f>_xlfn.IFNA(INDEX(SAM!$B$8:$HC$215,MATCH($BC62,SAM!$A$8:$A$215,0),MATCH(BJ$48,SAM!$B$7:$HC$7,0)),0)</f>
        <v>0.1911496586633788</v>
      </c>
      <c r="BK62" s="18">
        <f>_xlfn.IFNA(INDEX(SAM!$B$8:$HC$215,MATCH($BC62,SAM!$A$8:$A$215,0),MATCH(BK$48,SAM!$B$7:$HC$7,0)),0)</f>
        <v>0</v>
      </c>
      <c r="BL62" s="18">
        <f>_xlfn.IFNA(INDEX(SAM!$B$8:$HC$215,MATCH($BC62,SAM!$A$8:$A$215,0),MATCH(BL$48,SAM!$B$7:$HC$7,0)),0)</f>
        <v>0.34784657032143046</v>
      </c>
      <c r="BM62" s="18">
        <f>_xlfn.IFNA(INDEX(SAM!$B$8:$HC$215,MATCH($BC62,SAM!$A$8:$A$215,0),MATCH(BM$48,SAM!$B$7:$HC$7,0)),0)</f>
        <v>3.3580209822984645E-2</v>
      </c>
      <c r="BN62" s="18">
        <f>_xlfn.IFNA(INDEX(SAM!$B$8:$HC$215,MATCH($BC62,SAM!$A$8:$A$215,0),MATCH(BN$48,SAM!$B$7:$HC$7,0)),0)</f>
        <v>0</v>
      </c>
      <c r="BO62" s="18">
        <f>_xlfn.IFNA(INDEX(SAM!$B$8:$HC$215,MATCH($BC62,SAM!$A$8:$A$215,0),MATCH(BO$48,SAM!$B$7:$HC$7,0)),0)</f>
        <v>0</v>
      </c>
      <c r="BP62" s="18">
        <f>_xlfn.IFNA(INDEX(SAM!$B$8:$HC$215,MATCH($BC62,SAM!$A$8:$A$215,0),MATCH(BP$48,SAM!$B$7:$HC$7,0)),0)</f>
        <v>0</v>
      </c>
      <c r="BQ62" s="18">
        <f>_xlfn.IFNA(INDEX(SAM!$B$8:$HC$215,MATCH($BC62,SAM!$A$8:$A$215,0),MATCH(BQ$48,SAM!$B$7:$HC$7,0)),0)</f>
        <v>2.0303786524459907E-2</v>
      </c>
      <c r="BR62" s="18">
        <f>_xlfn.IFNA(INDEX(SAM!$B$8:$HC$215,MATCH($BC62,SAM!$A$8:$A$215,0),MATCH(BR$48,SAM!$B$7:$HC$7,0)),0)</f>
        <v>0.32493121464331093</v>
      </c>
      <c r="BT62" t="str">
        <f t="shared" si="109"/>
        <v>coils</v>
      </c>
      <c r="BU62" s="7">
        <f t="shared" si="110"/>
        <v>24.104561260932527</v>
      </c>
      <c r="BW62" s="51" t="s">
        <v>683</v>
      </c>
      <c r="BX62" s="43">
        <f t="shared" si="116"/>
        <v>0</v>
      </c>
    </row>
    <row r="63" spans="1:76" x14ac:dyDescent="0.25">
      <c r="A63" s="26" t="str">
        <f t="shared" si="117"/>
        <v>fats &amp; oils</v>
      </c>
      <c r="B63" s="26" t="s">
        <v>34</v>
      </c>
      <c r="C63" s="45">
        <f t="shared" si="79"/>
        <v>1.353634329874549</v>
      </c>
      <c r="D63" s="45">
        <f t="shared" si="80"/>
        <v>1.5999222298100042</v>
      </c>
      <c r="E63" s="45">
        <f t="shared" si="81"/>
        <v>1.7112020430871784</v>
      </c>
      <c r="F63" s="45">
        <f t="shared" si="82"/>
        <v>1.7783925961565703</v>
      </c>
      <c r="G63" s="45">
        <f t="shared" si="83"/>
        <v>1.5728851796408556</v>
      </c>
      <c r="H63" s="45">
        <f t="shared" si="84"/>
        <v>1.4798804772574849</v>
      </c>
      <c r="I63" s="45">
        <f t="shared" si="85"/>
        <v>1.6736952865168444</v>
      </c>
      <c r="J63" s="45">
        <f t="shared" si="86"/>
        <v>1.715903130222191</v>
      </c>
      <c r="K63" s="45">
        <f t="shared" si="87"/>
        <v>1.7212061028495462</v>
      </c>
      <c r="L63" s="45">
        <f t="shared" si="88"/>
        <v>1.8094473798250132</v>
      </c>
      <c r="M63" s="45">
        <f t="shared" si="89"/>
        <v>1.9518757703552116</v>
      </c>
      <c r="N63" s="45">
        <f t="shared" si="90"/>
        <v>2.1201212500128648</v>
      </c>
      <c r="O63" s="45">
        <f t="shared" si="91"/>
        <v>2.1405385502325278</v>
      </c>
      <c r="P63" s="45">
        <f t="shared" si="92"/>
        <v>1.8728310988659331</v>
      </c>
      <c r="Q63" s="45">
        <f t="shared" si="93"/>
        <v>0.88724377618004324</v>
      </c>
      <c r="R63" s="45">
        <f t="shared" si="94"/>
        <v>1.3492488173549722</v>
      </c>
      <c r="S63" s="26"/>
      <c r="T63" s="26" t="str">
        <f t="shared" si="111"/>
        <v>foil</v>
      </c>
      <c r="U63" s="45">
        <f t="shared" si="112"/>
        <v>3.9799703117797476</v>
      </c>
      <c r="V63" s="45">
        <f t="shared" si="95"/>
        <v>6.9682787111780646</v>
      </c>
      <c r="W63" s="45">
        <f t="shared" si="96"/>
        <v>10.225512127486086</v>
      </c>
      <c r="X63" s="45">
        <f t="shared" si="97"/>
        <v>15.282409766455698</v>
      </c>
      <c r="Y63" s="45">
        <f t="shared" si="98"/>
        <v>14.964950069379679</v>
      </c>
      <c r="Z63" s="45">
        <f t="shared" si="99"/>
        <v>0.83784388629508888</v>
      </c>
      <c r="AA63" s="45">
        <f t="shared" si="100"/>
        <v>1.4129162393795318</v>
      </c>
      <c r="AB63" s="45">
        <f t="shared" si="101"/>
        <v>1.7550301125345835</v>
      </c>
      <c r="AC63" s="45">
        <f t="shared" si="102"/>
        <v>2.2508181442129431</v>
      </c>
      <c r="AD63" s="45">
        <f t="shared" si="103"/>
        <v>3.024370023365277</v>
      </c>
      <c r="AE63" s="45">
        <f t="shared" si="104"/>
        <v>0.57017479976245367</v>
      </c>
      <c r="AF63" s="45">
        <f t="shared" si="105"/>
        <v>1.2915371699660052</v>
      </c>
      <c r="AG63" s="45">
        <f t="shared" si="106"/>
        <v>2.2281863968744755</v>
      </c>
      <c r="AH63" s="45">
        <f t="shared" si="107"/>
        <v>4.1441267732582894</v>
      </c>
      <c r="AI63" s="45">
        <f t="shared" si="108"/>
        <v>26.289546789549661</v>
      </c>
      <c r="AJ63" s="45">
        <f t="shared" si="113"/>
        <v>95.225671321477591</v>
      </c>
      <c r="AK63" s="26"/>
      <c r="AL63" s="26" t="str">
        <f t="shared" si="114"/>
        <v>cfoil</v>
      </c>
      <c r="AM63" s="45">
        <f>_xlfn.IFNA(INDEX(SAM!$B$8:$HC$215,MATCH($AL63,SAM!$A$8:$A$215,0),MATCH(AM$48,SAM!$B$7:$HC$7,0)),0)</f>
        <v>3.9799703117797476</v>
      </c>
      <c r="AN63" s="45">
        <f>_xlfn.IFNA(INDEX(SAM!$B$8:$HC$215,MATCH($AL63,SAM!$A$8:$A$215,0),MATCH(AN$48,SAM!$B$7:$HC$7,0)),0)</f>
        <v>6.9682787111780646</v>
      </c>
      <c r="AO63" s="45">
        <f>_xlfn.IFNA(INDEX(SAM!$B$8:$HC$215,MATCH($AL63,SAM!$A$8:$A$215,0),MATCH(AO$48,SAM!$B$7:$HC$7,0)),0)</f>
        <v>10.225512127486086</v>
      </c>
      <c r="AP63" s="45">
        <f>_xlfn.IFNA(INDEX(SAM!$B$8:$HC$215,MATCH($AL63,SAM!$A$8:$A$215,0),MATCH(AP$48,SAM!$B$7:$HC$7,0)),0)</f>
        <v>15.282409766455698</v>
      </c>
      <c r="AQ63" s="45">
        <f>_xlfn.IFNA(INDEX(SAM!$B$8:$HC$215,MATCH($AL63,SAM!$A$8:$A$215,0),MATCH(AQ$48,SAM!$B$7:$HC$7,0)),0)</f>
        <v>14.964950069379679</v>
      </c>
      <c r="AR63" s="45">
        <f>_xlfn.IFNA(INDEX(SAM!$B$8:$HC$215,MATCH($AL63,SAM!$A$8:$A$215,0),MATCH(AR$48,SAM!$B$7:$HC$7,0)),0)</f>
        <v>0.83784388629508888</v>
      </c>
      <c r="AS63" s="45">
        <f>_xlfn.IFNA(INDEX(SAM!$B$8:$HC$215,MATCH($AL63,SAM!$A$8:$A$215,0),MATCH(AS$48,SAM!$B$7:$HC$7,0)),0)</f>
        <v>1.4129162393795318</v>
      </c>
      <c r="AT63" s="45">
        <f>_xlfn.IFNA(INDEX(SAM!$B$8:$HC$215,MATCH($AL63,SAM!$A$8:$A$215,0),MATCH(AT$48,SAM!$B$7:$HC$7,0)),0)</f>
        <v>1.7550301125345835</v>
      </c>
      <c r="AU63" s="45">
        <f>_xlfn.IFNA(INDEX(SAM!$B$8:$HC$215,MATCH($AL63,SAM!$A$8:$A$215,0),MATCH(AU$48,SAM!$B$7:$HC$7,0)),0)</f>
        <v>2.2508181442129431</v>
      </c>
      <c r="AV63" s="45">
        <f>_xlfn.IFNA(INDEX(SAM!$B$8:$HC$215,MATCH($AL63,SAM!$A$8:$A$215,0),MATCH(AV$48,SAM!$B$7:$HC$7,0)),0)</f>
        <v>3.024370023365277</v>
      </c>
      <c r="AW63" s="45">
        <f>_xlfn.IFNA(INDEX(SAM!$B$8:$HC$215,MATCH($AL63,SAM!$A$8:$A$215,0),MATCH(AW$48,SAM!$B$7:$HC$7,0)),0)</f>
        <v>0.57017479976245367</v>
      </c>
      <c r="AX63" s="45">
        <f>_xlfn.IFNA(INDEX(SAM!$B$8:$HC$215,MATCH($AL63,SAM!$A$8:$A$215,0),MATCH(AX$48,SAM!$B$7:$HC$7,0)),0)</f>
        <v>1.2915371699660052</v>
      </c>
      <c r="AY63" s="45">
        <f>_xlfn.IFNA(INDEX(SAM!$B$8:$HC$215,MATCH($AL63,SAM!$A$8:$A$215,0),MATCH(AY$48,SAM!$B$7:$HC$7,0)),0)</f>
        <v>2.2281863968744755</v>
      </c>
      <c r="AZ63" s="45">
        <f>_xlfn.IFNA(INDEX(SAM!$B$8:$HC$215,MATCH($AL63,SAM!$A$8:$A$215,0),MATCH(AZ$48,SAM!$B$7:$HC$7,0)),0)</f>
        <v>4.1441267732582894</v>
      </c>
      <c r="BA63" s="45">
        <f>_xlfn.IFNA(INDEX(SAM!$B$8:$HC$215,MATCH($AL63,SAM!$A$8:$A$215,0),MATCH(BA$48,SAM!$B$7:$HC$7,0)),0)</f>
        <v>26.289546789549661</v>
      </c>
      <c r="BB63" s="45"/>
      <c r="BC63" s="26" t="str">
        <f t="shared" si="115"/>
        <v>afoil</v>
      </c>
      <c r="BD63" s="45">
        <f>_xlfn.IFNA(INDEX(SAM!$B$8:$HC$215,MATCH($BC63,SAM!$A$8:$A$215,0),MATCH(BD$48,SAM!$B$7:$HC$7,0)),0)</f>
        <v>0</v>
      </c>
      <c r="BE63" s="45">
        <f>_xlfn.IFNA(INDEX(SAM!$B$8:$HC$215,MATCH($BC63,SAM!$A$8:$A$215,0),MATCH(BE$48,SAM!$B$7:$HC$7,0)),0)</f>
        <v>0</v>
      </c>
      <c r="BF63" s="45">
        <f>_xlfn.IFNA(INDEX(SAM!$B$8:$HC$215,MATCH($BC63,SAM!$A$8:$A$215,0),MATCH(BF$48,SAM!$B$7:$HC$7,0)),0)</f>
        <v>0</v>
      </c>
      <c r="BG63" s="45">
        <f>_xlfn.IFNA(INDEX(SAM!$B$8:$HC$215,MATCH($BC63,SAM!$A$8:$A$215,0),MATCH(BG$48,SAM!$B$7:$HC$7,0)),0)</f>
        <v>0</v>
      </c>
      <c r="BH63" s="45">
        <f>_xlfn.IFNA(INDEX(SAM!$B$8:$HC$215,MATCH($BC63,SAM!$A$8:$A$215,0),MATCH(BH$48,SAM!$B$7:$HC$7,0)),0)</f>
        <v>0</v>
      </c>
      <c r="BI63" s="45">
        <f>_xlfn.IFNA(INDEX(SAM!$B$8:$HC$215,MATCH($BC63,SAM!$A$8:$A$215,0),MATCH(BI$48,SAM!$B$7:$HC$7,0)),0)</f>
        <v>0</v>
      </c>
      <c r="BJ63" s="45">
        <f>_xlfn.IFNA(INDEX(SAM!$B$8:$HC$215,MATCH($BC63,SAM!$A$8:$A$215,0),MATCH(BJ$48,SAM!$B$7:$HC$7,0)),0)</f>
        <v>0</v>
      </c>
      <c r="BK63" s="45">
        <f>_xlfn.IFNA(INDEX(SAM!$B$8:$HC$215,MATCH($BC63,SAM!$A$8:$A$215,0),MATCH(BK$48,SAM!$B$7:$HC$7,0)),0)</f>
        <v>0</v>
      </c>
      <c r="BL63" s="45">
        <f>_xlfn.IFNA(INDEX(SAM!$B$8:$HC$215,MATCH($BC63,SAM!$A$8:$A$215,0),MATCH(BL$48,SAM!$B$7:$HC$7,0)),0)</f>
        <v>0</v>
      </c>
      <c r="BM63" s="45">
        <f>_xlfn.IFNA(INDEX(SAM!$B$8:$HC$215,MATCH($BC63,SAM!$A$8:$A$215,0),MATCH(BM$48,SAM!$B$7:$HC$7,0)),0)</f>
        <v>0</v>
      </c>
      <c r="BN63" s="45">
        <f>_xlfn.IFNA(INDEX(SAM!$B$8:$HC$215,MATCH($BC63,SAM!$A$8:$A$215,0),MATCH(BN$48,SAM!$B$7:$HC$7,0)),0)</f>
        <v>0</v>
      </c>
      <c r="BO63" s="45">
        <f>_xlfn.IFNA(INDEX(SAM!$B$8:$HC$215,MATCH($BC63,SAM!$A$8:$A$215,0),MATCH(BO$48,SAM!$B$7:$HC$7,0)),0)</f>
        <v>0</v>
      </c>
      <c r="BP63" s="45">
        <f>_xlfn.IFNA(INDEX(SAM!$B$8:$HC$215,MATCH($BC63,SAM!$A$8:$A$215,0),MATCH(BP$48,SAM!$B$7:$HC$7,0)),0)</f>
        <v>0</v>
      </c>
      <c r="BQ63" s="45">
        <f>_xlfn.IFNA(INDEX(SAM!$B$8:$HC$215,MATCH($BC63,SAM!$A$8:$A$215,0),MATCH(BQ$48,SAM!$B$7:$HC$7,0)),0)</f>
        <v>0</v>
      </c>
      <c r="BR63" s="45">
        <f>_xlfn.IFNA(INDEX(SAM!$B$8:$HC$215,MATCH($BC63,SAM!$A$8:$A$215,0),MATCH(BR$48,SAM!$B$7:$HC$7,0)),0)</f>
        <v>0</v>
      </c>
      <c r="BT63" t="str">
        <f t="shared" si="109"/>
        <v>cfoil</v>
      </c>
      <c r="BU63" s="7">
        <f t="shared" si="110"/>
        <v>95.225671321477591</v>
      </c>
      <c r="BW63" s="51" t="s">
        <v>186</v>
      </c>
      <c r="BX63" s="43">
        <f t="shared" si="116"/>
        <v>1.8189525204077517</v>
      </c>
    </row>
    <row r="64" spans="1:76" x14ac:dyDescent="0.25">
      <c r="A64" s="47" t="s">
        <v>624</v>
      </c>
      <c r="B64" s="47" t="s">
        <v>707</v>
      </c>
      <c r="C64" s="48">
        <f t="shared" si="79"/>
        <v>6.4552387149296759</v>
      </c>
      <c r="D64" s="48">
        <f t="shared" si="80"/>
        <v>7.3966803259305456</v>
      </c>
      <c r="E64" s="48">
        <f t="shared" si="81"/>
        <v>9.0900166554497819</v>
      </c>
      <c r="F64" s="48">
        <f t="shared" si="82"/>
        <v>11.389313584157685</v>
      </c>
      <c r="G64" s="48">
        <f t="shared" si="83"/>
        <v>12.54677990547669</v>
      </c>
      <c r="H64" s="48">
        <f t="shared" si="84"/>
        <v>7.1906849038325937</v>
      </c>
      <c r="I64" s="48">
        <f t="shared" si="85"/>
        <v>9.2224516207476999</v>
      </c>
      <c r="J64" s="48">
        <f t="shared" si="86"/>
        <v>11.564234004555205</v>
      </c>
      <c r="K64" s="48">
        <f t="shared" si="87"/>
        <v>11.308831414778723</v>
      </c>
      <c r="L64" s="48">
        <f t="shared" si="88"/>
        <v>11.877470279877718</v>
      </c>
      <c r="M64" s="48">
        <f t="shared" si="89"/>
        <v>5.6884084593506348</v>
      </c>
      <c r="N64" s="48">
        <f t="shared" si="90"/>
        <v>7.6918285632837753</v>
      </c>
      <c r="O64" s="48">
        <f t="shared" si="91"/>
        <v>8.0200363405657491</v>
      </c>
      <c r="P64" s="48">
        <f t="shared" si="92"/>
        <v>7.7220989211121553</v>
      </c>
      <c r="Q64" s="48">
        <f t="shared" si="93"/>
        <v>7.8267261309065264</v>
      </c>
      <c r="R64" s="48">
        <f t="shared" si="94"/>
        <v>9.1358558246134063</v>
      </c>
      <c r="S64" s="47"/>
      <c r="T64" s="47" t="str">
        <f t="shared" si="111"/>
        <v>fobe</v>
      </c>
      <c r="U64" s="48">
        <f t="shared" si="112"/>
        <v>18.979762757089937</v>
      </c>
      <c r="V64" s="48">
        <f t="shared" si="95"/>
        <v>32.215397153830558</v>
      </c>
      <c r="W64" s="48">
        <f t="shared" si="96"/>
        <v>54.318586121870851</v>
      </c>
      <c r="X64" s="48">
        <f t="shared" si="97"/>
        <v>97.872740545549362</v>
      </c>
      <c r="Y64" s="48">
        <f t="shared" si="98"/>
        <v>119.37421577068169</v>
      </c>
      <c r="Z64" s="48">
        <f t="shared" si="99"/>
        <v>4.0710526813053516</v>
      </c>
      <c r="AA64" s="48">
        <f t="shared" si="100"/>
        <v>7.7854982127389567</v>
      </c>
      <c r="AB64" s="48">
        <f t="shared" si="101"/>
        <v>11.827928132378148</v>
      </c>
      <c r="AC64" s="48">
        <f t="shared" si="102"/>
        <v>14.78853862770336</v>
      </c>
      <c r="AD64" s="48">
        <f t="shared" si="103"/>
        <v>19.852395526057279</v>
      </c>
      <c r="AE64" s="48">
        <f t="shared" si="104"/>
        <v>1.6616770408943846</v>
      </c>
      <c r="AF64" s="48">
        <f t="shared" si="105"/>
        <v>4.6857143167764246</v>
      </c>
      <c r="AG64" s="48">
        <f t="shared" si="106"/>
        <v>8.348429826010987</v>
      </c>
      <c r="AH64" s="48">
        <f t="shared" si="107"/>
        <v>17.08715585944072</v>
      </c>
      <c r="AI64" s="48">
        <f t="shared" si="108"/>
        <v>231.91042682017547</v>
      </c>
      <c r="AJ64" s="48">
        <f t="shared" si="113"/>
        <v>644.77951939250352</v>
      </c>
      <c r="AK64" s="47"/>
      <c r="AL64" s="47" t="str">
        <f t="shared" si="114"/>
        <v>cfobe</v>
      </c>
      <c r="AM64" s="48">
        <f>_xlfn.IFNA(INDEX(SAM!$B$8:$HC$215,MATCH($AL64,SAM!$A$8:$A$215,0),MATCH(AM$48,SAM!$B$7:$HC$7,0)),0)</f>
        <v>16.056954656401267</v>
      </c>
      <c r="AN64" s="48">
        <f>_xlfn.IFNA(INDEX(SAM!$B$8:$HC$215,MATCH($AL64,SAM!$A$8:$A$215,0),MATCH(AN$48,SAM!$B$7:$HC$7,0)),0)</f>
        <v>26.878492964834258</v>
      </c>
      <c r="AO64" s="48">
        <f>_xlfn.IFNA(INDEX(SAM!$B$8:$HC$215,MATCH($AL64,SAM!$A$8:$A$215,0),MATCH(AO$48,SAM!$B$7:$HC$7,0)),0)</f>
        <v>40.727030518786485</v>
      </c>
      <c r="AP64" s="48">
        <f>_xlfn.IFNA(INDEX(SAM!$B$8:$HC$215,MATCH($AL64,SAM!$A$8:$A$215,0),MATCH(AP$48,SAM!$B$7:$HC$7,0)),0)</f>
        <v>63.19004672724563</v>
      </c>
      <c r="AQ64" s="48">
        <f>_xlfn.IFNA(INDEX(SAM!$B$8:$HC$215,MATCH($AL64,SAM!$A$8:$A$215,0),MATCH(AQ$48,SAM!$B$7:$HC$7,0)),0)</f>
        <v>86.411487977532829</v>
      </c>
      <c r="AR64" s="48">
        <f>_xlfn.IFNA(INDEX(SAM!$B$8:$HC$215,MATCH($AL64,SAM!$A$8:$A$215,0),MATCH(AR$48,SAM!$B$7:$HC$7,0)),0)</f>
        <v>3.5671098683101063</v>
      </c>
      <c r="AS64" s="48">
        <f>_xlfn.IFNA(INDEX(SAM!$B$8:$HC$215,MATCH($AL64,SAM!$A$8:$A$215,0),MATCH(AS$48,SAM!$B$7:$HC$7,0)),0)</f>
        <v>5.625640653585835</v>
      </c>
      <c r="AT64" s="48">
        <f>_xlfn.IFNA(INDEX(SAM!$B$8:$HC$215,MATCH($AL64,SAM!$A$8:$A$215,0),MATCH(AT$48,SAM!$B$7:$HC$7,0)),0)</f>
        <v>7.4791135398837874</v>
      </c>
      <c r="AU64" s="48">
        <f>_xlfn.IFNA(INDEX(SAM!$B$8:$HC$215,MATCH($AL64,SAM!$A$8:$A$215,0),MATCH(AU$48,SAM!$B$7:$HC$7,0)),0)</f>
        <v>10.751017766540627</v>
      </c>
      <c r="AV64" s="48">
        <f>_xlfn.IFNA(INDEX(SAM!$B$8:$HC$215,MATCH($AL64,SAM!$A$8:$A$215,0),MATCH(AV$48,SAM!$B$7:$HC$7,0)),0)</f>
        <v>15.164868067772279</v>
      </c>
      <c r="AW64" s="48">
        <f>_xlfn.IFNA(INDEX(SAM!$B$8:$HC$215,MATCH($AL64,SAM!$A$8:$A$215,0),MATCH(AW$48,SAM!$B$7:$HC$7,0)),0)</f>
        <v>1.6616656817789648</v>
      </c>
      <c r="AX64" s="48">
        <f>_xlfn.IFNA(INDEX(SAM!$B$8:$HC$215,MATCH($AL64,SAM!$A$8:$A$215,0),MATCH(AX$48,SAM!$B$7:$HC$7,0)),0)</f>
        <v>3.8003876701919683</v>
      </c>
      <c r="AY64" s="48">
        <f>_xlfn.IFNA(INDEX(SAM!$B$8:$HC$215,MATCH($AL64,SAM!$A$8:$A$215,0),MATCH(AY$48,SAM!$B$7:$HC$7,0)),0)</f>
        <v>7.66377495823179</v>
      </c>
      <c r="AZ64" s="48">
        <f>_xlfn.IFNA(INDEX(SAM!$B$8:$HC$215,MATCH($AL64,SAM!$A$8:$A$215,0),MATCH(AZ$48,SAM!$B$7:$HC$7,0)),0)</f>
        <v>16.064734619628069</v>
      </c>
      <c r="BA64" s="48">
        <f>_xlfn.IFNA(INDEX(SAM!$B$8:$HC$215,MATCH($AL64,SAM!$A$8:$A$215,0),MATCH(BA$48,SAM!$B$7:$HC$7,0)),0)</f>
        <v>222.99700003480086</v>
      </c>
      <c r="BB64" s="48"/>
      <c r="BC64" s="47" t="str">
        <f t="shared" si="115"/>
        <v>afobe</v>
      </c>
      <c r="BD64" s="48">
        <f>_xlfn.IFNA(INDEX(SAM!$B$8:$HC$215,MATCH($BC64,SAM!$A$8:$A$215,0),MATCH(BD$48,SAM!$B$7:$HC$7,0)),0)</f>
        <v>2.9228081006886701</v>
      </c>
      <c r="BE64" s="48">
        <f>_xlfn.IFNA(INDEX(SAM!$B$8:$HC$215,MATCH($BC64,SAM!$A$8:$A$215,0),MATCH(BE$48,SAM!$B$7:$HC$7,0)),0)</f>
        <v>5.3369041889962991</v>
      </c>
      <c r="BF64" s="48">
        <f>_xlfn.IFNA(INDEX(SAM!$B$8:$HC$215,MATCH($BC64,SAM!$A$8:$A$215,0),MATCH(BF$48,SAM!$B$7:$HC$7,0)),0)</f>
        <v>13.591555603084364</v>
      </c>
      <c r="BG64" s="48">
        <f>_xlfn.IFNA(INDEX(SAM!$B$8:$HC$215,MATCH($BC64,SAM!$A$8:$A$215,0),MATCH(BG$48,SAM!$B$7:$HC$7,0)),0)</f>
        <v>34.682693818303726</v>
      </c>
      <c r="BH64" s="48">
        <f>_xlfn.IFNA(INDEX(SAM!$B$8:$HC$215,MATCH($BC64,SAM!$A$8:$A$215,0),MATCH(BH$48,SAM!$B$7:$HC$7,0)),0)</f>
        <v>32.962727793148858</v>
      </c>
      <c r="BI64" s="48">
        <f>_xlfn.IFNA(INDEX(SAM!$B$8:$HC$215,MATCH($BC64,SAM!$A$8:$A$215,0),MATCH(BI$48,SAM!$B$7:$HC$7,0)),0)</f>
        <v>0.50394281299524479</v>
      </c>
      <c r="BJ64" s="48">
        <f>_xlfn.IFNA(INDEX(SAM!$B$8:$HC$215,MATCH($BC64,SAM!$A$8:$A$215,0),MATCH(BJ$48,SAM!$B$7:$HC$7,0)),0)</f>
        <v>2.1598575591531217</v>
      </c>
      <c r="BK64" s="48">
        <f>_xlfn.IFNA(INDEX(SAM!$B$8:$HC$215,MATCH($BC64,SAM!$A$8:$A$215,0),MATCH(BK$48,SAM!$B$7:$HC$7,0)),0)</f>
        <v>4.3488145924943593</v>
      </c>
      <c r="BL64" s="48">
        <f>_xlfn.IFNA(INDEX(SAM!$B$8:$HC$215,MATCH($BC64,SAM!$A$8:$A$215,0),MATCH(BL$48,SAM!$B$7:$HC$7,0)),0)</f>
        <v>4.0375208611627329</v>
      </c>
      <c r="BM64" s="48">
        <f>_xlfn.IFNA(INDEX(SAM!$B$8:$HC$215,MATCH($BC64,SAM!$A$8:$A$215,0),MATCH(BM$48,SAM!$B$7:$HC$7,0)),0)</f>
        <v>4.6875274582850004</v>
      </c>
      <c r="BN64" s="48">
        <f>_xlfn.IFNA(INDEX(SAM!$B$8:$HC$215,MATCH($BC64,SAM!$A$8:$A$215,0),MATCH(BN$48,SAM!$B$7:$HC$7,0)),0)</f>
        <v>1.1359115419754686E-5</v>
      </c>
      <c r="BO64" s="48">
        <f>_xlfn.IFNA(INDEX(SAM!$B$8:$HC$215,MATCH($BC64,SAM!$A$8:$A$215,0),MATCH(BO$48,SAM!$B$7:$HC$7,0)),0)</f>
        <v>0.88532664658445637</v>
      </c>
      <c r="BP64" s="48">
        <f>_xlfn.IFNA(INDEX(SAM!$B$8:$HC$215,MATCH($BC64,SAM!$A$8:$A$215,0),MATCH(BP$48,SAM!$B$7:$HC$7,0)),0)</f>
        <v>0.68465486777919748</v>
      </c>
      <c r="BQ64" s="48">
        <f>_xlfn.IFNA(INDEX(SAM!$B$8:$HC$215,MATCH($BC64,SAM!$A$8:$A$215,0),MATCH(BQ$48,SAM!$B$7:$HC$7,0)),0)</f>
        <v>1.0224212398126529</v>
      </c>
      <c r="BR64" s="48">
        <f>_xlfn.IFNA(INDEX(SAM!$B$8:$HC$215,MATCH($BC64,SAM!$A$8:$A$215,0),MATCH(BR$48,SAM!$B$7:$HC$7,0)),0)</f>
        <v>8.9134267853745985</v>
      </c>
      <c r="BT64" t="str">
        <f t="shared" si="109"/>
        <v>cfobe</v>
      </c>
      <c r="BU64" s="7">
        <f t="shared" si="110"/>
        <v>644.77951939250352</v>
      </c>
      <c r="BW64" s="51" t="s">
        <v>293</v>
      </c>
      <c r="BX64" s="43">
        <f t="shared" si="116"/>
        <v>1.3492488173549722</v>
      </c>
    </row>
    <row r="65" spans="1:76" x14ac:dyDescent="0.25">
      <c r="A65" t="str">
        <f t="shared" ref="A65:A72" si="118">HLOOKUP(B65,$B$6:$BR$9,4,FALSE)</f>
        <v>clothing and textile</v>
      </c>
      <c r="B65" t="s">
        <v>36</v>
      </c>
      <c r="C65" s="18">
        <f t="shared" si="79"/>
        <v>4.4733670280021407</v>
      </c>
      <c r="D65" s="18">
        <f t="shared" si="80"/>
        <v>5.0890490379952782</v>
      </c>
      <c r="E65" s="18">
        <f t="shared" si="81"/>
        <v>5.4129345339309385</v>
      </c>
      <c r="F65" s="18">
        <f t="shared" si="82"/>
        <v>5.3812777433053336</v>
      </c>
      <c r="G65" s="18">
        <f t="shared" si="83"/>
        <v>5.5308897069336904</v>
      </c>
      <c r="H65" s="18">
        <f t="shared" si="84"/>
        <v>5.3625083421140429</v>
      </c>
      <c r="I65" s="18">
        <f t="shared" si="85"/>
        <v>5.3354419657385037</v>
      </c>
      <c r="J65" s="18">
        <f t="shared" si="86"/>
        <v>5.4188606963113841</v>
      </c>
      <c r="K65" s="18">
        <f t="shared" si="87"/>
        <v>5.6210893034771123</v>
      </c>
      <c r="L65" s="18">
        <f t="shared" si="88"/>
        <v>5.4043208818488893</v>
      </c>
      <c r="M65" s="18">
        <f t="shared" si="89"/>
        <v>4.2012992727706644</v>
      </c>
      <c r="N65" s="18">
        <f t="shared" si="90"/>
        <v>4.42328131983151</v>
      </c>
      <c r="O65" s="18">
        <f t="shared" si="91"/>
        <v>5.0664665502806114</v>
      </c>
      <c r="P65" s="18">
        <f t="shared" si="92"/>
        <v>5.2494459612313999</v>
      </c>
      <c r="Q65" s="18">
        <f t="shared" si="93"/>
        <v>4.819414066020542</v>
      </c>
      <c r="R65" s="18">
        <f t="shared" si="94"/>
        <v>5.0952857833125433</v>
      </c>
      <c r="T65" t="str">
        <f t="shared" si="111"/>
        <v>text</v>
      </c>
      <c r="U65" s="18">
        <f t="shared" ref="U65:AI65" si="119">IFERROR(AM65+BD65,"")</f>
        <v>13.152642166509573</v>
      </c>
      <c r="V65" s="18">
        <f t="shared" si="119"/>
        <v>22.164772393852495</v>
      </c>
      <c r="W65" s="18">
        <f t="shared" si="119"/>
        <v>32.345699881319746</v>
      </c>
      <c r="X65" s="18">
        <f t="shared" si="119"/>
        <v>46.243383895115905</v>
      </c>
      <c r="Y65" s="18">
        <f t="shared" si="119"/>
        <v>52.622714852210528</v>
      </c>
      <c r="Z65" s="18">
        <f t="shared" si="119"/>
        <v>3.0360187181960736</v>
      </c>
      <c r="AA65" s="18">
        <f t="shared" si="119"/>
        <v>4.5041248896312256</v>
      </c>
      <c r="AB65" s="18">
        <f t="shared" si="119"/>
        <v>5.5424245868851125</v>
      </c>
      <c r="AC65" s="18">
        <f t="shared" si="119"/>
        <v>7.3506884350232395</v>
      </c>
      <c r="AD65" s="18">
        <f t="shared" si="119"/>
        <v>9.032960147916226</v>
      </c>
      <c r="AE65" s="18">
        <f t="shared" si="119"/>
        <v>1.2272681530127381</v>
      </c>
      <c r="AF65" s="18">
        <f t="shared" si="119"/>
        <v>2.6945780755435655</v>
      </c>
      <c r="AG65" s="18">
        <f t="shared" si="119"/>
        <v>5.2739212972027421</v>
      </c>
      <c r="AH65" s="18">
        <f t="shared" si="119"/>
        <v>11.615766934821135</v>
      </c>
      <c r="AI65" s="18">
        <f t="shared" si="119"/>
        <v>142.80202914734255</v>
      </c>
      <c r="AJ65" s="18">
        <f>SUM(U65:AI65)</f>
        <v>359.60899357458283</v>
      </c>
      <c r="AL65" t="str">
        <f t="shared" si="114"/>
        <v>ctext</v>
      </c>
      <c r="AM65" s="18">
        <f>_xlfn.IFNA(INDEX(SAM!$B$8:$HC$215,MATCH($AL65,SAM!$A$8:$A$215,0),MATCH(AM$48,SAM!$B$7:$HC$7,0)),0)</f>
        <v>13.152642166509573</v>
      </c>
      <c r="AN65" s="18">
        <f>_xlfn.IFNA(INDEX(SAM!$B$8:$HC$215,MATCH($AL65,SAM!$A$8:$A$215,0),MATCH(AN$48,SAM!$B$7:$HC$7,0)),0)</f>
        <v>22.164772393852495</v>
      </c>
      <c r="AO65" s="18">
        <f>_xlfn.IFNA(INDEX(SAM!$B$8:$HC$215,MATCH($AL65,SAM!$A$8:$A$215,0),MATCH(AO$48,SAM!$B$7:$HC$7,0)),0)</f>
        <v>32.345699881319746</v>
      </c>
      <c r="AP65" s="18">
        <f>_xlfn.IFNA(INDEX(SAM!$B$8:$HC$215,MATCH($AL65,SAM!$A$8:$A$215,0),MATCH(AP$48,SAM!$B$7:$HC$7,0)),0)</f>
        <v>46.243383895115905</v>
      </c>
      <c r="AQ65" s="18">
        <f>_xlfn.IFNA(INDEX(SAM!$B$8:$HC$215,MATCH($AL65,SAM!$A$8:$A$215,0),MATCH(AQ$48,SAM!$B$7:$HC$7,0)),0)</f>
        <v>52.622714852210528</v>
      </c>
      <c r="AR65" s="18">
        <f>_xlfn.IFNA(INDEX(SAM!$B$8:$HC$215,MATCH($AL65,SAM!$A$8:$A$215,0),MATCH(AR$48,SAM!$B$7:$HC$7,0)),0)</f>
        <v>3.0360187181960736</v>
      </c>
      <c r="AS65" s="18">
        <f>_xlfn.IFNA(INDEX(SAM!$B$8:$HC$215,MATCH($AL65,SAM!$A$8:$A$215,0),MATCH(AS$48,SAM!$B$7:$HC$7,0)),0)</f>
        <v>4.5041248896312256</v>
      </c>
      <c r="AT65" s="18">
        <f>_xlfn.IFNA(INDEX(SAM!$B$8:$HC$215,MATCH($AL65,SAM!$A$8:$A$215,0),MATCH(AT$48,SAM!$B$7:$HC$7,0)),0)</f>
        <v>5.5424245868851125</v>
      </c>
      <c r="AU65" s="18">
        <f>_xlfn.IFNA(INDEX(SAM!$B$8:$HC$215,MATCH($AL65,SAM!$A$8:$A$215,0),MATCH(AU$48,SAM!$B$7:$HC$7,0)),0)</f>
        <v>7.3506884350232395</v>
      </c>
      <c r="AV65" s="18">
        <f>_xlfn.IFNA(INDEX(SAM!$B$8:$HC$215,MATCH($AL65,SAM!$A$8:$A$215,0),MATCH(AV$48,SAM!$B$7:$HC$7,0)),0)</f>
        <v>9.032960147916226</v>
      </c>
      <c r="AW65" s="18">
        <f>_xlfn.IFNA(INDEX(SAM!$B$8:$HC$215,MATCH($AL65,SAM!$A$8:$A$215,0),MATCH(AW$48,SAM!$B$7:$HC$7,0)),0)</f>
        <v>1.2272681530127381</v>
      </c>
      <c r="AX65" s="18">
        <f>_xlfn.IFNA(INDEX(SAM!$B$8:$HC$215,MATCH($AL65,SAM!$A$8:$A$215,0),MATCH(AX$48,SAM!$B$7:$HC$7,0)),0)</f>
        <v>2.6945780755435655</v>
      </c>
      <c r="AY65" s="18">
        <f>_xlfn.IFNA(INDEX(SAM!$B$8:$HC$215,MATCH($AL65,SAM!$A$8:$A$215,0),MATCH(AY$48,SAM!$B$7:$HC$7,0)),0)</f>
        <v>5.2739212972027421</v>
      </c>
      <c r="AZ65" s="18">
        <f>_xlfn.IFNA(INDEX(SAM!$B$8:$HC$215,MATCH($AL65,SAM!$A$8:$A$215,0),MATCH(AZ$48,SAM!$B$7:$HC$7,0)),0)</f>
        <v>11.615766934821135</v>
      </c>
      <c r="BA65" s="18">
        <f>_xlfn.IFNA(INDEX(SAM!$B$8:$HC$215,MATCH($AL65,SAM!$A$8:$A$215,0),MATCH(BA$48,SAM!$B$7:$HC$7,0)),0)</f>
        <v>142.80202914734255</v>
      </c>
      <c r="BB65" s="18"/>
      <c r="BC65" t="str">
        <f t="shared" si="115"/>
        <v>atext</v>
      </c>
      <c r="BD65" s="18">
        <f>_xlfn.IFNA(INDEX(SAM!$B$8:$HC$215,MATCH($BC65,SAM!$A$8:$A$215,0),MATCH(BD$48,SAM!$B$7:$HC$7,0)),0)</f>
        <v>0</v>
      </c>
      <c r="BE65" s="18">
        <f>_xlfn.IFNA(INDEX(SAM!$B$8:$HC$215,MATCH($BC65,SAM!$A$8:$A$215,0),MATCH(BE$48,SAM!$B$7:$HC$7,0)),0)</f>
        <v>0</v>
      </c>
      <c r="BF65" s="18">
        <f>_xlfn.IFNA(INDEX(SAM!$B$8:$HC$215,MATCH($BC65,SAM!$A$8:$A$215,0),MATCH(BF$48,SAM!$B$7:$HC$7,0)),0)</f>
        <v>0</v>
      </c>
      <c r="BG65" s="18">
        <f>_xlfn.IFNA(INDEX(SAM!$B$8:$HC$215,MATCH($BC65,SAM!$A$8:$A$215,0),MATCH(BG$48,SAM!$B$7:$HC$7,0)),0)</f>
        <v>0</v>
      </c>
      <c r="BH65" s="18">
        <f>_xlfn.IFNA(INDEX(SAM!$B$8:$HC$215,MATCH($BC65,SAM!$A$8:$A$215,0),MATCH(BH$48,SAM!$B$7:$HC$7,0)),0)</f>
        <v>0</v>
      </c>
      <c r="BI65" s="18">
        <f>_xlfn.IFNA(INDEX(SAM!$B$8:$HC$215,MATCH($BC65,SAM!$A$8:$A$215,0),MATCH(BI$48,SAM!$B$7:$HC$7,0)),0)</f>
        <v>0</v>
      </c>
      <c r="BJ65" s="18">
        <f>_xlfn.IFNA(INDEX(SAM!$B$8:$HC$215,MATCH($BC65,SAM!$A$8:$A$215,0),MATCH(BJ$48,SAM!$B$7:$HC$7,0)),0)</f>
        <v>0</v>
      </c>
      <c r="BK65" s="18">
        <f>_xlfn.IFNA(INDEX(SAM!$B$8:$HC$215,MATCH($BC65,SAM!$A$8:$A$215,0),MATCH(BK$48,SAM!$B$7:$HC$7,0)),0)</f>
        <v>0</v>
      </c>
      <c r="BL65" s="18">
        <f>_xlfn.IFNA(INDEX(SAM!$B$8:$HC$215,MATCH($BC65,SAM!$A$8:$A$215,0),MATCH(BL$48,SAM!$B$7:$HC$7,0)),0)</f>
        <v>0</v>
      </c>
      <c r="BM65" s="18">
        <f>_xlfn.IFNA(INDEX(SAM!$B$8:$HC$215,MATCH($BC65,SAM!$A$8:$A$215,0),MATCH(BM$48,SAM!$B$7:$HC$7,0)),0)</f>
        <v>0</v>
      </c>
      <c r="BN65" s="18">
        <f>_xlfn.IFNA(INDEX(SAM!$B$8:$HC$215,MATCH($BC65,SAM!$A$8:$A$215,0),MATCH(BN$48,SAM!$B$7:$HC$7,0)),0)</f>
        <v>0</v>
      </c>
      <c r="BO65" s="18">
        <f>_xlfn.IFNA(INDEX(SAM!$B$8:$HC$215,MATCH($BC65,SAM!$A$8:$A$215,0),MATCH(BO$48,SAM!$B$7:$HC$7,0)),0)</f>
        <v>0</v>
      </c>
      <c r="BP65" s="18">
        <f>_xlfn.IFNA(INDEX(SAM!$B$8:$HC$215,MATCH($BC65,SAM!$A$8:$A$215,0),MATCH(BP$48,SAM!$B$7:$HC$7,0)),0)</f>
        <v>0</v>
      </c>
      <c r="BQ65" s="18">
        <f>_xlfn.IFNA(INDEX(SAM!$B$8:$HC$215,MATCH($BC65,SAM!$A$8:$A$215,0),MATCH(BQ$48,SAM!$B$7:$HC$7,0)),0)</f>
        <v>0</v>
      </c>
      <c r="BR65" s="18">
        <f>_xlfn.IFNA(INDEX(SAM!$B$8:$HC$215,MATCH($BC65,SAM!$A$8:$A$215,0),MATCH(BR$48,SAM!$B$7:$HC$7,0)),0)</f>
        <v>0</v>
      </c>
      <c r="BT65" t="str">
        <f t="shared" si="109"/>
        <v>ctext</v>
      </c>
      <c r="BU65" s="7">
        <f t="shared" si="110"/>
        <v>359.60899357458283</v>
      </c>
      <c r="BW65" s="51" t="s">
        <v>292</v>
      </c>
      <c r="BX65" s="43">
        <f t="shared" si="116"/>
        <v>0.62432348656900072</v>
      </c>
    </row>
    <row r="66" spans="1:76" x14ac:dyDescent="0.25">
      <c r="A66" s="38" t="str">
        <f t="shared" si="118"/>
        <v>utilities</v>
      </c>
      <c r="B66" s="38" t="s">
        <v>44</v>
      </c>
      <c r="C66" s="46">
        <f t="shared" si="79"/>
        <v>2.6065203563192533E-2</v>
      </c>
      <c r="D66" s="46">
        <f t="shared" si="80"/>
        <v>3.7367725829045281E-2</v>
      </c>
      <c r="E66" s="46">
        <f t="shared" si="81"/>
        <v>6.7972254178922956E-2</v>
      </c>
      <c r="F66" s="46">
        <f t="shared" si="82"/>
        <v>7.9013133852034151E-2</v>
      </c>
      <c r="G66" s="46">
        <f t="shared" si="83"/>
        <v>0.1236979712969173</v>
      </c>
      <c r="H66" s="46">
        <f t="shared" si="84"/>
        <v>1.9312441609731865E-2</v>
      </c>
      <c r="I66" s="46">
        <f t="shared" si="85"/>
        <v>5.0195531852171196E-2</v>
      </c>
      <c r="J66" s="46">
        <f t="shared" si="86"/>
        <v>6.5701310566236695E-2</v>
      </c>
      <c r="K66" s="46">
        <f t="shared" si="87"/>
        <v>7.1349402717227436E-2</v>
      </c>
      <c r="L66" s="46">
        <f t="shared" si="88"/>
        <v>0.10666087314054847</v>
      </c>
      <c r="M66" s="46">
        <f t="shared" si="89"/>
        <v>9.6322378350694099E-2</v>
      </c>
      <c r="N66" s="46">
        <f t="shared" si="90"/>
        <v>0.13748551634379458</v>
      </c>
      <c r="O66" s="46">
        <f t="shared" si="91"/>
        <v>0.22386328952393095</v>
      </c>
      <c r="P66" s="46">
        <f t="shared" si="92"/>
        <v>0.30428257346008858</v>
      </c>
      <c r="Q66" s="46">
        <f t="shared" si="93"/>
        <v>0.24979998427079139</v>
      </c>
      <c r="R66" s="46">
        <f t="shared" si="94"/>
        <v>0.16030039643035404</v>
      </c>
      <c r="S66" s="38"/>
      <c r="T66" s="38" t="str">
        <f t="shared" si="111"/>
        <v>elec</v>
      </c>
      <c r="U66" s="46">
        <f t="shared" si="112"/>
        <v>7.6637193710664964E-2</v>
      </c>
      <c r="V66" s="46">
        <f t="shared" si="95"/>
        <v>0.16275086596590194</v>
      </c>
      <c r="W66" s="46">
        <f t="shared" si="96"/>
        <v>0.40617711523135064</v>
      </c>
      <c r="X66" s="46">
        <f t="shared" si="97"/>
        <v>0.67899016846350413</v>
      </c>
      <c r="Y66" s="46">
        <f t="shared" si="98"/>
        <v>1.1769034307797384</v>
      </c>
      <c r="Z66" s="46">
        <f t="shared" si="99"/>
        <v>1.0933863498308332E-2</v>
      </c>
      <c r="AA66" s="46">
        <f t="shared" si="100"/>
        <v>4.2374548503283635E-2</v>
      </c>
      <c r="AB66" s="46">
        <f t="shared" si="101"/>
        <v>6.7199468574779556E-2</v>
      </c>
      <c r="AC66" s="46">
        <f t="shared" si="102"/>
        <v>9.3303486403411656E-2</v>
      </c>
      <c r="AD66" s="46">
        <f t="shared" si="103"/>
        <v>0.1782765008747795</v>
      </c>
      <c r="AE66" s="46">
        <f t="shared" si="104"/>
        <v>2.8137340307654725E-2</v>
      </c>
      <c r="AF66" s="46">
        <f t="shared" si="105"/>
        <v>8.3753537534186739E-2</v>
      </c>
      <c r="AG66" s="46">
        <f t="shared" si="106"/>
        <v>0.23302973750349384</v>
      </c>
      <c r="AH66" s="46">
        <f t="shared" si="107"/>
        <v>0.67330447474705946</v>
      </c>
      <c r="AI66" s="46">
        <f t="shared" si="108"/>
        <v>7.4017181645274333</v>
      </c>
      <c r="AJ66" s="46">
        <f t="shared" si="113"/>
        <v>11.313489896625551</v>
      </c>
      <c r="AK66" s="38"/>
      <c r="AL66" s="38" t="str">
        <f t="shared" si="114"/>
        <v>celec</v>
      </c>
      <c r="AM66" s="46">
        <f>_xlfn.IFNA(INDEX(SAM!$B$8:$HC$215,MATCH($AL66,SAM!$A$8:$A$215,0),MATCH(AM$48,SAM!$B$7:$HC$7,0)),0)</f>
        <v>7.6637193710664964E-2</v>
      </c>
      <c r="AN66" s="46">
        <f>_xlfn.IFNA(INDEX(SAM!$B$8:$HC$215,MATCH($AL66,SAM!$A$8:$A$215,0),MATCH(AN$48,SAM!$B$7:$HC$7,0)),0)</f>
        <v>0.16275086596590194</v>
      </c>
      <c r="AO66" s="46">
        <f>_xlfn.IFNA(INDEX(SAM!$B$8:$HC$215,MATCH($AL66,SAM!$A$8:$A$215,0),MATCH(AO$48,SAM!$B$7:$HC$7,0)),0)</f>
        <v>0.40617711523135064</v>
      </c>
      <c r="AP66" s="46">
        <f>_xlfn.IFNA(INDEX(SAM!$B$8:$HC$215,MATCH($AL66,SAM!$A$8:$A$215,0),MATCH(AP$48,SAM!$B$7:$HC$7,0)),0)</f>
        <v>0.67899016846350413</v>
      </c>
      <c r="AQ66" s="46">
        <f>_xlfn.IFNA(INDEX(SAM!$B$8:$HC$215,MATCH($AL66,SAM!$A$8:$A$215,0),MATCH(AQ$48,SAM!$B$7:$HC$7,0)),0)</f>
        <v>1.1769034307797384</v>
      </c>
      <c r="AR66" s="46">
        <f>_xlfn.IFNA(INDEX(SAM!$B$8:$HC$215,MATCH($AL66,SAM!$A$8:$A$215,0),MATCH(AR$48,SAM!$B$7:$HC$7,0)),0)</f>
        <v>1.0933863498308332E-2</v>
      </c>
      <c r="AS66" s="46">
        <f>_xlfn.IFNA(INDEX(SAM!$B$8:$HC$215,MATCH($AL66,SAM!$A$8:$A$215,0),MATCH(AS$48,SAM!$B$7:$HC$7,0)),0)</f>
        <v>4.2374548503283635E-2</v>
      </c>
      <c r="AT66" s="46">
        <f>_xlfn.IFNA(INDEX(SAM!$B$8:$HC$215,MATCH($AL66,SAM!$A$8:$A$215,0),MATCH(AT$48,SAM!$B$7:$HC$7,0)),0)</f>
        <v>6.7199468574779556E-2</v>
      </c>
      <c r="AU66" s="46">
        <f>_xlfn.IFNA(INDEX(SAM!$B$8:$HC$215,MATCH($AL66,SAM!$A$8:$A$215,0),MATCH(AU$48,SAM!$B$7:$HC$7,0)),0)</f>
        <v>9.3303486403411656E-2</v>
      </c>
      <c r="AV66" s="46">
        <f>_xlfn.IFNA(INDEX(SAM!$B$8:$HC$215,MATCH($AL66,SAM!$A$8:$A$215,0),MATCH(AV$48,SAM!$B$7:$HC$7,0)),0)</f>
        <v>0.1782765008747795</v>
      </c>
      <c r="AW66" s="46">
        <f>_xlfn.IFNA(INDEX(SAM!$B$8:$HC$215,MATCH($AL66,SAM!$A$8:$A$215,0),MATCH(AW$48,SAM!$B$7:$HC$7,0)),0)</f>
        <v>2.8137340307654725E-2</v>
      </c>
      <c r="AX66" s="46">
        <f>_xlfn.IFNA(INDEX(SAM!$B$8:$HC$215,MATCH($AL66,SAM!$A$8:$A$215,0),MATCH(AX$48,SAM!$B$7:$HC$7,0)),0)</f>
        <v>8.3753537534186739E-2</v>
      </c>
      <c r="AY66" s="46">
        <f>_xlfn.IFNA(INDEX(SAM!$B$8:$HC$215,MATCH($AL66,SAM!$A$8:$A$215,0),MATCH(AY$48,SAM!$B$7:$HC$7,0)),0)</f>
        <v>0.23302973750349384</v>
      </c>
      <c r="AZ66" s="46">
        <f>_xlfn.IFNA(INDEX(SAM!$B$8:$HC$215,MATCH($AL66,SAM!$A$8:$A$215,0),MATCH(AZ$48,SAM!$B$7:$HC$7,0)),0)</f>
        <v>0.67330447474705946</v>
      </c>
      <c r="BA66" s="46">
        <f>_xlfn.IFNA(INDEX(SAM!$B$8:$HC$215,MATCH($AL66,SAM!$A$8:$A$215,0),MATCH(BA$48,SAM!$B$7:$HC$7,0)),0)</f>
        <v>7.4017181645274333</v>
      </c>
      <c r="BB66" s="46"/>
      <c r="BC66" s="38" t="str">
        <f t="shared" si="115"/>
        <v>aelec</v>
      </c>
      <c r="BD66" s="46">
        <f>_xlfn.IFNA(INDEX(SAM!$B$8:$HC$215,MATCH($BC66,SAM!$A$8:$A$215,0),MATCH(BD$48,SAM!$B$7:$HC$7,0)),0)</f>
        <v>0</v>
      </c>
      <c r="BE66" s="46">
        <f>_xlfn.IFNA(INDEX(SAM!$B$8:$HC$215,MATCH($BC66,SAM!$A$8:$A$215,0),MATCH(BE$48,SAM!$B$7:$HC$7,0)),0)</f>
        <v>0</v>
      </c>
      <c r="BF66" s="46">
        <f>_xlfn.IFNA(INDEX(SAM!$B$8:$HC$215,MATCH($BC66,SAM!$A$8:$A$215,0),MATCH(BF$48,SAM!$B$7:$HC$7,0)),0)</f>
        <v>0</v>
      </c>
      <c r="BG66" s="46">
        <f>_xlfn.IFNA(INDEX(SAM!$B$8:$HC$215,MATCH($BC66,SAM!$A$8:$A$215,0),MATCH(BG$48,SAM!$B$7:$HC$7,0)),0)</f>
        <v>0</v>
      </c>
      <c r="BH66" s="46">
        <f>_xlfn.IFNA(INDEX(SAM!$B$8:$HC$215,MATCH($BC66,SAM!$A$8:$A$215,0),MATCH(BH$48,SAM!$B$7:$HC$7,0)),0)</f>
        <v>0</v>
      </c>
      <c r="BI66" s="46">
        <f>_xlfn.IFNA(INDEX(SAM!$B$8:$HC$215,MATCH($BC66,SAM!$A$8:$A$215,0),MATCH(BI$48,SAM!$B$7:$HC$7,0)),0)</f>
        <v>0</v>
      </c>
      <c r="BJ66" s="46">
        <f>_xlfn.IFNA(INDEX(SAM!$B$8:$HC$215,MATCH($BC66,SAM!$A$8:$A$215,0),MATCH(BJ$48,SAM!$B$7:$HC$7,0)),0)</f>
        <v>0</v>
      </c>
      <c r="BK66" s="46">
        <f>_xlfn.IFNA(INDEX(SAM!$B$8:$HC$215,MATCH($BC66,SAM!$A$8:$A$215,0),MATCH(BK$48,SAM!$B$7:$HC$7,0)),0)</f>
        <v>0</v>
      </c>
      <c r="BL66" s="46">
        <f>_xlfn.IFNA(INDEX(SAM!$B$8:$HC$215,MATCH($BC66,SAM!$A$8:$A$215,0),MATCH(BL$48,SAM!$B$7:$HC$7,0)),0)</f>
        <v>0</v>
      </c>
      <c r="BM66" s="46">
        <f>_xlfn.IFNA(INDEX(SAM!$B$8:$HC$215,MATCH($BC66,SAM!$A$8:$A$215,0),MATCH(BM$48,SAM!$B$7:$HC$7,0)),0)</f>
        <v>0</v>
      </c>
      <c r="BN66" s="46">
        <f>_xlfn.IFNA(INDEX(SAM!$B$8:$HC$215,MATCH($BC66,SAM!$A$8:$A$215,0),MATCH(BN$48,SAM!$B$7:$HC$7,0)),0)</f>
        <v>0</v>
      </c>
      <c r="BO66" s="46">
        <f>_xlfn.IFNA(INDEX(SAM!$B$8:$HC$215,MATCH($BC66,SAM!$A$8:$A$215,0),MATCH(BO$48,SAM!$B$7:$HC$7,0)),0)</f>
        <v>0</v>
      </c>
      <c r="BP66" s="46">
        <f>_xlfn.IFNA(INDEX(SAM!$B$8:$HC$215,MATCH($BC66,SAM!$A$8:$A$215,0),MATCH(BP$48,SAM!$B$7:$HC$7,0)),0)</f>
        <v>0</v>
      </c>
      <c r="BQ66" s="46">
        <f>_xlfn.IFNA(INDEX(SAM!$B$8:$HC$215,MATCH($BC66,SAM!$A$8:$A$215,0),MATCH(BQ$48,SAM!$B$7:$HC$7,0)),0)</f>
        <v>0</v>
      </c>
      <c r="BR66" s="46">
        <f>_xlfn.IFNA(INDEX(SAM!$B$8:$HC$215,MATCH($BC66,SAM!$A$8:$A$215,0),MATCH(BR$48,SAM!$B$7:$HC$7,0)),0)</f>
        <v>0</v>
      </c>
      <c r="BT66" t="str">
        <f t="shared" si="109"/>
        <v>celec</v>
      </c>
      <c r="BU66" s="7">
        <f t="shared" si="110"/>
        <v>11.313489896625551</v>
      </c>
      <c r="BW66" s="51" t="s">
        <v>185</v>
      </c>
      <c r="BX66" s="43">
        <f t="shared" si="116"/>
        <v>1.280908593649579</v>
      </c>
    </row>
    <row r="67" spans="1:76" x14ac:dyDescent="0.25">
      <c r="A67" s="26" t="str">
        <f t="shared" si="118"/>
        <v>utilities</v>
      </c>
      <c r="B67" s="26" t="s">
        <v>45</v>
      </c>
      <c r="C67" s="45">
        <f t="shared" si="79"/>
        <v>8.6632003242500893E-2</v>
      </c>
      <c r="D67" s="45">
        <f t="shared" si="80"/>
        <v>0.11327284217058121</v>
      </c>
      <c r="E67" s="45">
        <f t="shared" si="81"/>
        <v>0.12213603997957201</v>
      </c>
      <c r="F67" s="45">
        <f t="shared" si="82"/>
        <v>0.15217319437995386</v>
      </c>
      <c r="G67" s="45">
        <f t="shared" si="83"/>
        <v>0.24796448237685115</v>
      </c>
      <c r="H67" s="45">
        <f t="shared" si="84"/>
        <v>8.0140874994096653E-2</v>
      </c>
      <c r="I67" s="45">
        <f t="shared" si="85"/>
        <v>0.11826097232906861</v>
      </c>
      <c r="J67" s="45">
        <f t="shared" si="86"/>
        <v>0.13019377348107675</v>
      </c>
      <c r="K67" s="45">
        <f t="shared" si="87"/>
        <v>0.16066300328218966</v>
      </c>
      <c r="L67" s="45">
        <f t="shared" si="88"/>
        <v>0.26122410824270459</v>
      </c>
      <c r="M67" s="45">
        <f t="shared" si="89"/>
        <v>0.23277237258285099</v>
      </c>
      <c r="N67" s="45">
        <f t="shared" si="90"/>
        <v>0.56146284135694291</v>
      </c>
      <c r="O67" s="45">
        <f t="shared" si="91"/>
        <v>0.49994698225980339</v>
      </c>
      <c r="P67" s="45">
        <f t="shared" si="92"/>
        <v>0.50286287787013995</v>
      </c>
      <c r="Q67" s="45">
        <f t="shared" si="93"/>
        <v>0.37847836566726667</v>
      </c>
      <c r="R67" s="45">
        <f t="shared" si="94"/>
        <v>0.27385178489869638</v>
      </c>
      <c r="S67" s="26"/>
      <c r="T67" s="26" t="str">
        <f t="shared" si="111"/>
        <v>watr</v>
      </c>
      <c r="U67" s="45">
        <f t="shared" si="112"/>
        <v>0.25471635385245789</v>
      </c>
      <c r="V67" s="45">
        <f t="shared" si="95"/>
        <v>0.49334693896066933</v>
      </c>
      <c r="W67" s="45">
        <f t="shared" si="96"/>
        <v>0.72983991753603394</v>
      </c>
      <c r="X67" s="45">
        <f t="shared" si="97"/>
        <v>1.307682632626201</v>
      </c>
      <c r="Y67" s="45">
        <f t="shared" si="98"/>
        <v>2.3592161371858396</v>
      </c>
      <c r="Z67" s="45">
        <f t="shared" si="99"/>
        <v>4.5372273766714585E-2</v>
      </c>
      <c r="AA67" s="45">
        <f t="shared" si="100"/>
        <v>9.9834688927334117E-2</v>
      </c>
      <c r="AB67" s="45">
        <f t="shared" si="101"/>
        <v>0.13316252467830667</v>
      </c>
      <c r="AC67" s="45">
        <f t="shared" si="102"/>
        <v>0.21009872222310283</v>
      </c>
      <c r="AD67" s="45">
        <f t="shared" si="103"/>
        <v>0.43661858927666891</v>
      </c>
      <c r="AE67" s="45">
        <f t="shared" si="104"/>
        <v>6.7996612767781392E-2</v>
      </c>
      <c r="AF67" s="45">
        <f t="shared" si="105"/>
        <v>0.34203238572455136</v>
      </c>
      <c r="AG67" s="45">
        <f t="shared" si="106"/>
        <v>0.52041812790931841</v>
      </c>
      <c r="AH67" s="45">
        <f t="shared" si="107"/>
        <v>1.1127151384453482</v>
      </c>
      <c r="AI67" s="45">
        <f t="shared" si="108"/>
        <v>11.214533108229761</v>
      </c>
      <c r="AJ67" s="45">
        <f t="shared" si="113"/>
        <v>19.327584152110088</v>
      </c>
      <c r="AK67" s="26"/>
      <c r="AL67" s="26" t="str">
        <f t="shared" si="114"/>
        <v>cwatr</v>
      </c>
      <c r="AM67" s="45">
        <f>_xlfn.IFNA(INDEX(SAM!$B$8:$HC$215,MATCH($AL67,SAM!$A$8:$A$215,0),MATCH(AM$48,SAM!$B$7:$HC$7,0)),0)</f>
        <v>0.25471635385245789</v>
      </c>
      <c r="AN67" s="45">
        <f>_xlfn.IFNA(INDEX(SAM!$B$8:$HC$215,MATCH($AL67,SAM!$A$8:$A$215,0),MATCH(AN$48,SAM!$B$7:$HC$7,0)),0)</f>
        <v>0.49334693896066933</v>
      </c>
      <c r="AO67" s="45">
        <f>_xlfn.IFNA(INDEX(SAM!$B$8:$HC$215,MATCH($AL67,SAM!$A$8:$A$215,0),MATCH(AO$48,SAM!$B$7:$HC$7,0)),0)</f>
        <v>0.72983991753603394</v>
      </c>
      <c r="AP67" s="45">
        <f>_xlfn.IFNA(INDEX(SAM!$B$8:$HC$215,MATCH($AL67,SAM!$A$8:$A$215,0),MATCH(AP$48,SAM!$B$7:$HC$7,0)),0)</f>
        <v>1.307682632626201</v>
      </c>
      <c r="AQ67" s="45">
        <f>_xlfn.IFNA(INDEX(SAM!$B$8:$HC$215,MATCH($AL67,SAM!$A$8:$A$215,0),MATCH(AQ$48,SAM!$B$7:$HC$7,0)),0)</f>
        <v>2.3592161371858396</v>
      </c>
      <c r="AR67" s="45">
        <f>_xlfn.IFNA(INDEX(SAM!$B$8:$HC$215,MATCH($AL67,SAM!$A$8:$A$215,0),MATCH(AR$48,SAM!$B$7:$HC$7,0)),0)</f>
        <v>4.5372273766714585E-2</v>
      </c>
      <c r="AS67" s="45">
        <f>_xlfn.IFNA(INDEX(SAM!$B$8:$HC$215,MATCH($AL67,SAM!$A$8:$A$215,0),MATCH(AS$48,SAM!$B$7:$HC$7,0)),0)</f>
        <v>9.9834688927334117E-2</v>
      </c>
      <c r="AT67" s="45">
        <f>_xlfn.IFNA(INDEX(SAM!$B$8:$HC$215,MATCH($AL67,SAM!$A$8:$A$215,0),MATCH(AT$48,SAM!$B$7:$HC$7,0)),0)</f>
        <v>0.13316252467830667</v>
      </c>
      <c r="AU67" s="45">
        <f>_xlfn.IFNA(INDEX(SAM!$B$8:$HC$215,MATCH($AL67,SAM!$A$8:$A$215,0),MATCH(AU$48,SAM!$B$7:$HC$7,0)),0)</f>
        <v>0.21009872222310283</v>
      </c>
      <c r="AV67" s="45">
        <f>_xlfn.IFNA(INDEX(SAM!$B$8:$HC$215,MATCH($AL67,SAM!$A$8:$A$215,0),MATCH(AV$48,SAM!$B$7:$HC$7,0)),0)</f>
        <v>0.43661858927666891</v>
      </c>
      <c r="AW67" s="45">
        <f>_xlfn.IFNA(INDEX(SAM!$B$8:$HC$215,MATCH($AL67,SAM!$A$8:$A$215,0),MATCH(AW$48,SAM!$B$7:$HC$7,0)),0)</f>
        <v>6.7996612767781392E-2</v>
      </c>
      <c r="AX67" s="45">
        <f>_xlfn.IFNA(INDEX(SAM!$B$8:$HC$215,MATCH($AL67,SAM!$A$8:$A$215,0),MATCH(AX$48,SAM!$B$7:$HC$7,0)),0)</f>
        <v>0.34203238572455136</v>
      </c>
      <c r="AY67" s="45">
        <f>_xlfn.IFNA(INDEX(SAM!$B$8:$HC$215,MATCH($AL67,SAM!$A$8:$A$215,0),MATCH(AY$48,SAM!$B$7:$HC$7,0)),0)</f>
        <v>0.52041812790931841</v>
      </c>
      <c r="AZ67" s="45">
        <f>_xlfn.IFNA(INDEX(SAM!$B$8:$HC$215,MATCH($AL67,SAM!$A$8:$A$215,0),MATCH(AZ$48,SAM!$B$7:$HC$7,0)),0)</f>
        <v>1.1127151384453482</v>
      </c>
      <c r="BA67" s="45">
        <f>_xlfn.IFNA(INDEX(SAM!$B$8:$HC$215,MATCH($AL67,SAM!$A$8:$A$215,0),MATCH(BA$48,SAM!$B$7:$HC$7,0)),0)</f>
        <v>11.214533108229761</v>
      </c>
      <c r="BB67" s="45"/>
      <c r="BC67" s="26" t="str">
        <f t="shared" si="115"/>
        <v>awatr</v>
      </c>
      <c r="BD67" s="45">
        <f>_xlfn.IFNA(INDEX(SAM!$B$8:$HC$215,MATCH($BC67,SAM!$A$8:$A$215,0),MATCH(BD$48,SAM!$B$7:$HC$7,0)),0)</f>
        <v>0</v>
      </c>
      <c r="BE67" s="45">
        <f>_xlfn.IFNA(INDEX(SAM!$B$8:$HC$215,MATCH($BC67,SAM!$A$8:$A$215,0),MATCH(BE$48,SAM!$B$7:$HC$7,0)),0)</f>
        <v>0</v>
      </c>
      <c r="BF67" s="45">
        <f>_xlfn.IFNA(INDEX(SAM!$B$8:$HC$215,MATCH($BC67,SAM!$A$8:$A$215,0),MATCH(BF$48,SAM!$B$7:$HC$7,0)),0)</f>
        <v>0</v>
      </c>
      <c r="BG67" s="45">
        <f>_xlfn.IFNA(INDEX(SAM!$B$8:$HC$215,MATCH($BC67,SAM!$A$8:$A$215,0),MATCH(BG$48,SAM!$B$7:$HC$7,0)),0)</f>
        <v>0</v>
      </c>
      <c r="BH67" s="45">
        <f>_xlfn.IFNA(INDEX(SAM!$B$8:$HC$215,MATCH($BC67,SAM!$A$8:$A$215,0),MATCH(BH$48,SAM!$B$7:$HC$7,0)),0)</f>
        <v>0</v>
      </c>
      <c r="BI67" s="45">
        <f>_xlfn.IFNA(INDEX(SAM!$B$8:$HC$215,MATCH($BC67,SAM!$A$8:$A$215,0),MATCH(BI$48,SAM!$B$7:$HC$7,0)),0)</f>
        <v>0</v>
      </c>
      <c r="BJ67" s="45">
        <f>_xlfn.IFNA(INDEX(SAM!$B$8:$HC$215,MATCH($BC67,SAM!$A$8:$A$215,0),MATCH(BJ$48,SAM!$B$7:$HC$7,0)),0)</f>
        <v>0</v>
      </c>
      <c r="BK67" s="45">
        <f>_xlfn.IFNA(INDEX(SAM!$B$8:$HC$215,MATCH($BC67,SAM!$A$8:$A$215,0),MATCH(BK$48,SAM!$B$7:$HC$7,0)),0)</f>
        <v>0</v>
      </c>
      <c r="BL67" s="45">
        <f>_xlfn.IFNA(INDEX(SAM!$B$8:$HC$215,MATCH($BC67,SAM!$A$8:$A$215,0),MATCH(BL$48,SAM!$B$7:$HC$7,0)),0)</f>
        <v>0</v>
      </c>
      <c r="BM67" s="45">
        <f>_xlfn.IFNA(INDEX(SAM!$B$8:$HC$215,MATCH($BC67,SAM!$A$8:$A$215,0),MATCH(BM$48,SAM!$B$7:$HC$7,0)),0)</f>
        <v>0</v>
      </c>
      <c r="BN67" s="45">
        <f>_xlfn.IFNA(INDEX(SAM!$B$8:$HC$215,MATCH($BC67,SAM!$A$8:$A$215,0),MATCH(BN$48,SAM!$B$7:$HC$7,0)),0)</f>
        <v>0</v>
      </c>
      <c r="BO67" s="45">
        <f>_xlfn.IFNA(INDEX(SAM!$B$8:$HC$215,MATCH($BC67,SAM!$A$8:$A$215,0),MATCH(BO$48,SAM!$B$7:$HC$7,0)),0)</f>
        <v>0</v>
      </c>
      <c r="BP67" s="45">
        <f>_xlfn.IFNA(INDEX(SAM!$B$8:$HC$215,MATCH($BC67,SAM!$A$8:$A$215,0),MATCH(BP$48,SAM!$B$7:$HC$7,0)),0)</f>
        <v>0</v>
      </c>
      <c r="BQ67" s="45">
        <f>_xlfn.IFNA(INDEX(SAM!$B$8:$HC$215,MATCH($BC67,SAM!$A$8:$A$215,0),MATCH(BQ$48,SAM!$B$7:$HC$7,0)),0)</f>
        <v>0</v>
      </c>
      <c r="BR67" s="45">
        <f>_xlfn.IFNA(INDEX(SAM!$B$8:$HC$215,MATCH($BC67,SAM!$A$8:$A$215,0),MATCH(BR$48,SAM!$B$7:$HC$7,0)),0)</f>
        <v>0</v>
      </c>
      <c r="BT67" t="str">
        <f t="shared" si="109"/>
        <v>cwatr</v>
      </c>
      <c r="BU67" s="7">
        <f t="shared" si="110"/>
        <v>19.327584152110088</v>
      </c>
      <c r="BW67" s="51" t="s">
        <v>290</v>
      </c>
      <c r="BX67" s="43">
        <f t="shared" si="116"/>
        <v>0.27459353658667501</v>
      </c>
    </row>
    <row r="68" spans="1:76" x14ac:dyDescent="0.25">
      <c r="A68" s="47" t="str">
        <f t="shared" si="118"/>
        <v>housing</v>
      </c>
      <c r="B68" s="47" t="s">
        <v>52</v>
      </c>
      <c r="C68" s="48">
        <f t="shared" si="79"/>
        <v>4.1704469514500868</v>
      </c>
      <c r="D68" s="48">
        <f t="shared" si="80"/>
        <v>3.6597625690934548</v>
      </c>
      <c r="E68" s="48">
        <f t="shared" si="81"/>
        <v>3.4897049821791066</v>
      </c>
      <c r="F68" s="48">
        <f t="shared" si="82"/>
        <v>3.6094546662153877</v>
      </c>
      <c r="G68" s="48">
        <f t="shared" si="83"/>
        <v>3.9726620245160502</v>
      </c>
      <c r="H68" s="48">
        <f t="shared" si="84"/>
        <v>4.4520305396720232</v>
      </c>
      <c r="I68" s="48">
        <f t="shared" si="85"/>
        <v>3.9852433921196568</v>
      </c>
      <c r="J68" s="48">
        <f t="shared" si="86"/>
        <v>3.8932434276902574</v>
      </c>
      <c r="K68" s="48">
        <f t="shared" si="87"/>
        <v>3.7238539358771536</v>
      </c>
      <c r="L68" s="48">
        <f t="shared" si="88"/>
        <v>4.5390206603199053</v>
      </c>
      <c r="M68" s="48">
        <f t="shared" si="89"/>
        <v>7.2136484937279093</v>
      </c>
      <c r="N68" s="48">
        <f t="shared" si="90"/>
        <v>8.5181724433397523</v>
      </c>
      <c r="O68" s="48">
        <f t="shared" si="91"/>
        <v>9.0238749732545074</v>
      </c>
      <c r="P68" s="48">
        <f t="shared" si="92"/>
        <v>9.5447420176245998</v>
      </c>
      <c r="Q68" s="48">
        <f t="shared" si="93"/>
        <v>10.346996566918822</v>
      </c>
      <c r="R68" s="48">
        <f t="shared" si="94"/>
        <v>6.8661389734768363</v>
      </c>
      <c r="S68" s="47"/>
      <c r="T68" s="47" t="str">
        <f t="shared" si="111"/>
        <v>real</v>
      </c>
      <c r="U68" s="48">
        <f t="shared" si="112"/>
        <v>12.261993277875849</v>
      </c>
      <c r="V68" s="48">
        <f t="shared" si="95"/>
        <v>15.939678268742309</v>
      </c>
      <c r="W68" s="48">
        <f t="shared" si="96"/>
        <v>20.853189581426371</v>
      </c>
      <c r="X68" s="48">
        <f t="shared" si="97"/>
        <v>31.017428526053493</v>
      </c>
      <c r="Y68" s="48">
        <f t="shared" si="98"/>
        <v>37.797221061602308</v>
      </c>
      <c r="Z68" s="48">
        <f t="shared" si="99"/>
        <v>2.5205458323065821</v>
      </c>
      <c r="AA68" s="48">
        <f t="shared" si="100"/>
        <v>3.3643012273304653</v>
      </c>
      <c r="AB68" s="48">
        <f t="shared" si="101"/>
        <v>3.9820193405317643</v>
      </c>
      <c r="AC68" s="48">
        <f t="shared" si="102"/>
        <v>4.8696771359308508</v>
      </c>
      <c r="AD68" s="48">
        <f t="shared" si="103"/>
        <v>7.5866688214137268</v>
      </c>
      <c r="AE68" s="48">
        <f t="shared" si="104"/>
        <v>2.1072245723504861</v>
      </c>
      <c r="AF68" s="48">
        <f t="shared" si="105"/>
        <v>5.1891071469080732</v>
      </c>
      <c r="AG68" s="48">
        <f t="shared" si="106"/>
        <v>9.3933722708789773</v>
      </c>
      <c r="AH68" s="48">
        <f t="shared" si="107"/>
        <v>21.120228600984465</v>
      </c>
      <c r="AI68" s="48">
        <f t="shared" si="108"/>
        <v>306.5874990394106</v>
      </c>
      <c r="AJ68" s="48">
        <f t="shared" si="113"/>
        <v>484.59015470374629</v>
      </c>
      <c r="AK68" s="47"/>
      <c r="AL68" s="47" t="str">
        <f t="shared" si="114"/>
        <v>creal</v>
      </c>
      <c r="AM68" s="48">
        <f>_xlfn.IFNA(INDEX(SAM!$B$8:$HC$215,MATCH($AL68,SAM!$A$8:$A$215,0),MATCH(AM$48,SAM!$B$7:$HC$7,0)),0)</f>
        <v>12.261993277875849</v>
      </c>
      <c r="AN68" s="48">
        <f>_xlfn.IFNA(INDEX(SAM!$B$8:$HC$215,MATCH($AL68,SAM!$A$8:$A$215,0),MATCH(AN$48,SAM!$B$7:$HC$7,0)),0)</f>
        <v>15.939678268742309</v>
      </c>
      <c r="AO68" s="48">
        <f>_xlfn.IFNA(INDEX(SAM!$B$8:$HC$215,MATCH($AL68,SAM!$A$8:$A$215,0),MATCH(AO$48,SAM!$B$7:$HC$7,0)),0)</f>
        <v>20.853189581426371</v>
      </c>
      <c r="AP68" s="48">
        <f>_xlfn.IFNA(INDEX(SAM!$B$8:$HC$215,MATCH($AL68,SAM!$A$8:$A$215,0),MATCH(AP$48,SAM!$B$7:$HC$7,0)),0)</f>
        <v>31.017428526053493</v>
      </c>
      <c r="AQ68" s="48">
        <f>_xlfn.IFNA(INDEX(SAM!$B$8:$HC$215,MATCH($AL68,SAM!$A$8:$A$215,0),MATCH(AQ$48,SAM!$B$7:$HC$7,0)),0)</f>
        <v>37.797221061602308</v>
      </c>
      <c r="AR68" s="48">
        <f>_xlfn.IFNA(INDEX(SAM!$B$8:$HC$215,MATCH($AL68,SAM!$A$8:$A$215,0),MATCH(AR$48,SAM!$B$7:$HC$7,0)),0)</f>
        <v>2.5205458323065821</v>
      </c>
      <c r="AS68" s="48">
        <f>_xlfn.IFNA(INDEX(SAM!$B$8:$HC$215,MATCH($AL68,SAM!$A$8:$A$215,0),MATCH(AS$48,SAM!$B$7:$HC$7,0)),0)</f>
        <v>3.3643012273304653</v>
      </c>
      <c r="AT68" s="48">
        <f>_xlfn.IFNA(INDEX(SAM!$B$8:$HC$215,MATCH($AL68,SAM!$A$8:$A$215,0),MATCH(AT$48,SAM!$B$7:$HC$7,0)),0)</f>
        <v>3.9820193405317643</v>
      </c>
      <c r="AU68" s="48">
        <f>_xlfn.IFNA(INDEX(SAM!$B$8:$HC$215,MATCH($AL68,SAM!$A$8:$A$215,0),MATCH(AU$48,SAM!$B$7:$HC$7,0)),0)</f>
        <v>4.8696771359308508</v>
      </c>
      <c r="AV68" s="48">
        <f>_xlfn.IFNA(INDEX(SAM!$B$8:$HC$215,MATCH($AL68,SAM!$A$8:$A$215,0),MATCH(AV$48,SAM!$B$7:$HC$7,0)),0)</f>
        <v>7.5866688214137268</v>
      </c>
      <c r="AW68" s="48">
        <f>_xlfn.IFNA(INDEX(SAM!$B$8:$HC$215,MATCH($AL68,SAM!$A$8:$A$215,0),MATCH(AW$48,SAM!$B$7:$HC$7,0)),0)</f>
        <v>2.1072245723504861</v>
      </c>
      <c r="AX68" s="48">
        <f>_xlfn.IFNA(INDEX(SAM!$B$8:$HC$215,MATCH($AL68,SAM!$A$8:$A$215,0),MATCH(AX$48,SAM!$B$7:$HC$7,0)),0)</f>
        <v>5.1891071469080732</v>
      </c>
      <c r="AY68" s="48">
        <f>_xlfn.IFNA(INDEX(SAM!$B$8:$HC$215,MATCH($AL68,SAM!$A$8:$A$215,0),MATCH(AY$48,SAM!$B$7:$HC$7,0)),0)</f>
        <v>9.3933722708789773</v>
      </c>
      <c r="AZ68" s="48">
        <f>_xlfn.IFNA(INDEX(SAM!$B$8:$HC$215,MATCH($AL68,SAM!$A$8:$A$215,0),MATCH(AZ$48,SAM!$B$7:$HC$7,0)),0)</f>
        <v>21.120228600984465</v>
      </c>
      <c r="BA68" s="48">
        <f>_xlfn.IFNA(INDEX(SAM!$B$8:$HC$215,MATCH($AL68,SAM!$A$8:$A$215,0),MATCH(BA$48,SAM!$B$7:$HC$7,0)),0)</f>
        <v>306.5874990394106</v>
      </c>
      <c r="BB68" s="48"/>
      <c r="BC68" s="47" t="str">
        <f t="shared" si="115"/>
        <v>areal</v>
      </c>
      <c r="BD68" s="48">
        <f>_xlfn.IFNA(INDEX(SAM!$B$8:$HC$215,MATCH($BC68,SAM!$A$8:$A$215,0),MATCH(BD$48,SAM!$B$7:$HC$7,0)),0)</f>
        <v>0</v>
      </c>
      <c r="BE68" s="48">
        <f>_xlfn.IFNA(INDEX(SAM!$B$8:$HC$215,MATCH($BC68,SAM!$A$8:$A$215,0),MATCH(BE$48,SAM!$B$7:$HC$7,0)),0)</f>
        <v>0</v>
      </c>
      <c r="BF68" s="48">
        <f>_xlfn.IFNA(INDEX(SAM!$B$8:$HC$215,MATCH($BC68,SAM!$A$8:$A$215,0),MATCH(BF$48,SAM!$B$7:$HC$7,0)),0)</f>
        <v>0</v>
      </c>
      <c r="BG68" s="48">
        <f>_xlfn.IFNA(INDEX(SAM!$B$8:$HC$215,MATCH($BC68,SAM!$A$8:$A$215,0),MATCH(BG$48,SAM!$B$7:$HC$7,0)),0)</f>
        <v>0</v>
      </c>
      <c r="BH68" s="48">
        <f>_xlfn.IFNA(INDEX(SAM!$B$8:$HC$215,MATCH($BC68,SAM!$A$8:$A$215,0),MATCH(BH$48,SAM!$B$7:$HC$7,0)),0)</f>
        <v>0</v>
      </c>
      <c r="BI68" s="48">
        <f>_xlfn.IFNA(INDEX(SAM!$B$8:$HC$215,MATCH($BC68,SAM!$A$8:$A$215,0),MATCH(BI$48,SAM!$B$7:$HC$7,0)),0)</f>
        <v>0</v>
      </c>
      <c r="BJ68" s="48">
        <f>_xlfn.IFNA(INDEX(SAM!$B$8:$HC$215,MATCH($BC68,SAM!$A$8:$A$215,0),MATCH(BJ$48,SAM!$B$7:$HC$7,0)),0)</f>
        <v>0</v>
      </c>
      <c r="BK68" s="48">
        <f>_xlfn.IFNA(INDEX(SAM!$B$8:$HC$215,MATCH($BC68,SAM!$A$8:$A$215,0),MATCH(BK$48,SAM!$B$7:$HC$7,0)),0)</f>
        <v>0</v>
      </c>
      <c r="BL68" s="48">
        <f>_xlfn.IFNA(INDEX(SAM!$B$8:$HC$215,MATCH($BC68,SAM!$A$8:$A$215,0),MATCH(BL$48,SAM!$B$7:$HC$7,0)),0)</f>
        <v>0</v>
      </c>
      <c r="BM68" s="48">
        <f>_xlfn.IFNA(INDEX(SAM!$B$8:$HC$215,MATCH($BC68,SAM!$A$8:$A$215,0),MATCH(BM$48,SAM!$B$7:$HC$7,0)),0)</f>
        <v>0</v>
      </c>
      <c r="BN68" s="48">
        <f>_xlfn.IFNA(INDEX(SAM!$B$8:$HC$215,MATCH($BC68,SAM!$A$8:$A$215,0),MATCH(BN$48,SAM!$B$7:$HC$7,0)),0)</f>
        <v>0</v>
      </c>
      <c r="BO68" s="48">
        <f>_xlfn.IFNA(INDEX(SAM!$B$8:$HC$215,MATCH($BC68,SAM!$A$8:$A$215,0),MATCH(BO$48,SAM!$B$7:$HC$7,0)),0)</f>
        <v>0</v>
      </c>
      <c r="BP68" s="48">
        <f>_xlfn.IFNA(INDEX(SAM!$B$8:$HC$215,MATCH($BC68,SAM!$A$8:$A$215,0),MATCH(BP$48,SAM!$B$7:$HC$7,0)),0)</f>
        <v>0</v>
      </c>
      <c r="BQ68" s="48">
        <f>_xlfn.IFNA(INDEX(SAM!$B$8:$HC$215,MATCH($BC68,SAM!$A$8:$A$215,0),MATCH(BQ$48,SAM!$B$7:$HC$7,0)),0)</f>
        <v>0</v>
      </c>
      <c r="BR68" s="48">
        <f>_xlfn.IFNA(INDEX(SAM!$B$8:$HC$215,MATCH($BC68,SAM!$A$8:$A$215,0),MATCH(BR$48,SAM!$B$7:$HC$7,0)),0)</f>
        <v>0</v>
      </c>
      <c r="BT68" t="str">
        <f t="shared" si="109"/>
        <v>creal</v>
      </c>
      <c r="BU68" s="7">
        <f t="shared" si="110"/>
        <v>484.59015470374629</v>
      </c>
      <c r="BW68" s="51" t="s">
        <v>291</v>
      </c>
      <c r="BX68" s="43">
        <f t="shared" si="116"/>
        <v>0.52229303498850865</v>
      </c>
    </row>
    <row r="69" spans="1:76" x14ac:dyDescent="0.25">
      <c r="A69" s="38" t="str">
        <f t="shared" si="118"/>
        <v>education, health and public</v>
      </c>
      <c r="B69" s="38" t="s">
        <v>55</v>
      </c>
      <c r="C69" s="46">
        <f t="shared" si="79"/>
        <v>0.85330452719982997</v>
      </c>
      <c r="D69" s="46">
        <f t="shared" si="80"/>
        <v>1.0228269328187383</v>
      </c>
      <c r="E69" s="46">
        <f t="shared" si="81"/>
        <v>1.3059938043853769</v>
      </c>
      <c r="F69" s="46">
        <f t="shared" si="82"/>
        <v>1.7454551533883891</v>
      </c>
      <c r="G69" s="46">
        <f t="shared" si="83"/>
        <v>2.5633322094409019</v>
      </c>
      <c r="H69" s="46">
        <f t="shared" si="84"/>
        <v>0.74295563161814437</v>
      </c>
      <c r="I69" s="46">
        <f t="shared" si="85"/>
        <v>0.86176140105160848</v>
      </c>
      <c r="J69" s="46">
        <f t="shared" si="86"/>
        <v>1.0159861103236965</v>
      </c>
      <c r="K69" s="46">
        <f t="shared" si="87"/>
        <v>1.7350651825856613</v>
      </c>
      <c r="L69" s="46">
        <f t="shared" si="88"/>
        <v>1.9506653627221711</v>
      </c>
      <c r="M69" s="46">
        <f t="shared" si="89"/>
        <v>1.1966600933409925</v>
      </c>
      <c r="N69" s="46">
        <f t="shared" si="90"/>
        <v>1.6116389861098293</v>
      </c>
      <c r="O69" s="46">
        <f t="shared" si="91"/>
        <v>1.7893026661395828</v>
      </c>
      <c r="P69" s="46">
        <f t="shared" si="92"/>
        <v>2.335003025028719</v>
      </c>
      <c r="Q69" s="46">
        <f t="shared" si="93"/>
        <v>3.4276275263934055</v>
      </c>
      <c r="R69" s="46">
        <f t="shared" si="94"/>
        <v>2.4341639864593305</v>
      </c>
      <c r="S69" s="38"/>
      <c r="T69" s="38" t="str">
        <f t="shared" si="111"/>
        <v>educ</v>
      </c>
      <c r="U69" s="46">
        <f t="shared" si="112"/>
        <v>2.5088952091495202</v>
      </c>
      <c r="V69" s="46">
        <f t="shared" si="95"/>
        <v>4.4548059951806316</v>
      </c>
      <c r="W69" s="46">
        <f t="shared" si="96"/>
        <v>7.8041371789573128</v>
      </c>
      <c r="X69" s="46">
        <f t="shared" si="97"/>
        <v>14.999365686014524</v>
      </c>
      <c r="Y69" s="46">
        <f t="shared" si="98"/>
        <v>24.38839085143821</v>
      </c>
      <c r="Z69" s="46">
        <f t="shared" si="99"/>
        <v>0.42062912735584579</v>
      </c>
      <c r="AA69" s="46">
        <f t="shared" si="100"/>
        <v>0.7274900561799611</v>
      </c>
      <c r="AB69" s="46">
        <f t="shared" si="101"/>
        <v>1.0391531935162797</v>
      </c>
      <c r="AC69" s="46">
        <f t="shared" si="102"/>
        <v>2.2689416380121448</v>
      </c>
      <c r="AD69" s="46">
        <f t="shared" si="103"/>
        <v>3.2604064171263261</v>
      </c>
      <c r="AE69" s="46">
        <f t="shared" si="104"/>
        <v>0.34956396276195917</v>
      </c>
      <c r="AF69" s="46">
        <f t="shared" si="105"/>
        <v>0.98177953506882698</v>
      </c>
      <c r="AG69" s="46">
        <f t="shared" si="106"/>
        <v>1.8625685859057994</v>
      </c>
      <c r="AH69" s="46">
        <f t="shared" si="107"/>
        <v>5.1668025790046466</v>
      </c>
      <c r="AI69" s="46">
        <f t="shared" si="108"/>
        <v>101.56258815388085</v>
      </c>
      <c r="AJ69" s="46">
        <f t="shared" si="113"/>
        <v>171.79551816955285</v>
      </c>
      <c r="AK69" s="38"/>
      <c r="AL69" s="38" t="str">
        <f t="shared" si="114"/>
        <v>ceduc</v>
      </c>
      <c r="AM69" s="46">
        <f>_xlfn.IFNA(INDEX(SAM!$B$8:$HC$215,MATCH($AL69,SAM!$A$8:$A$215,0),MATCH(AM$48,SAM!$B$7:$HC$7,0)),0)</f>
        <v>2.5088952091495202</v>
      </c>
      <c r="AN69" s="46">
        <f>_xlfn.IFNA(INDEX(SAM!$B$8:$HC$215,MATCH($AL69,SAM!$A$8:$A$215,0),MATCH(AN$48,SAM!$B$7:$HC$7,0)),0)</f>
        <v>4.4548059951806316</v>
      </c>
      <c r="AO69" s="46">
        <f>_xlfn.IFNA(INDEX(SAM!$B$8:$HC$215,MATCH($AL69,SAM!$A$8:$A$215,0),MATCH(AO$48,SAM!$B$7:$HC$7,0)),0)</f>
        <v>7.8041371789573128</v>
      </c>
      <c r="AP69" s="46">
        <f>_xlfn.IFNA(INDEX(SAM!$B$8:$HC$215,MATCH($AL69,SAM!$A$8:$A$215,0),MATCH(AP$48,SAM!$B$7:$HC$7,0)),0)</f>
        <v>14.999365686014524</v>
      </c>
      <c r="AQ69" s="46">
        <f>_xlfn.IFNA(INDEX(SAM!$B$8:$HC$215,MATCH($AL69,SAM!$A$8:$A$215,0),MATCH(AQ$48,SAM!$B$7:$HC$7,0)),0)</f>
        <v>24.38839085143821</v>
      </c>
      <c r="AR69" s="46">
        <f>_xlfn.IFNA(INDEX(SAM!$B$8:$HC$215,MATCH($AL69,SAM!$A$8:$A$215,0),MATCH(AR$48,SAM!$B$7:$HC$7,0)),0)</f>
        <v>0.42062912735584579</v>
      </c>
      <c r="AS69" s="46">
        <f>_xlfn.IFNA(INDEX(SAM!$B$8:$HC$215,MATCH($AL69,SAM!$A$8:$A$215,0),MATCH(AS$48,SAM!$B$7:$HC$7,0)),0)</f>
        <v>0.7274900561799611</v>
      </c>
      <c r="AT69" s="46">
        <f>_xlfn.IFNA(INDEX(SAM!$B$8:$HC$215,MATCH($AL69,SAM!$A$8:$A$215,0),MATCH(AT$48,SAM!$B$7:$HC$7,0)),0)</f>
        <v>1.0391531935162797</v>
      </c>
      <c r="AU69" s="46">
        <f>_xlfn.IFNA(INDEX(SAM!$B$8:$HC$215,MATCH($AL69,SAM!$A$8:$A$215,0),MATCH(AU$48,SAM!$B$7:$HC$7,0)),0)</f>
        <v>2.2689416380121448</v>
      </c>
      <c r="AV69" s="46">
        <f>_xlfn.IFNA(INDEX(SAM!$B$8:$HC$215,MATCH($AL69,SAM!$A$8:$A$215,0),MATCH(AV$48,SAM!$B$7:$HC$7,0)),0)</f>
        <v>3.2604064171263261</v>
      </c>
      <c r="AW69" s="46">
        <f>_xlfn.IFNA(INDEX(SAM!$B$8:$HC$215,MATCH($AL69,SAM!$A$8:$A$215,0),MATCH(AW$48,SAM!$B$7:$HC$7,0)),0)</f>
        <v>0.34956396276195917</v>
      </c>
      <c r="AX69" s="46">
        <f>_xlfn.IFNA(INDEX(SAM!$B$8:$HC$215,MATCH($AL69,SAM!$A$8:$A$215,0),MATCH(AX$48,SAM!$B$7:$HC$7,0)),0)</f>
        <v>0.98177953506882698</v>
      </c>
      <c r="AY69" s="46">
        <f>_xlfn.IFNA(INDEX(SAM!$B$8:$HC$215,MATCH($AL69,SAM!$A$8:$A$215,0),MATCH(AY$48,SAM!$B$7:$HC$7,0)),0)</f>
        <v>1.8625685859057994</v>
      </c>
      <c r="AZ69" s="46">
        <f>_xlfn.IFNA(INDEX(SAM!$B$8:$HC$215,MATCH($AL69,SAM!$A$8:$A$215,0),MATCH(AZ$48,SAM!$B$7:$HC$7,0)),0)</f>
        <v>5.1668025790046466</v>
      </c>
      <c r="BA69" s="46">
        <f>_xlfn.IFNA(INDEX(SAM!$B$8:$HC$215,MATCH($AL69,SAM!$A$8:$A$215,0),MATCH(BA$48,SAM!$B$7:$HC$7,0)),0)</f>
        <v>101.56258815388085</v>
      </c>
      <c r="BB69" s="38"/>
      <c r="BC69" s="38" t="str">
        <f t="shared" si="115"/>
        <v>aeduc</v>
      </c>
      <c r="BD69" s="46">
        <f>_xlfn.IFNA(INDEX(SAM!$B$8:$HC$215,MATCH($BC69,SAM!$A$8:$A$215,0),MATCH(BD$48,SAM!$B$7:$HC$7,0)),0)</f>
        <v>0</v>
      </c>
      <c r="BE69" s="46">
        <f>_xlfn.IFNA(INDEX(SAM!$B$8:$HC$215,MATCH($BC69,SAM!$A$8:$A$215,0),MATCH(BE$48,SAM!$B$7:$HC$7,0)),0)</f>
        <v>0</v>
      </c>
      <c r="BF69" s="46">
        <f>_xlfn.IFNA(INDEX(SAM!$B$8:$HC$215,MATCH($BC69,SAM!$A$8:$A$215,0),MATCH(BF$48,SAM!$B$7:$HC$7,0)),0)</f>
        <v>0</v>
      </c>
      <c r="BG69" s="46">
        <f>_xlfn.IFNA(INDEX(SAM!$B$8:$HC$215,MATCH($BC69,SAM!$A$8:$A$215,0),MATCH(BG$48,SAM!$B$7:$HC$7,0)),0)</f>
        <v>0</v>
      </c>
      <c r="BH69" s="46">
        <f>_xlfn.IFNA(INDEX(SAM!$B$8:$HC$215,MATCH($BC69,SAM!$A$8:$A$215,0),MATCH(BH$48,SAM!$B$7:$HC$7,0)),0)</f>
        <v>0</v>
      </c>
      <c r="BI69" s="46">
        <f>_xlfn.IFNA(INDEX(SAM!$B$8:$HC$215,MATCH($BC69,SAM!$A$8:$A$215,0),MATCH(BI$48,SAM!$B$7:$HC$7,0)),0)</f>
        <v>0</v>
      </c>
      <c r="BJ69" s="46">
        <f>_xlfn.IFNA(INDEX(SAM!$B$8:$HC$215,MATCH($BC69,SAM!$A$8:$A$215,0),MATCH(BJ$48,SAM!$B$7:$HC$7,0)),0)</f>
        <v>0</v>
      </c>
      <c r="BK69" s="46">
        <f>_xlfn.IFNA(INDEX(SAM!$B$8:$HC$215,MATCH($BC69,SAM!$A$8:$A$215,0),MATCH(BK$48,SAM!$B$7:$HC$7,0)),0)</f>
        <v>0</v>
      </c>
      <c r="BL69" s="46">
        <f>_xlfn.IFNA(INDEX(SAM!$B$8:$HC$215,MATCH($BC69,SAM!$A$8:$A$215,0),MATCH(BL$48,SAM!$B$7:$HC$7,0)),0)</f>
        <v>0</v>
      </c>
      <c r="BM69" s="46">
        <f>_xlfn.IFNA(INDEX(SAM!$B$8:$HC$215,MATCH($BC69,SAM!$A$8:$A$215,0),MATCH(BM$48,SAM!$B$7:$HC$7,0)),0)</f>
        <v>0</v>
      </c>
      <c r="BN69" s="46">
        <f>_xlfn.IFNA(INDEX(SAM!$B$8:$HC$215,MATCH($BC69,SAM!$A$8:$A$215,0),MATCH(BN$48,SAM!$B$7:$HC$7,0)),0)</f>
        <v>0</v>
      </c>
      <c r="BO69" s="46">
        <f>_xlfn.IFNA(INDEX(SAM!$B$8:$HC$215,MATCH($BC69,SAM!$A$8:$A$215,0),MATCH(BO$48,SAM!$B$7:$HC$7,0)),0)</f>
        <v>0</v>
      </c>
      <c r="BP69" s="46">
        <f>_xlfn.IFNA(INDEX(SAM!$B$8:$HC$215,MATCH($BC69,SAM!$A$8:$A$215,0),MATCH(BP$48,SAM!$B$7:$HC$7,0)),0)</f>
        <v>0</v>
      </c>
      <c r="BQ69" s="46">
        <f>_xlfn.IFNA(INDEX(SAM!$B$8:$HC$215,MATCH($BC69,SAM!$A$8:$A$215,0),MATCH(BQ$48,SAM!$B$7:$HC$7,0)),0)</f>
        <v>0</v>
      </c>
      <c r="BR69" s="46">
        <f>_xlfn.IFNA(INDEX(SAM!$B$8:$HC$215,MATCH($BC69,SAM!$A$8:$A$215,0),MATCH(BR$48,SAM!$B$7:$HC$7,0)),0)</f>
        <v>0</v>
      </c>
      <c r="BT69" t="str">
        <f t="shared" si="109"/>
        <v>ceduc</v>
      </c>
      <c r="BU69" s="7">
        <f t="shared" si="110"/>
        <v>171.79551816955285</v>
      </c>
      <c r="BW69" s="51" t="s">
        <v>684</v>
      </c>
      <c r="BX69" s="43">
        <f t="shared" si="116"/>
        <v>9.1358558246134063</v>
      </c>
    </row>
    <row r="70" spans="1:76" x14ac:dyDescent="0.25">
      <c r="A70" t="str">
        <f t="shared" si="118"/>
        <v>education, health and public</v>
      </c>
      <c r="B70" t="s">
        <v>56</v>
      </c>
      <c r="C70" s="18">
        <f t="shared" si="79"/>
        <v>2.0100955745518512</v>
      </c>
      <c r="D70" s="18">
        <f t="shared" si="80"/>
        <v>1.6105038326687071</v>
      </c>
      <c r="E70" s="18">
        <f t="shared" si="81"/>
        <v>1.3078568652809945</v>
      </c>
      <c r="F70" s="18">
        <f t="shared" si="82"/>
        <v>1.0519537292839503</v>
      </c>
      <c r="G70" s="18">
        <f t="shared" si="83"/>
        <v>1.3640324549657847</v>
      </c>
      <c r="H70" s="18">
        <f t="shared" si="84"/>
        <v>1.8606040022313233</v>
      </c>
      <c r="I70" s="18">
        <f t="shared" si="85"/>
        <v>1.5522182682983452</v>
      </c>
      <c r="J70" s="18">
        <f t="shared" si="86"/>
        <v>1.4685819797607449</v>
      </c>
      <c r="K70" s="18">
        <f t="shared" si="87"/>
        <v>2.2639922739711977</v>
      </c>
      <c r="L70" s="18">
        <f t="shared" si="88"/>
        <v>0.99743591617478933</v>
      </c>
      <c r="M70" s="18">
        <f t="shared" si="89"/>
        <v>2.1453394741591314</v>
      </c>
      <c r="N70" s="18">
        <f t="shared" si="90"/>
        <v>2.1513834896908701</v>
      </c>
      <c r="O70" s="18">
        <f t="shared" si="91"/>
        <v>1.3607049473964608</v>
      </c>
      <c r="P70" s="18">
        <f t="shared" si="92"/>
        <v>1.271993288297226</v>
      </c>
      <c r="Q70" s="18">
        <f t="shared" si="93"/>
        <v>1.1660902053377906</v>
      </c>
      <c r="R70" s="18">
        <f t="shared" si="94"/>
        <v>1.3031373254421663</v>
      </c>
      <c r="T70" t="str">
        <f t="shared" si="111"/>
        <v>heal</v>
      </c>
      <c r="U70" s="18">
        <f t="shared" si="112"/>
        <v>5.9101047705384735</v>
      </c>
      <c r="V70" s="18">
        <f t="shared" si="95"/>
        <v>7.0143656750045489</v>
      </c>
      <c r="W70" s="18">
        <f t="shared" si="96"/>
        <v>7.8152701435650549</v>
      </c>
      <c r="X70" s="18">
        <f t="shared" si="97"/>
        <v>9.0398419229885079</v>
      </c>
      <c r="Y70" s="18">
        <f t="shared" si="98"/>
        <v>12.977856137113122</v>
      </c>
      <c r="Z70" s="18">
        <f t="shared" si="99"/>
        <v>1.0533929679068637</v>
      </c>
      <c r="AA70" s="18">
        <f t="shared" si="100"/>
        <v>1.3103665977960168</v>
      </c>
      <c r="AB70" s="18">
        <f t="shared" si="101"/>
        <v>1.5020694069554004</v>
      </c>
      <c r="AC70" s="18">
        <f t="shared" si="102"/>
        <v>2.9606186500128442</v>
      </c>
      <c r="AD70" s="18">
        <f t="shared" si="103"/>
        <v>1.6671472841606718</v>
      </c>
      <c r="AE70" s="18">
        <f t="shared" si="104"/>
        <v>0.62668870820531952</v>
      </c>
      <c r="AF70" s="18">
        <f t="shared" si="105"/>
        <v>1.3105815263018914</v>
      </c>
      <c r="AG70" s="18">
        <f t="shared" si="106"/>
        <v>1.4164212336279742</v>
      </c>
      <c r="AH70" s="18">
        <f t="shared" si="107"/>
        <v>2.8146165688028932</v>
      </c>
      <c r="AI70" s="18">
        <f t="shared" si="108"/>
        <v>34.55192793354977</v>
      </c>
      <c r="AJ70" s="18">
        <f t="shared" si="113"/>
        <v>91.971269526529341</v>
      </c>
      <c r="AL70" t="str">
        <f t="shared" si="114"/>
        <v>cheal</v>
      </c>
      <c r="AM70" s="18">
        <f>_xlfn.IFNA(INDEX(SAM!$B$8:$HC$215,MATCH($AL70,SAM!$A$8:$A$215,0),MATCH(AM$48,SAM!$B$7:$HC$7,0)),0)</f>
        <v>5.9101047705384735</v>
      </c>
      <c r="AN70" s="18">
        <f>_xlfn.IFNA(INDEX(SAM!$B$8:$HC$215,MATCH($AL70,SAM!$A$8:$A$215,0),MATCH(AN$48,SAM!$B$7:$HC$7,0)),0)</f>
        <v>7.0143656750045489</v>
      </c>
      <c r="AO70" s="18">
        <f>_xlfn.IFNA(INDEX(SAM!$B$8:$HC$215,MATCH($AL70,SAM!$A$8:$A$215,0),MATCH(AO$48,SAM!$B$7:$HC$7,0)),0)</f>
        <v>7.8152701435650549</v>
      </c>
      <c r="AP70" s="18">
        <f>_xlfn.IFNA(INDEX(SAM!$B$8:$HC$215,MATCH($AL70,SAM!$A$8:$A$215,0),MATCH(AP$48,SAM!$B$7:$HC$7,0)),0)</f>
        <v>9.0398419229885079</v>
      </c>
      <c r="AQ70" s="18">
        <f>_xlfn.IFNA(INDEX(SAM!$B$8:$HC$215,MATCH($AL70,SAM!$A$8:$A$215,0),MATCH(AQ$48,SAM!$B$7:$HC$7,0)),0)</f>
        <v>12.977856137113122</v>
      </c>
      <c r="AR70" s="18">
        <f>_xlfn.IFNA(INDEX(SAM!$B$8:$HC$215,MATCH($AL70,SAM!$A$8:$A$215,0),MATCH(AR$48,SAM!$B$7:$HC$7,0)),0)</f>
        <v>1.0533929679068637</v>
      </c>
      <c r="AS70" s="18">
        <f>_xlfn.IFNA(INDEX(SAM!$B$8:$HC$215,MATCH($AL70,SAM!$A$8:$A$215,0),MATCH(AS$48,SAM!$B$7:$HC$7,0)),0)</f>
        <v>1.3103665977960168</v>
      </c>
      <c r="AT70" s="18">
        <f>_xlfn.IFNA(INDEX(SAM!$B$8:$HC$215,MATCH($AL70,SAM!$A$8:$A$215,0),MATCH(AT$48,SAM!$B$7:$HC$7,0)),0)</f>
        <v>1.5020694069554004</v>
      </c>
      <c r="AU70" s="18">
        <f>_xlfn.IFNA(INDEX(SAM!$B$8:$HC$215,MATCH($AL70,SAM!$A$8:$A$215,0),MATCH(AU$48,SAM!$B$7:$HC$7,0)),0)</f>
        <v>2.9606186500128442</v>
      </c>
      <c r="AV70" s="18">
        <f>_xlfn.IFNA(INDEX(SAM!$B$8:$HC$215,MATCH($AL70,SAM!$A$8:$A$215,0),MATCH(AV$48,SAM!$B$7:$HC$7,0)),0)</f>
        <v>1.6671472841606718</v>
      </c>
      <c r="AW70" s="18">
        <f>_xlfn.IFNA(INDEX(SAM!$B$8:$HC$215,MATCH($AL70,SAM!$A$8:$A$215,0),MATCH(AW$48,SAM!$B$7:$HC$7,0)),0)</f>
        <v>0.62668870820531952</v>
      </c>
      <c r="AX70" s="18">
        <f>_xlfn.IFNA(INDEX(SAM!$B$8:$HC$215,MATCH($AL70,SAM!$A$8:$A$215,0),MATCH(AX$48,SAM!$B$7:$HC$7,0)),0)</f>
        <v>1.3105815263018914</v>
      </c>
      <c r="AY70" s="18">
        <f>_xlfn.IFNA(INDEX(SAM!$B$8:$HC$215,MATCH($AL70,SAM!$A$8:$A$215,0),MATCH(AY$48,SAM!$B$7:$HC$7,0)),0)</f>
        <v>1.4164212336279742</v>
      </c>
      <c r="AZ70" s="18">
        <f>_xlfn.IFNA(INDEX(SAM!$B$8:$HC$215,MATCH($AL70,SAM!$A$8:$A$215,0),MATCH(AZ$48,SAM!$B$7:$HC$7,0)),0)</f>
        <v>2.8146165688028932</v>
      </c>
      <c r="BA70" s="18">
        <f>_xlfn.IFNA(INDEX(SAM!$B$8:$HC$215,MATCH($AL70,SAM!$A$8:$A$215,0),MATCH(BA$48,SAM!$B$7:$HC$7,0)),0)</f>
        <v>34.55192793354977</v>
      </c>
      <c r="BC70" t="str">
        <f t="shared" si="115"/>
        <v>aheal</v>
      </c>
      <c r="BD70" s="18">
        <f>_xlfn.IFNA(INDEX(SAM!$B$8:$HC$215,MATCH($BC70,SAM!$A$8:$A$215,0),MATCH(BD$48,SAM!$B$7:$HC$7,0)),0)</f>
        <v>0</v>
      </c>
      <c r="BE70" s="18">
        <f>_xlfn.IFNA(INDEX(SAM!$B$8:$HC$215,MATCH($BC70,SAM!$A$8:$A$215,0),MATCH(BE$48,SAM!$B$7:$HC$7,0)),0)</f>
        <v>0</v>
      </c>
      <c r="BF70" s="18">
        <f>_xlfn.IFNA(INDEX(SAM!$B$8:$HC$215,MATCH($BC70,SAM!$A$8:$A$215,0),MATCH(BF$48,SAM!$B$7:$HC$7,0)),0)</f>
        <v>0</v>
      </c>
      <c r="BG70" s="18">
        <f>_xlfn.IFNA(INDEX(SAM!$B$8:$HC$215,MATCH($BC70,SAM!$A$8:$A$215,0),MATCH(BG$48,SAM!$B$7:$HC$7,0)),0)</f>
        <v>0</v>
      </c>
      <c r="BH70" s="18">
        <f>_xlfn.IFNA(INDEX(SAM!$B$8:$HC$215,MATCH($BC70,SAM!$A$8:$A$215,0),MATCH(BH$48,SAM!$B$7:$HC$7,0)),0)</f>
        <v>0</v>
      </c>
      <c r="BI70" s="18">
        <f>_xlfn.IFNA(INDEX(SAM!$B$8:$HC$215,MATCH($BC70,SAM!$A$8:$A$215,0),MATCH(BI$48,SAM!$B$7:$HC$7,0)),0)</f>
        <v>0</v>
      </c>
      <c r="BJ70" s="18">
        <f>_xlfn.IFNA(INDEX(SAM!$B$8:$HC$215,MATCH($BC70,SAM!$A$8:$A$215,0),MATCH(BJ$48,SAM!$B$7:$HC$7,0)),0)</f>
        <v>0</v>
      </c>
      <c r="BK70" s="18">
        <f>_xlfn.IFNA(INDEX(SAM!$B$8:$HC$215,MATCH($BC70,SAM!$A$8:$A$215,0),MATCH(BK$48,SAM!$B$7:$HC$7,0)),0)</f>
        <v>0</v>
      </c>
      <c r="BL70" s="18">
        <f>_xlfn.IFNA(INDEX(SAM!$B$8:$HC$215,MATCH($BC70,SAM!$A$8:$A$215,0),MATCH(BL$48,SAM!$B$7:$HC$7,0)),0)</f>
        <v>0</v>
      </c>
      <c r="BM70" s="18">
        <f>_xlfn.IFNA(INDEX(SAM!$B$8:$HC$215,MATCH($BC70,SAM!$A$8:$A$215,0),MATCH(BM$48,SAM!$B$7:$HC$7,0)),0)</f>
        <v>0</v>
      </c>
      <c r="BN70" s="18">
        <f>_xlfn.IFNA(INDEX(SAM!$B$8:$HC$215,MATCH($BC70,SAM!$A$8:$A$215,0),MATCH(BN$48,SAM!$B$7:$HC$7,0)),0)</f>
        <v>0</v>
      </c>
      <c r="BO70" s="18">
        <f>_xlfn.IFNA(INDEX(SAM!$B$8:$HC$215,MATCH($BC70,SAM!$A$8:$A$215,0),MATCH(BO$48,SAM!$B$7:$HC$7,0)),0)</f>
        <v>0</v>
      </c>
      <c r="BP70" s="18">
        <f>_xlfn.IFNA(INDEX(SAM!$B$8:$HC$215,MATCH($BC70,SAM!$A$8:$A$215,0),MATCH(BP$48,SAM!$B$7:$HC$7,0)),0)</f>
        <v>0</v>
      </c>
      <c r="BQ70" s="18">
        <f>_xlfn.IFNA(INDEX(SAM!$B$8:$HC$215,MATCH($BC70,SAM!$A$8:$A$215,0),MATCH(BQ$48,SAM!$B$7:$HC$7,0)),0)</f>
        <v>0</v>
      </c>
      <c r="BR70" s="18">
        <f>_xlfn.IFNA(INDEX(SAM!$B$8:$HC$215,MATCH($BC70,SAM!$A$8:$A$215,0),MATCH(BR$48,SAM!$B$7:$HC$7,0)),0)</f>
        <v>0</v>
      </c>
      <c r="BT70" t="str">
        <f t="shared" si="109"/>
        <v>cheal</v>
      </c>
      <c r="BU70" s="7">
        <f t="shared" si="110"/>
        <v>91.971269526529341</v>
      </c>
      <c r="BW70" s="51" t="s">
        <v>685</v>
      </c>
      <c r="BX70" s="43">
        <f t="shared" si="116"/>
        <v>0.3120677683240925</v>
      </c>
    </row>
    <row r="71" spans="1:76" x14ac:dyDescent="0.25">
      <c r="A71" s="26" t="str">
        <f t="shared" si="118"/>
        <v>education, health and public</v>
      </c>
      <c r="B71" s="26" t="s">
        <v>54</v>
      </c>
      <c r="C71" s="45">
        <f t="shared" si="79"/>
        <v>0.44004912202144753</v>
      </c>
      <c r="D71" s="45">
        <f t="shared" si="80"/>
        <v>0.35263281559204945</v>
      </c>
      <c r="E71" s="45">
        <f t="shared" si="81"/>
        <v>0.52142141768132144</v>
      </c>
      <c r="F71" s="45">
        <f t="shared" si="82"/>
        <v>0.49348802693969068</v>
      </c>
      <c r="G71" s="45">
        <f t="shared" si="83"/>
        <v>0.69466015094921674</v>
      </c>
      <c r="H71" s="45">
        <f t="shared" si="84"/>
        <v>0.41882529805124519</v>
      </c>
      <c r="I71" s="45">
        <f t="shared" si="85"/>
        <v>0.52876309909098584</v>
      </c>
      <c r="J71" s="45">
        <f t="shared" si="86"/>
        <v>0.55118517079483809</v>
      </c>
      <c r="K71" s="45">
        <f t="shared" si="87"/>
        <v>0.68904329330473357</v>
      </c>
      <c r="L71" s="45">
        <f t="shared" si="88"/>
        <v>0.92970357323400288</v>
      </c>
      <c r="M71" s="45">
        <f t="shared" si="89"/>
        <v>0.4035959667116551</v>
      </c>
      <c r="N71" s="45">
        <f t="shared" si="90"/>
        <v>0.36759593945163904</v>
      </c>
      <c r="O71" s="45">
        <f t="shared" si="91"/>
        <v>0.40308306384334025</v>
      </c>
      <c r="P71" s="45">
        <f t="shared" si="92"/>
        <v>0.4537743924118377</v>
      </c>
      <c r="Q71" s="45">
        <f t="shared" si="93"/>
        <v>1.0338847009835122</v>
      </c>
      <c r="R71" s="45">
        <f t="shared" si="94"/>
        <v>0.74950731321406161</v>
      </c>
      <c r="S71" s="26"/>
      <c r="T71" s="26" t="str">
        <f t="shared" si="111"/>
        <v>padm</v>
      </c>
      <c r="U71" s="45">
        <f t="shared" si="112"/>
        <v>1.2938371927464469</v>
      </c>
      <c r="V71" s="45">
        <f t="shared" si="95"/>
        <v>1.5358519907837422</v>
      </c>
      <c r="W71" s="45">
        <f t="shared" si="96"/>
        <v>3.1158220337396521</v>
      </c>
      <c r="X71" s="45">
        <f t="shared" si="97"/>
        <v>4.2407319164682962</v>
      </c>
      <c r="Y71" s="45">
        <f t="shared" si="98"/>
        <v>6.60922654031011</v>
      </c>
      <c r="Z71" s="45">
        <f t="shared" si="99"/>
        <v>0.23712064642427144</v>
      </c>
      <c r="AA71" s="45">
        <f t="shared" si="100"/>
        <v>0.44637633594888149</v>
      </c>
      <c r="AB71" s="45">
        <f t="shared" si="101"/>
        <v>0.56375360315485712</v>
      </c>
      <c r="AC71" s="45">
        <f t="shared" si="102"/>
        <v>0.90106068305876974</v>
      </c>
      <c r="AD71" s="45">
        <f t="shared" si="103"/>
        <v>1.5539372124634103</v>
      </c>
      <c r="AE71" s="45">
        <f t="shared" si="104"/>
        <v>0.11789697530948576</v>
      </c>
      <c r="AF71" s="45">
        <f t="shared" si="105"/>
        <v>0.22393239034205425</v>
      </c>
      <c r="AG71" s="45">
        <f t="shared" si="106"/>
        <v>0.41958795816531813</v>
      </c>
      <c r="AH71" s="45">
        <f t="shared" si="107"/>
        <v>1.0040940743410443</v>
      </c>
      <c r="AI71" s="45">
        <f t="shared" si="108"/>
        <v>30.634602294454467</v>
      </c>
      <c r="AJ71" s="45">
        <f t="shared" si="113"/>
        <v>52.897831847710805</v>
      </c>
      <c r="AK71" s="26"/>
      <c r="AL71" s="26" t="str">
        <f t="shared" si="114"/>
        <v>cpadm</v>
      </c>
      <c r="AM71" s="45">
        <f>_xlfn.IFNA(INDEX(SAM!$B$8:$HC$215,MATCH($AL71,SAM!$A$8:$A$215,0),MATCH(AM$48,SAM!$B$7:$HC$7,0)),0)</f>
        <v>1.2938371927464469</v>
      </c>
      <c r="AN71" s="45">
        <f>_xlfn.IFNA(INDEX(SAM!$B$8:$HC$215,MATCH($AL71,SAM!$A$8:$A$215,0),MATCH(AN$48,SAM!$B$7:$HC$7,0)),0)</f>
        <v>1.5358519907837422</v>
      </c>
      <c r="AO71" s="45">
        <f>_xlfn.IFNA(INDEX(SAM!$B$8:$HC$215,MATCH($AL71,SAM!$A$8:$A$215,0),MATCH(AO$48,SAM!$B$7:$HC$7,0)),0)</f>
        <v>3.1158220337396521</v>
      </c>
      <c r="AP71" s="45">
        <f>_xlfn.IFNA(INDEX(SAM!$B$8:$HC$215,MATCH($AL71,SAM!$A$8:$A$215,0),MATCH(AP$48,SAM!$B$7:$HC$7,0)),0)</f>
        <v>4.2407319164682962</v>
      </c>
      <c r="AQ71" s="45">
        <f>_xlfn.IFNA(INDEX(SAM!$B$8:$HC$215,MATCH($AL71,SAM!$A$8:$A$215,0),MATCH(AQ$48,SAM!$B$7:$HC$7,0)),0)</f>
        <v>6.60922654031011</v>
      </c>
      <c r="AR71" s="45">
        <f>_xlfn.IFNA(INDEX(SAM!$B$8:$HC$215,MATCH($AL71,SAM!$A$8:$A$215,0),MATCH(AR$48,SAM!$B$7:$HC$7,0)),0)</f>
        <v>0.23712064642427144</v>
      </c>
      <c r="AS71" s="45">
        <f>_xlfn.IFNA(INDEX(SAM!$B$8:$HC$215,MATCH($AL71,SAM!$A$8:$A$215,0),MATCH(AS$48,SAM!$B$7:$HC$7,0)),0)</f>
        <v>0.44637633594888149</v>
      </c>
      <c r="AT71" s="45">
        <f>_xlfn.IFNA(INDEX(SAM!$B$8:$HC$215,MATCH($AL71,SAM!$A$8:$A$215,0),MATCH(AT$48,SAM!$B$7:$HC$7,0)),0)</f>
        <v>0.56375360315485712</v>
      </c>
      <c r="AU71" s="45">
        <f>_xlfn.IFNA(INDEX(SAM!$B$8:$HC$215,MATCH($AL71,SAM!$A$8:$A$215,0),MATCH(AU$48,SAM!$B$7:$HC$7,0)),0)</f>
        <v>0.90106068305876974</v>
      </c>
      <c r="AV71" s="45">
        <f>_xlfn.IFNA(INDEX(SAM!$B$8:$HC$215,MATCH($AL71,SAM!$A$8:$A$215,0),MATCH(AV$48,SAM!$B$7:$HC$7,0)),0)</f>
        <v>1.5539372124634103</v>
      </c>
      <c r="AW71" s="45">
        <f>_xlfn.IFNA(INDEX(SAM!$B$8:$HC$215,MATCH($AL71,SAM!$A$8:$A$215,0),MATCH(AW$48,SAM!$B$7:$HC$7,0)),0)</f>
        <v>0.11789697530948576</v>
      </c>
      <c r="AX71" s="45">
        <f>_xlfn.IFNA(INDEX(SAM!$B$8:$HC$215,MATCH($AL71,SAM!$A$8:$A$215,0),MATCH(AX$48,SAM!$B$7:$HC$7,0)),0)</f>
        <v>0.22393239034205425</v>
      </c>
      <c r="AY71" s="45">
        <f>_xlfn.IFNA(INDEX(SAM!$B$8:$HC$215,MATCH($AL71,SAM!$A$8:$A$215,0),MATCH(AY$48,SAM!$B$7:$HC$7,0)),0)</f>
        <v>0.41958795816531813</v>
      </c>
      <c r="AZ71" s="45">
        <f>_xlfn.IFNA(INDEX(SAM!$B$8:$HC$215,MATCH($AL71,SAM!$A$8:$A$215,0),MATCH(AZ$48,SAM!$B$7:$HC$7,0)),0)</f>
        <v>1.0040940743410443</v>
      </c>
      <c r="BA71" s="45">
        <f>_xlfn.IFNA(INDEX(SAM!$B$8:$HC$215,MATCH($AL71,SAM!$A$8:$A$215,0),MATCH(BA$48,SAM!$B$7:$HC$7,0)),0)</f>
        <v>30.634602294454467</v>
      </c>
      <c r="BB71" s="26"/>
      <c r="BC71" s="26" t="str">
        <f t="shared" si="115"/>
        <v>apadm</v>
      </c>
      <c r="BD71" s="45">
        <f>_xlfn.IFNA(INDEX(SAM!$B$8:$HC$215,MATCH($BC71,SAM!$A$8:$A$215,0),MATCH(BD$48,SAM!$B$7:$HC$7,0)),0)</f>
        <v>0</v>
      </c>
      <c r="BE71" s="45">
        <f>_xlfn.IFNA(INDEX(SAM!$B$8:$HC$215,MATCH($BC71,SAM!$A$8:$A$215,0),MATCH(BE$48,SAM!$B$7:$HC$7,0)),0)</f>
        <v>0</v>
      </c>
      <c r="BF71" s="45">
        <f>_xlfn.IFNA(INDEX(SAM!$B$8:$HC$215,MATCH($BC71,SAM!$A$8:$A$215,0),MATCH(BF$48,SAM!$B$7:$HC$7,0)),0)</f>
        <v>0</v>
      </c>
      <c r="BG71" s="45">
        <f>_xlfn.IFNA(INDEX(SAM!$B$8:$HC$215,MATCH($BC71,SAM!$A$8:$A$215,0),MATCH(BG$48,SAM!$B$7:$HC$7,0)),0)</f>
        <v>0</v>
      </c>
      <c r="BH71" s="45">
        <f>_xlfn.IFNA(INDEX(SAM!$B$8:$HC$215,MATCH($BC71,SAM!$A$8:$A$215,0),MATCH(BH$48,SAM!$B$7:$HC$7,0)),0)</f>
        <v>0</v>
      </c>
      <c r="BI71" s="45">
        <f>_xlfn.IFNA(INDEX(SAM!$B$8:$HC$215,MATCH($BC71,SAM!$A$8:$A$215,0),MATCH(BI$48,SAM!$B$7:$HC$7,0)),0)</f>
        <v>0</v>
      </c>
      <c r="BJ71" s="45">
        <f>_xlfn.IFNA(INDEX(SAM!$B$8:$HC$215,MATCH($BC71,SAM!$A$8:$A$215,0),MATCH(BJ$48,SAM!$B$7:$HC$7,0)),0)</f>
        <v>0</v>
      </c>
      <c r="BK71" s="45">
        <f>_xlfn.IFNA(INDEX(SAM!$B$8:$HC$215,MATCH($BC71,SAM!$A$8:$A$215,0),MATCH(BK$48,SAM!$B$7:$HC$7,0)),0)</f>
        <v>0</v>
      </c>
      <c r="BL71" s="45">
        <f>_xlfn.IFNA(INDEX(SAM!$B$8:$HC$215,MATCH($BC71,SAM!$A$8:$A$215,0),MATCH(BL$48,SAM!$B$7:$HC$7,0)),0)</f>
        <v>0</v>
      </c>
      <c r="BM71" s="45">
        <f>_xlfn.IFNA(INDEX(SAM!$B$8:$HC$215,MATCH($BC71,SAM!$A$8:$A$215,0),MATCH(BM$48,SAM!$B$7:$HC$7,0)),0)</f>
        <v>0</v>
      </c>
      <c r="BN71" s="45">
        <f>_xlfn.IFNA(INDEX(SAM!$B$8:$HC$215,MATCH($BC71,SAM!$A$8:$A$215,0),MATCH(BN$48,SAM!$B$7:$HC$7,0)),0)</f>
        <v>0</v>
      </c>
      <c r="BO71" s="45">
        <f>_xlfn.IFNA(INDEX(SAM!$B$8:$HC$215,MATCH($BC71,SAM!$A$8:$A$215,0),MATCH(BO$48,SAM!$B$7:$HC$7,0)),0)</f>
        <v>0</v>
      </c>
      <c r="BP71" s="45">
        <f>_xlfn.IFNA(INDEX(SAM!$B$8:$HC$215,MATCH($BC71,SAM!$A$8:$A$215,0),MATCH(BP$48,SAM!$B$7:$HC$7,0)),0)</f>
        <v>0</v>
      </c>
      <c r="BQ71" s="45">
        <f>_xlfn.IFNA(INDEX(SAM!$B$8:$HC$215,MATCH($BC71,SAM!$A$8:$A$215,0),MATCH(BQ$48,SAM!$B$7:$HC$7,0)),0)</f>
        <v>0</v>
      </c>
      <c r="BR71" s="45">
        <f>_xlfn.IFNA(INDEX(SAM!$B$8:$HC$215,MATCH($BC71,SAM!$A$8:$A$215,0),MATCH(BR$48,SAM!$B$7:$HC$7,0)),0)</f>
        <v>0</v>
      </c>
      <c r="BT71" t="str">
        <f t="shared" si="109"/>
        <v>cpadm</v>
      </c>
      <c r="BU71" s="7">
        <f t="shared" si="110"/>
        <v>52.897831847710805</v>
      </c>
      <c r="BW71" s="51" t="s">
        <v>187</v>
      </c>
      <c r="BX71" s="43">
        <f t="shared" si="116"/>
        <v>5.0952857833125433</v>
      </c>
    </row>
    <row r="72" spans="1:76" x14ac:dyDescent="0.25">
      <c r="A72" t="str">
        <f t="shared" si="118"/>
        <v>other ag</v>
      </c>
      <c r="B72" t="s">
        <v>29</v>
      </c>
      <c r="C72" s="18">
        <f t="shared" si="79"/>
        <v>2.7461521390422926E-2</v>
      </c>
      <c r="D72" s="18">
        <f t="shared" si="80"/>
        <v>2.4350786031830805E-2</v>
      </c>
      <c r="E72" s="18">
        <f t="shared" si="81"/>
        <v>1.982321456738784E-2</v>
      </c>
      <c r="F72" s="18">
        <f t="shared" si="82"/>
        <v>1.7761066120107184E-2</v>
      </c>
      <c r="G72" s="18">
        <f t="shared" si="83"/>
        <v>2.2708461348481836E-2</v>
      </c>
      <c r="H72" s="18">
        <f t="shared" si="84"/>
        <v>3.6952828590808846E-2</v>
      </c>
      <c r="I72" s="18">
        <f t="shared" si="85"/>
        <v>3.651382601765385E-2</v>
      </c>
      <c r="J72" s="18">
        <f t="shared" si="86"/>
        <v>2.0337119910825111E-2</v>
      </c>
      <c r="K72" s="18">
        <f t="shared" si="87"/>
        <v>7.6393536170368342E-2</v>
      </c>
      <c r="L72" s="18">
        <f t="shared" si="88"/>
        <v>7.3799288233815548E-3</v>
      </c>
      <c r="M72" s="18">
        <f t="shared" si="89"/>
        <v>1.1697161726078023E-2</v>
      </c>
      <c r="N72" s="18">
        <f t="shared" si="90"/>
        <v>7.3787252900035169E-3</v>
      </c>
      <c r="O72" s="18">
        <f t="shared" si="91"/>
        <v>1.8717504722680422E-2</v>
      </c>
      <c r="P72" s="18">
        <f t="shared" si="92"/>
        <v>2.5863654322665349E-2</v>
      </c>
      <c r="Q72" s="18">
        <f t="shared" si="93"/>
        <v>7.4099510842340705E-2</v>
      </c>
      <c r="R72" s="18">
        <f t="shared" si="94"/>
        <v>4.4475773541076964E-2</v>
      </c>
      <c r="T72" t="str">
        <f t="shared" si="111"/>
        <v>ocrp</v>
      </c>
      <c r="U72" s="18">
        <f t="shared" si="112"/>
        <v>8.0742662503482013E-2</v>
      </c>
      <c r="V72" s="18">
        <f t="shared" si="95"/>
        <v>0.10605706999033895</v>
      </c>
      <c r="W72" s="18">
        <f t="shared" si="96"/>
        <v>0.11845621724415881</v>
      </c>
      <c r="X72" s="18">
        <f t="shared" si="97"/>
        <v>0.15262765427791652</v>
      </c>
      <c r="Y72" s="18">
        <f t="shared" si="98"/>
        <v>0.21605581553642983</v>
      </c>
      <c r="Z72" s="18">
        <f t="shared" si="99"/>
        <v>2.0921082473833251E-2</v>
      </c>
      <c r="AA72" s="18">
        <f t="shared" si="100"/>
        <v>3.0824594033235786E-2</v>
      </c>
      <c r="AB72" s="18">
        <f t="shared" si="101"/>
        <v>2.0800858286856173E-2</v>
      </c>
      <c r="AC72" s="18">
        <f t="shared" si="102"/>
        <v>9.9899690704200989E-2</v>
      </c>
      <c r="AD72" s="18">
        <f t="shared" si="103"/>
        <v>1.2335056413833392E-2</v>
      </c>
      <c r="AE72" s="18">
        <f t="shared" si="104"/>
        <v>3.4169320334059171E-3</v>
      </c>
      <c r="AF72" s="18">
        <f t="shared" si="105"/>
        <v>4.494977812684018E-3</v>
      </c>
      <c r="AG72" s="18">
        <f t="shared" si="106"/>
        <v>1.9483923521012841E-2</v>
      </c>
      <c r="AH72" s="18">
        <f t="shared" si="107"/>
        <v>5.7230073976109047E-2</v>
      </c>
      <c r="AI72" s="18">
        <f t="shared" si="108"/>
        <v>2.1956114088053664</v>
      </c>
      <c r="AJ72" s="18">
        <f t="shared" si="113"/>
        <v>3.1389580176128637</v>
      </c>
      <c r="AL72" t="str">
        <f t="shared" si="114"/>
        <v>cocrp</v>
      </c>
      <c r="AM72" s="18">
        <f>_xlfn.IFNA(INDEX(SAM!$B$8:$HC$215,MATCH($AL72,SAM!$A$8:$A$215,0),MATCH(AM$48,SAM!$B$7:$HC$7,0)),0)</f>
        <v>7.7551063243410046E-2</v>
      </c>
      <c r="AN72" s="18">
        <f>_xlfn.IFNA(INDEX(SAM!$B$8:$HC$215,MATCH($AL72,SAM!$A$8:$A$215,0),MATCH(AN$48,SAM!$B$7:$HC$7,0)),0)</f>
        <v>9.8551583859342401E-2</v>
      </c>
      <c r="AO72" s="18">
        <f>_xlfn.IFNA(INDEX(SAM!$B$8:$HC$215,MATCH($AL72,SAM!$A$8:$A$215,0),MATCH(AO$48,SAM!$B$7:$HC$7,0)),0)</f>
        <v>0.11838893898023284</v>
      </c>
      <c r="AP72" s="18">
        <f>_xlfn.IFNA(INDEX(SAM!$B$8:$HC$215,MATCH($AL72,SAM!$A$8:$A$215,0),MATCH(AP$48,SAM!$B$7:$HC$7,0)),0)</f>
        <v>0.12033955379430894</v>
      </c>
      <c r="AQ72" s="18">
        <f>_xlfn.IFNA(INDEX(SAM!$B$8:$HC$215,MATCH($AL72,SAM!$A$8:$A$215,0),MATCH(AQ$48,SAM!$B$7:$HC$7,0)),0)</f>
        <v>0.13012969878086839</v>
      </c>
      <c r="AR72" s="18">
        <f>_xlfn.IFNA(INDEX(SAM!$B$8:$HC$215,MATCH($AL72,SAM!$A$8:$A$215,0),MATCH(AR$48,SAM!$B$7:$HC$7,0)),0)</f>
        <v>2.0921082473833251E-2</v>
      </c>
      <c r="AS72" s="18">
        <f>_xlfn.IFNA(INDEX(SAM!$B$8:$HC$215,MATCH($AL72,SAM!$A$8:$A$215,0),MATCH(AS$48,SAM!$B$7:$HC$7,0)),0)</f>
        <v>3.0824594033235786E-2</v>
      </c>
      <c r="AT72" s="18">
        <f>_xlfn.IFNA(INDEX(SAM!$B$8:$HC$215,MATCH($AL72,SAM!$A$8:$A$215,0),MATCH(AT$48,SAM!$B$7:$HC$7,0)),0)</f>
        <v>2.0800858286856173E-2</v>
      </c>
      <c r="AU72" s="18">
        <f>_xlfn.IFNA(INDEX(SAM!$B$8:$HC$215,MATCH($AL72,SAM!$A$8:$A$215,0),MATCH(AU$48,SAM!$B$7:$HC$7,0)),0)</f>
        <v>2.1934080545409494E-2</v>
      </c>
      <c r="AV72" s="18">
        <f>_xlfn.IFNA(INDEX(SAM!$B$8:$HC$215,MATCH($AL72,SAM!$A$8:$A$215,0),MATCH(AV$48,SAM!$B$7:$HC$7,0)),0)</f>
        <v>1.2335056413833392E-2</v>
      </c>
      <c r="AW72" s="18">
        <f>_xlfn.IFNA(INDEX(SAM!$B$8:$HC$215,MATCH($AL72,SAM!$A$8:$A$215,0),MATCH(AW$48,SAM!$B$7:$HC$7,0)),0)</f>
        <v>3.4169320334059171E-3</v>
      </c>
      <c r="AX72" s="18">
        <f>_xlfn.IFNA(INDEX(SAM!$B$8:$HC$215,MATCH($AL72,SAM!$A$8:$A$215,0),MATCH(AX$48,SAM!$B$7:$HC$7,0)),0)</f>
        <v>4.494977812684018E-3</v>
      </c>
      <c r="AY72" s="18">
        <f>_xlfn.IFNA(INDEX(SAM!$B$8:$HC$215,MATCH($AL72,SAM!$A$8:$A$215,0),MATCH(AY$48,SAM!$B$7:$HC$7,0)),0)</f>
        <v>1.9483923521012841E-2</v>
      </c>
      <c r="AZ72" s="18">
        <f>_xlfn.IFNA(INDEX(SAM!$B$8:$HC$215,MATCH($AL72,SAM!$A$8:$A$215,0),MATCH(AZ$48,SAM!$B$7:$HC$7,0)),0)</f>
        <v>5.7230073976109047E-2</v>
      </c>
      <c r="BA72" s="18">
        <f>_xlfn.IFNA(INDEX(SAM!$B$8:$HC$215,MATCH($AL72,SAM!$A$8:$A$215,0),MATCH(BA$48,SAM!$B$7:$HC$7,0)),0)</f>
        <v>2.1737538311574065</v>
      </c>
      <c r="BB72" s="18"/>
      <c r="BC72" t="str">
        <f t="shared" si="115"/>
        <v>aocrp</v>
      </c>
      <c r="BD72" s="18">
        <f>_xlfn.IFNA(INDEX(SAM!$B$8:$HC$215,MATCH($BC72,SAM!$A$8:$A$215,0),MATCH(BD$48,SAM!$B$7:$HC$7,0)),0)</f>
        <v>3.1915992600719699E-3</v>
      </c>
      <c r="BE72" s="18">
        <f>_xlfn.IFNA(INDEX(SAM!$B$8:$HC$215,MATCH($BC72,SAM!$A$8:$A$215,0),MATCH(BE$48,SAM!$B$7:$HC$7,0)),0)</f>
        <v>7.5054861309965517E-3</v>
      </c>
      <c r="BF72" s="18">
        <f>_xlfn.IFNA(INDEX(SAM!$B$8:$HC$215,MATCH($BC72,SAM!$A$8:$A$215,0),MATCH(BF$48,SAM!$B$7:$HC$7,0)),0)</f>
        <v>6.7278263925970327E-5</v>
      </c>
      <c r="BG72" s="18">
        <f>_xlfn.IFNA(INDEX(SAM!$B$8:$HC$215,MATCH($BC72,SAM!$A$8:$A$215,0),MATCH(BG$48,SAM!$B$7:$HC$7,0)),0)</f>
        <v>3.2288100483607592E-2</v>
      </c>
      <c r="BH72" s="18">
        <f>_xlfn.IFNA(INDEX(SAM!$B$8:$HC$215,MATCH($BC72,SAM!$A$8:$A$215,0),MATCH(BH$48,SAM!$B$7:$HC$7,0)),0)</f>
        <v>8.592611675556143E-2</v>
      </c>
      <c r="BI72" s="18">
        <f>_xlfn.IFNA(INDEX(SAM!$B$8:$HC$215,MATCH($BC72,SAM!$A$8:$A$215,0),MATCH(BI$48,SAM!$B$7:$HC$7,0)),0)</f>
        <v>0</v>
      </c>
      <c r="BJ72" s="18">
        <f>_xlfn.IFNA(INDEX(SAM!$B$8:$HC$215,MATCH($BC72,SAM!$A$8:$A$215,0),MATCH(BJ$48,SAM!$B$7:$HC$7,0)),0)</f>
        <v>0</v>
      </c>
      <c r="BK72" s="18">
        <f>_xlfn.IFNA(INDEX(SAM!$B$8:$HC$215,MATCH($BC72,SAM!$A$8:$A$215,0),MATCH(BK$48,SAM!$B$7:$HC$7,0)),0)</f>
        <v>0</v>
      </c>
      <c r="BL72" s="18">
        <f>_xlfn.IFNA(INDEX(SAM!$B$8:$HC$215,MATCH($BC72,SAM!$A$8:$A$215,0),MATCH(BL$48,SAM!$B$7:$HC$7,0)),0)</f>
        <v>7.7965610158791498E-2</v>
      </c>
      <c r="BM72" s="18">
        <f>_xlfn.IFNA(INDEX(SAM!$B$8:$HC$215,MATCH($BC72,SAM!$A$8:$A$215,0),MATCH(BM$48,SAM!$B$7:$HC$7,0)),0)</f>
        <v>0</v>
      </c>
      <c r="BN72" s="18">
        <f>_xlfn.IFNA(INDEX(SAM!$B$8:$HC$215,MATCH($BC72,SAM!$A$8:$A$215,0),MATCH(BN$48,SAM!$B$7:$HC$7,0)),0)</f>
        <v>0</v>
      </c>
      <c r="BO72" s="18">
        <f>_xlfn.IFNA(INDEX(SAM!$B$8:$HC$215,MATCH($BC72,SAM!$A$8:$A$215,0),MATCH(BO$48,SAM!$B$7:$HC$7,0)),0)</f>
        <v>0</v>
      </c>
      <c r="BP72" s="18">
        <f>_xlfn.IFNA(INDEX(SAM!$B$8:$HC$215,MATCH($BC72,SAM!$A$8:$A$215,0),MATCH(BP$48,SAM!$B$7:$HC$7,0)),0)</f>
        <v>0</v>
      </c>
      <c r="BQ72" s="18">
        <f>_xlfn.IFNA(INDEX(SAM!$B$8:$HC$215,MATCH($BC72,SAM!$A$8:$A$215,0),MATCH(BQ$48,SAM!$B$7:$HC$7,0)),0)</f>
        <v>0</v>
      </c>
      <c r="BR72" s="18">
        <f>_xlfn.IFNA(INDEX(SAM!$B$8:$HC$215,MATCH($BC72,SAM!$A$8:$A$215,0),MATCH(BR$48,SAM!$B$7:$HC$7,0)),0)</f>
        <v>2.1857577647959713E-2</v>
      </c>
      <c r="BT72" t="str">
        <f t="shared" si="109"/>
        <v>cocrp</v>
      </c>
      <c r="BU72" s="7">
        <f t="shared" si="110"/>
        <v>3.1389580176128637</v>
      </c>
      <c r="BW72" s="51" t="s">
        <v>188</v>
      </c>
      <c r="BX72" s="43">
        <f t="shared" si="116"/>
        <v>0.5582565055494918</v>
      </c>
    </row>
    <row r="73" spans="1:76" x14ac:dyDescent="0.25">
      <c r="A73" t="s">
        <v>625</v>
      </c>
      <c r="B73" t="s">
        <v>718</v>
      </c>
      <c r="C73" s="18">
        <f t="shared" si="79"/>
        <v>1.252866323780134E-2</v>
      </c>
      <c r="D73" s="18">
        <f t="shared" si="80"/>
        <v>5.7615134993717752E-2</v>
      </c>
      <c r="E73" s="18">
        <f t="shared" si="81"/>
        <v>4.5357928201958615E-2</v>
      </c>
      <c r="F73" s="18">
        <f t="shared" si="82"/>
        <v>0.12501529789196508</v>
      </c>
      <c r="G73" s="18">
        <f t="shared" si="83"/>
        <v>6.8862643988987837E-2</v>
      </c>
      <c r="H73" s="18">
        <f t="shared" si="84"/>
        <v>4.2165814339156817E-2</v>
      </c>
      <c r="I73" s="18">
        <f t="shared" si="85"/>
        <v>4.8106106940900624E-2</v>
      </c>
      <c r="J73" s="18">
        <f t="shared" si="86"/>
        <v>7.3701711639002172E-4</v>
      </c>
      <c r="K73" s="18">
        <f t="shared" si="87"/>
        <v>5.6241475941327904E-2</v>
      </c>
      <c r="L73" s="18">
        <f t="shared" si="88"/>
        <v>4.841774557457915E-3</v>
      </c>
      <c r="M73" s="18">
        <f t="shared" si="89"/>
        <v>8.9839116790407065E-4</v>
      </c>
      <c r="N73" s="18">
        <f t="shared" si="90"/>
        <v>8.2346119024836963E-4</v>
      </c>
      <c r="O73" s="18">
        <f t="shared" si="91"/>
        <v>7.0902803655619601E-4</v>
      </c>
      <c r="P73" s="18">
        <f t="shared" si="92"/>
        <v>2.5597243895516498E-3</v>
      </c>
      <c r="Q73" s="18">
        <f t="shared" si="93"/>
        <v>2.6781995691111476E-3</v>
      </c>
      <c r="R73" s="18">
        <f t="shared" si="94"/>
        <v>3.5729883198296689E-2</v>
      </c>
      <c r="T73" t="str">
        <f t="shared" si="111"/>
        <v>becr</v>
      </c>
      <c r="U73" s="18">
        <f t="shared" ref="U73" si="120">IFERROR(AM73+BD73,"")</f>
        <v>3.6836911292990687E-2</v>
      </c>
      <c r="V73" s="18">
        <f t="shared" ref="V73" si="121">IFERROR(AN73+BE73,"")</f>
        <v>0.25093614623133936</v>
      </c>
      <c r="W73" s="18">
        <f t="shared" ref="W73" si="122">IFERROR(AO73+BF73,"")</f>
        <v>0.27104224587648063</v>
      </c>
      <c r="X73" s="18">
        <f t="shared" ref="X73" si="123">IFERROR(AP73+BG73,"")</f>
        <v>1.0743044103925923</v>
      </c>
      <c r="Y73" s="18">
        <f t="shared" ref="Y73" si="124">IFERROR(AQ73+BH73,"")</f>
        <v>0.65518198167267139</v>
      </c>
      <c r="Z73" s="18">
        <f t="shared" ref="Z73" si="125">IFERROR(AR73+BI73,"")</f>
        <v>2.3872448010252071E-2</v>
      </c>
      <c r="AA73" s="18">
        <f t="shared" ref="AA73" si="126">IFERROR(AS73+BJ73,"")</f>
        <v>4.0610677617178577E-2</v>
      </c>
      <c r="AB73" s="18">
        <f t="shared" ref="AB73" si="127">IFERROR(AT73+BK73,"")</f>
        <v>7.5382299264784339E-4</v>
      </c>
      <c r="AC73" s="18">
        <f t="shared" ref="AC73" si="128">IFERROR(AU73+BL73,"")</f>
        <v>7.3546877562472815E-2</v>
      </c>
      <c r="AD73" s="18">
        <f t="shared" ref="AD73" si="129">IFERROR(AV73+BM73,"")</f>
        <v>8.0927016694370604E-3</v>
      </c>
      <c r="AE73" s="18">
        <f t="shared" ref="AE73" si="130">IFERROR(AW73+BN73,"")</f>
        <v>2.6243473690686807E-4</v>
      </c>
      <c r="AF73" s="18">
        <f t="shared" ref="AF73" si="131">IFERROR(AX73+BO73,"")</f>
        <v>5.0163675083383268E-4</v>
      </c>
      <c r="AG73" s="18">
        <f t="shared" ref="AG73" si="132">IFERROR(AY73+BP73,"")</f>
        <v>7.3806034742308891E-4</v>
      </c>
      <c r="AH73" s="18">
        <f t="shared" ref="AH73" si="133">IFERROR(AZ73+BQ73,"")</f>
        <v>5.6640571492681015E-3</v>
      </c>
      <c r="AI73" s="18">
        <f t="shared" ref="AI73" si="134">IFERROR(BA73+BR73,"")</f>
        <v>7.9356603871641729E-2</v>
      </c>
      <c r="AJ73" s="18">
        <f t="shared" ref="AJ73" si="135">SUM(U73:AI73)</f>
        <v>2.521701016174136</v>
      </c>
      <c r="AL73" t="str">
        <f t="shared" si="114"/>
        <v>cbecr</v>
      </c>
      <c r="AM73" s="18">
        <f>_xlfn.IFNA(INDEX(SAM!$B$8:$HC$215,MATCH($AL73,SAM!$A$8:$A$215,0),MATCH(AM$48,SAM!$B$7:$HC$7,0)),0)</f>
        <v>1.592741354316948E-2</v>
      </c>
      <c r="AN73" s="18">
        <f>_xlfn.IFNA(INDEX(SAM!$B$8:$HC$215,MATCH($AL73,SAM!$A$8:$A$215,0),MATCH(AN$48,SAM!$B$7:$HC$7,0)),0)</f>
        <v>0.10231367056389601</v>
      </c>
      <c r="AO73" s="18">
        <f>_xlfn.IFNA(INDEX(SAM!$B$8:$HC$215,MATCH($AL73,SAM!$A$8:$A$215,0),MATCH(AO$48,SAM!$B$7:$HC$7,0)),0)</f>
        <v>0.11094024476718709</v>
      </c>
      <c r="AP73" s="18">
        <f>_xlfn.IFNA(INDEX(SAM!$B$8:$HC$215,MATCH($AL73,SAM!$A$8:$A$215,0),MATCH(AP$48,SAM!$B$7:$HC$7,0)),0)</f>
        <v>0.43401545066679581</v>
      </c>
      <c r="AQ73" s="18">
        <f>_xlfn.IFNA(INDEX(SAM!$B$8:$HC$215,MATCH($AL73,SAM!$A$8:$A$215,0),MATCH(AQ$48,SAM!$B$7:$HC$7,0)),0)</f>
        <v>0.26580537915789021</v>
      </c>
      <c r="AR73" s="18">
        <f>_xlfn.IFNA(INDEX(SAM!$B$8:$HC$215,MATCH($AL73,SAM!$A$8:$A$215,0),MATCH(AR$48,SAM!$B$7:$HC$7,0)),0)</f>
        <v>2.3872448010252071E-2</v>
      </c>
      <c r="AS73" s="18">
        <f>_xlfn.IFNA(INDEX(SAM!$B$8:$HC$215,MATCH($AL73,SAM!$A$8:$A$215,0),MATCH(AS$48,SAM!$B$7:$HC$7,0)),0)</f>
        <v>4.0610677617178577E-2</v>
      </c>
      <c r="AT73" s="18">
        <f>_xlfn.IFNA(INDEX(SAM!$B$8:$HC$215,MATCH($AL73,SAM!$A$8:$A$215,0),MATCH(AT$48,SAM!$B$7:$HC$7,0)),0)</f>
        <v>7.5382299264784339E-4</v>
      </c>
      <c r="AU73" s="18">
        <f>_xlfn.IFNA(INDEX(SAM!$B$8:$HC$215,MATCH($AL73,SAM!$A$8:$A$215,0),MATCH(AU$48,SAM!$B$7:$HC$7,0)),0)</f>
        <v>7.3546877562472815E-2</v>
      </c>
      <c r="AV73" s="18">
        <f>_xlfn.IFNA(INDEX(SAM!$B$8:$HC$215,MATCH($AL73,SAM!$A$8:$A$215,0),MATCH(AV$48,SAM!$B$7:$HC$7,0)),0)</f>
        <v>8.0927016694370604E-3</v>
      </c>
      <c r="AW73" s="18">
        <f>_xlfn.IFNA(INDEX(SAM!$B$8:$HC$215,MATCH($AL73,SAM!$A$8:$A$215,0),MATCH(AW$48,SAM!$B$7:$HC$7,0)),0)</f>
        <v>2.6243473690686807E-4</v>
      </c>
      <c r="AX73" s="18">
        <f>_xlfn.IFNA(INDEX(SAM!$B$8:$HC$215,MATCH($AL73,SAM!$A$8:$A$215,0),MATCH(AX$48,SAM!$B$7:$HC$7,0)),0)</f>
        <v>5.0163675083383268E-4</v>
      </c>
      <c r="AY73" s="18">
        <f>_xlfn.IFNA(INDEX(SAM!$B$8:$HC$215,MATCH($AL73,SAM!$A$8:$A$215,0),MATCH(AY$48,SAM!$B$7:$HC$7,0)),0)</f>
        <v>7.3806034742308891E-4</v>
      </c>
      <c r="AZ73" s="18">
        <f>_xlfn.IFNA(INDEX(SAM!$B$8:$HC$215,MATCH($AL73,SAM!$A$8:$A$215,0),MATCH(AZ$48,SAM!$B$7:$HC$7,0)),0)</f>
        <v>5.6640571492681015E-3</v>
      </c>
      <c r="BA73" s="18">
        <f>_xlfn.IFNA(INDEX(SAM!$B$8:$HC$215,MATCH($AL73,SAM!$A$8:$A$215,0),MATCH(BA$48,SAM!$B$7:$HC$7,0)),0)</f>
        <v>7.9356603871641729E-2</v>
      </c>
      <c r="BB73" s="18"/>
      <c r="BC73" t="str">
        <f t="shared" si="115"/>
        <v>abecr</v>
      </c>
      <c r="BD73" s="18">
        <f>_xlfn.IFNA(INDEX(SAM!$B$8:$HC$215,MATCH($BC73,SAM!$A$8:$A$215,0),MATCH(BD$48,SAM!$B$7:$HC$7,0)),0)</f>
        <v>2.0909497749821208E-2</v>
      </c>
      <c r="BE73" s="18">
        <f>_xlfn.IFNA(INDEX(SAM!$B$8:$HC$215,MATCH($BC73,SAM!$A$8:$A$215,0),MATCH(BE$48,SAM!$B$7:$HC$7,0)),0)</f>
        <v>0.14862247566744335</v>
      </c>
      <c r="BF73" s="18">
        <f>_xlfn.IFNA(INDEX(SAM!$B$8:$HC$215,MATCH($BC73,SAM!$A$8:$A$215,0),MATCH(BF$48,SAM!$B$7:$HC$7,0)),0)</f>
        <v>0.16010200110929351</v>
      </c>
      <c r="BG73" s="18">
        <f>_xlfn.IFNA(INDEX(SAM!$B$8:$HC$215,MATCH($BC73,SAM!$A$8:$A$215,0),MATCH(BG$48,SAM!$B$7:$HC$7,0)),0)</f>
        <v>0.64028895972579647</v>
      </c>
      <c r="BH73" s="18">
        <f>_xlfn.IFNA(INDEX(SAM!$B$8:$HC$215,MATCH($BC73,SAM!$A$8:$A$215,0),MATCH(BH$48,SAM!$B$7:$HC$7,0)),0)</f>
        <v>0.38937660251478123</v>
      </c>
      <c r="BI73" s="18">
        <f>_xlfn.IFNA(INDEX(SAM!$B$8:$HC$215,MATCH($BC73,SAM!$A$8:$A$215,0),MATCH(BI$48,SAM!$B$7:$HC$7,0)),0)</f>
        <v>0</v>
      </c>
      <c r="BJ73" s="18">
        <f>_xlfn.IFNA(INDEX(SAM!$B$8:$HC$215,MATCH($BC73,SAM!$A$8:$A$215,0),MATCH(BJ$48,SAM!$B$7:$HC$7,0)),0)</f>
        <v>0</v>
      </c>
      <c r="BK73" s="18">
        <f>_xlfn.IFNA(INDEX(SAM!$B$8:$HC$215,MATCH($BC73,SAM!$A$8:$A$215,0),MATCH(BK$48,SAM!$B$7:$HC$7,0)),0)</f>
        <v>0</v>
      </c>
      <c r="BL73" s="18">
        <f>_xlfn.IFNA(INDEX(SAM!$B$8:$HC$215,MATCH($BC73,SAM!$A$8:$A$215,0),MATCH(BL$48,SAM!$B$7:$HC$7,0)),0)</f>
        <v>0</v>
      </c>
      <c r="BM73" s="18">
        <f>_xlfn.IFNA(INDEX(SAM!$B$8:$HC$215,MATCH($BC73,SAM!$A$8:$A$215,0),MATCH(BM$48,SAM!$B$7:$HC$7,0)),0)</f>
        <v>0</v>
      </c>
      <c r="BN73" s="18">
        <f>_xlfn.IFNA(INDEX(SAM!$B$8:$HC$215,MATCH($BC73,SAM!$A$8:$A$215,0),MATCH(BN$48,SAM!$B$7:$HC$7,0)),0)</f>
        <v>0</v>
      </c>
      <c r="BO73" s="18">
        <f>_xlfn.IFNA(INDEX(SAM!$B$8:$HC$215,MATCH($BC73,SAM!$A$8:$A$215,0),MATCH(BO$48,SAM!$B$7:$HC$7,0)),0)</f>
        <v>0</v>
      </c>
      <c r="BP73" s="18">
        <f>_xlfn.IFNA(INDEX(SAM!$B$8:$HC$215,MATCH($BC73,SAM!$A$8:$A$215,0),MATCH(BP$48,SAM!$B$7:$HC$7,0)),0)</f>
        <v>0</v>
      </c>
      <c r="BQ73" s="18">
        <f>_xlfn.IFNA(INDEX(SAM!$B$8:$HC$215,MATCH($BC73,SAM!$A$8:$A$215,0),MATCH(BQ$48,SAM!$B$7:$HC$7,0)),0)</f>
        <v>0</v>
      </c>
      <c r="BR73" s="18">
        <f>_xlfn.IFNA(INDEX(SAM!$B$8:$HC$215,MATCH($BC73,SAM!$A$8:$A$215,0),MATCH(BR$48,SAM!$B$7:$HC$7,0)),0)</f>
        <v>0</v>
      </c>
      <c r="BT73" t="str">
        <f t="shared" si="109"/>
        <v>cbecr</v>
      </c>
      <c r="BU73" s="7">
        <f t="shared" si="110"/>
        <v>2.521701016174136</v>
      </c>
      <c r="BW73" s="51" t="s">
        <v>189</v>
      </c>
      <c r="BX73" s="43">
        <f t="shared" si="116"/>
        <v>1.2236899826044429</v>
      </c>
    </row>
    <row r="74" spans="1:76" x14ac:dyDescent="0.25">
      <c r="A74" t="s">
        <v>625</v>
      </c>
      <c r="B74" t="s">
        <v>30</v>
      </c>
      <c r="C74" s="18">
        <f t="shared" si="79"/>
        <v>26.91062411638983</v>
      </c>
      <c r="D74" s="18">
        <f t="shared" si="80"/>
        <v>20.860472876060683</v>
      </c>
      <c r="E74" s="18">
        <f t="shared" si="81"/>
        <v>16.484965494026657</v>
      </c>
      <c r="F74" s="18">
        <f t="shared" si="82"/>
        <v>11.317553605732783</v>
      </c>
      <c r="G74" s="18">
        <f t="shared" si="83"/>
        <v>5.5867452620704805</v>
      </c>
      <c r="H74" s="18">
        <f t="shared" si="84"/>
        <v>21.613790880547381</v>
      </c>
      <c r="I74" s="18">
        <f t="shared" si="85"/>
        <v>17.392283815090259</v>
      </c>
      <c r="J74" s="18">
        <f t="shared" si="86"/>
        <v>13.050070075643733</v>
      </c>
      <c r="K74" s="18">
        <f t="shared" si="87"/>
        <v>10.981614656745771</v>
      </c>
      <c r="L74" s="18">
        <f t="shared" si="88"/>
        <v>4.9648429655173123</v>
      </c>
      <c r="M74" s="18">
        <f t="shared" si="89"/>
        <v>19.795997955965433</v>
      </c>
      <c r="N74" s="18">
        <f t="shared" si="90"/>
        <v>13.070959191229214</v>
      </c>
      <c r="O74" s="18">
        <f t="shared" si="91"/>
        <v>10.983092340984541</v>
      </c>
      <c r="P74" s="18">
        <f t="shared" si="92"/>
        <v>6.5659510938132142</v>
      </c>
      <c r="Q74" s="18">
        <f t="shared" si="93"/>
        <v>0.34290449502607195</v>
      </c>
      <c r="R74" s="18">
        <f t="shared" si="94"/>
        <v>7.5334938803459677</v>
      </c>
      <c r="T74" t="str">
        <f t="shared" si="111"/>
        <v>fore</v>
      </c>
      <c r="U74" s="18">
        <f t="shared" si="112"/>
        <v>79.122908374096625</v>
      </c>
      <c r="V74" s="18">
        <f t="shared" si="95"/>
        <v>90.855409306128138</v>
      </c>
      <c r="W74" s="18">
        <f t="shared" si="96"/>
        <v>98.508072300011563</v>
      </c>
      <c r="X74" s="18">
        <f t="shared" si="97"/>
        <v>97.256079523966477</v>
      </c>
      <c r="Y74" s="18">
        <f t="shared" si="98"/>
        <v>53.154143086476431</v>
      </c>
      <c r="Z74" s="18">
        <f t="shared" si="99"/>
        <v>12.236787245471838</v>
      </c>
      <c r="AA74" s="18">
        <f t="shared" si="100"/>
        <v>14.682385999532723</v>
      </c>
      <c r="AB74" s="18">
        <f t="shared" si="101"/>
        <v>13.347645068096295</v>
      </c>
      <c r="AC74" s="18">
        <f t="shared" si="102"/>
        <v>14.360637858090831</v>
      </c>
      <c r="AD74" s="18">
        <f t="shared" si="103"/>
        <v>8.298402265269873</v>
      </c>
      <c r="AE74" s="18">
        <f t="shared" si="104"/>
        <v>5.7827344045499567</v>
      </c>
      <c r="AF74" s="18">
        <f t="shared" si="105"/>
        <v>7.9625774433791872</v>
      </c>
      <c r="AG74" s="18">
        <f t="shared" si="106"/>
        <v>11.43281299331869</v>
      </c>
      <c r="AH74" s="18">
        <f t="shared" si="107"/>
        <v>14.528877556685496</v>
      </c>
      <c r="AI74" s="18">
        <f t="shared" si="108"/>
        <v>10.160458724373733</v>
      </c>
      <c r="AJ74" s="18">
        <f t="shared" si="113"/>
        <v>531.68993214944783</v>
      </c>
      <c r="AL74" t="str">
        <f t="shared" si="114"/>
        <v>cfore</v>
      </c>
      <c r="AM74" s="18">
        <f>_xlfn.IFNA(INDEX(SAM!$B$8:$HC$215,MATCH($AL74,SAM!$A$8:$A$215,0),MATCH(AM$48,SAM!$B$7:$HC$7,0)),0)</f>
        <v>7.8059218557118594E-3</v>
      </c>
      <c r="AN74" s="18">
        <f>_xlfn.IFNA(INDEX(SAM!$B$8:$HC$215,MATCH($AL74,SAM!$A$8:$A$215,0),MATCH(AN$48,SAM!$B$7:$HC$7,0)),0)</f>
        <v>2.3117667252889183E-2</v>
      </c>
      <c r="AO74" s="18">
        <f>_xlfn.IFNA(INDEX(SAM!$B$8:$HC$215,MATCH($AL74,SAM!$A$8:$A$215,0),MATCH(AO$48,SAM!$B$7:$HC$7,0)),0)</f>
        <v>5.6233424270107316E-2</v>
      </c>
      <c r="AP74" s="18">
        <f>_xlfn.IFNA(INDEX(SAM!$B$8:$HC$215,MATCH($AL74,SAM!$A$8:$A$215,0),MATCH(AP$48,SAM!$B$7:$HC$7,0)),0)</f>
        <v>0.1120336046158885</v>
      </c>
      <c r="AQ74" s="18">
        <f>_xlfn.IFNA(INDEX(SAM!$B$8:$HC$215,MATCH($AL74,SAM!$A$8:$A$215,0),MATCH(AQ$48,SAM!$B$7:$HC$7,0)),0)</f>
        <v>0.17897657212453177</v>
      </c>
      <c r="AR74" s="18">
        <f>_xlfn.IFNA(INDEX(SAM!$B$8:$HC$215,MATCH($AL74,SAM!$A$8:$A$215,0),MATCH(AR$48,SAM!$B$7:$HC$7,0)),0)</f>
        <v>3.086081327129302E-3</v>
      </c>
      <c r="AS74" s="18">
        <f>_xlfn.IFNA(INDEX(SAM!$B$8:$HC$215,MATCH($AL74,SAM!$A$8:$A$215,0),MATCH(AS$48,SAM!$B$7:$HC$7,0)),0)</f>
        <v>5.5738233128326733E-3</v>
      </c>
      <c r="AT74" s="18">
        <f>_xlfn.IFNA(INDEX(SAM!$B$8:$HC$215,MATCH($AL74,SAM!$A$8:$A$215,0),MATCH(AT$48,SAM!$B$7:$HC$7,0)),0)</f>
        <v>6.6159200592348262E-3</v>
      </c>
      <c r="AU74" s="18">
        <f>_xlfn.IFNA(INDEX(SAM!$B$8:$HC$215,MATCH($AL74,SAM!$A$8:$A$215,0),MATCH(AU$48,SAM!$B$7:$HC$7,0)),0)</f>
        <v>1.5742561112660841E-2</v>
      </c>
      <c r="AV74" s="18">
        <f>_xlfn.IFNA(INDEX(SAM!$B$8:$HC$215,MATCH($AL74,SAM!$A$8:$A$215,0),MATCH(AV$48,SAM!$B$7:$HC$7,0)),0)</f>
        <v>3.6959734917975738E-2</v>
      </c>
      <c r="AW74" s="18">
        <f>_xlfn.IFNA(INDEX(SAM!$B$8:$HC$215,MATCH($AL74,SAM!$A$8:$A$215,0),MATCH(AW$48,SAM!$B$7:$HC$7,0)),0)</f>
        <v>8.0516903133731801E-3</v>
      </c>
      <c r="AX74" s="18">
        <f>_xlfn.IFNA(INDEX(SAM!$B$8:$HC$215,MATCH($AL74,SAM!$A$8:$A$215,0),MATCH(AX$48,SAM!$B$7:$HC$7,0)),0)</f>
        <v>4.0060680152182573E-2</v>
      </c>
      <c r="AY74" s="18">
        <f>_xlfn.IFNA(INDEX(SAM!$B$8:$HC$215,MATCH($AL74,SAM!$A$8:$A$215,0),MATCH(AY$48,SAM!$B$7:$HC$7,0)),0)</f>
        <v>6.3310901335791939E-2</v>
      </c>
      <c r="AZ74" s="18">
        <f>_xlfn.IFNA(INDEX(SAM!$B$8:$HC$215,MATCH($AL74,SAM!$A$8:$A$215,0),MATCH(AZ$48,SAM!$B$7:$HC$7,0)),0)</f>
        <v>0.2094316166985023</v>
      </c>
      <c r="BA74" s="18">
        <f>_xlfn.IFNA(INDEX(SAM!$B$8:$HC$215,MATCH($AL74,SAM!$A$8:$A$215,0),MATCH(BA$48,SAM!$B$7:$HC$7,0)),0)</f>
        <v>1.2289076598304394</v>
      </c>
      <c r="BB74" s="18"/>
      <c r="BC74" t="str">
        <f t="shared" si="115"/>
        <v>afore</v>
      </c>
      <c r="BD74" s="18">
        <f>_xlfn.IFNA(INDEX(SAM!$B$8:$HC$215,MATCH($BC74,SAM!$A$8:$A$215,0),MATCH(BD$48,SAM!$B$7:$HC$7,0)),0)</f>
        <v>79.115102452240919</v>
      </c>
      <c r="BE74" s="18">
        <f>_xlfn.IFNA(INDEX(SAM!$B$8:$HC$215,MATCH($BC74,SAM!$A$8:$A$215,0),MATCH(BE$48,SAM!$B$7:$HC$7,0)),0)</f>
        <v>90.832291638875247</v>
      </c>
      <c r="BF74" s="18">
        <f>_xlfn.IFNA(INDEX(SAM!$B$8:$HC$215,MATCH($BC74,SAM!$A$8:$A$215,0),MATCH(BF$48,SAM!$B$7:$HC$7,0)),0)</f>
        <v>98.451838875741458</v>
      </c>
      <c r="BG74" s="18">
        <f>_xlfn.IFNA(INDEX(SAM!$B$8:$HC$215,MATCH($BC74,SAM!$A$8:$A$215,0),MATCH(BG$48,SAM!$B$7:$HC$7,0)),0)</f>
        <v>97.144045919350589</v>
      </c>
      <c r="BH74" s="18">
        <f>_xlfn.IFNA(INDEX(SAM!$B$8:$HC$215,MATCH($BC74,SAM!$A$8:$A$215,0),MATCH(BH$48,SAM!$B$7:$HC$7,0)),0)</f>
        <v>52.975166514351898</v>
      </c>
      <c r="BI74" s="18">
        <f>_xlfn.IFNA(INDEX(SAM!$B$8:$HC$215,MATCH($BC74,SAM!$A$8:$A$215,0),MATCH(BI$48,SAM!$B$7:$HC$7,0)),0)</f>
        <v>12.233701164144708</v>
      </c>
      <c r="BJ74" s="18">
        <f>_xlfn.IFNA(INDEX(SAM!$B$8:$HC$215,MATCH($BC74,SAM!$A$8:$A$215,0),MATCH(BJ$48,SAM!$B$7:$HC$7,0)),0)</f>
        <v>14.67681217621989</v>
      </c>
      <c r="BK74" s="18">
        <f>_xlfn.IFNA(INDEX(SAM!$B$8:$HC$215,MATCH($BC74,SAM!$A$8:$A$215,0),MATCH(BK$48,SAM!$B$7:$HC$7,0)),0)</f>
        <v>13.341029148037061</v>
      </c>
      <c r="BL74" s="18">
        <f>_xlfn.IFNA(INDEX(SAM!$B$8:$HC$215,MATCH($BC74,SAM!$A$8:$A$215,0),MATCH(BL$48,SAM!$B$7:$HC$7,0)),0)</f>
        <v>14.344895296978169</v>
      </c>
      <c r="BM74" s="18">
        <f>_xlfn.IFNA(INDEX(SAM!$B$8:$HC$215,MATCH($BC74,SAM!$A$8:$A$215,0),MATCH(BM$48,SAM!$B$7:$HC$7,0)),0)</f>
        <v>8.2614425303518981</v>
      </c>
      <c r="BN74" s="18">
        <f>_xlfn.IFNA(INDEX(SAM!$B$8:$HC$215,MATCH($BC74,SAM!$A$8:$A$215,0),MATCH(BN$48,SAM!$B$7:$HC$7,0)),0)</f>
        <v>5.7746827142365831</v>
      </c>
      <c r="BO74" s="18">
        <f>_xlfn.IFNA(INDEX(SAM!$B$8:$HC$215,MATCH($BC74,SAM!$A$8:$A$215,0),MATCH(BO$48,SAM!$B$7:$HC$7,0)),0)</f>
        <v>7.9225167632270042</v>
      </c>
      <c r="BP74" s="18">
        <f>_xlfn.IFNA(INDEX(SAM!$B$8:$HC$215,MATCH($BC74,SAM!$A$8:$A$215,0),MATCH(BP$48,SAM!$B$7:$HC$7,0)),0)</f>
        <v>11.369502091982898</v>
      </c>
      <c r="BQ74" s="18">
        <f>_xlfn.IFNA(INDEX(SAM!$B$8:$HC$215,MATCH($BC74,SAM!$A$8:$A$215,0),MATCH(BQ$48,SAM!$B$7:$HC$7,0)),0)</f>
        <v>14.319445939986993</v>
      </c>
      <c r="BR74" s="18">
        <f>_xlfn.IFNA(INDEX(SAM!$B$8:$HC$215,MATCH($BC74,SAM!$A$8:$A$215,0),MATCH(BR$48,SAM!$B$7:$HC$7,0)),0)</f>
        <v>8.9315510645432941</v>
      </c>
      <c r="BT74" t="str">
        <f t="shared" si="109"/>
        <v>cfore</v>
      </c>
      <c r="BU74" s="7">
        <f t="shared" si="110"/>
        <v>531.68993214944783</v>
      </c>
      <c r="BW74" s="51" t="s">
        <v>190</v>
      </c>
      <c r="BX74" s="43">
        <f t="shared" si="116"/>
        <v>0</v>
      </c>
    </row>
    <row r="75" spans="1:76" x14ac:dyDescent="0.25">
      <c r="A75" s="26" t="s">
        <v>625</v>
      </c>
      <c r="B75" s="26" t="s">
        <v>709</v>
      </c>
      <c r="C75" s="45">
        <f t="shared" si="79"/>
        <v>0.32341316026601691</v>
      </c>
      <c r="D75" s="45">
        <f t="shared" si="80"/>
        <v>0.36762604765648543</v>
      </c>
      <c r="E75" s="45">
        <f t="shared" si="81"/>
        <v>0.39326585561490957</v>
      </c>
      <c r="F75" s="45">
        <f t="shared" si="82"/>
        <v>0.36854091156304492</v>
      </c>
      <c r="G75" s="45">
        <f t="shared" si="83"/>
        <v>0.21123619821087333</v>
      </c>
      <c r="H75" s="45">
        <f t="shared" si="84"/>
        <v>0.27293410483930647</v>
      </c>
      <c r="I75" s="45">
        <f t="shared" si="85"/>
        <v>0.40698346683483644</v>
      </c>
      <c r="J75" s="45">
        <f t="shared" si="86"/>
        <v>0.35774571868927868</v>
      </c>
      <c r="K75" s="45">
        <f t="shared" si="87"/>
        <v>0.29617065429886563</v>
      </c>
      <c r="L75" s="45">
        <f t="shared" si="88"/>
        <v>0.19336106310512807</v>
      </c>
      <c r="M75" s="45">
        <f t="shared" si="89"/>
        <v>1.1426126770513596</v>
      </c>
      <c r="N75" s="45">
        <f t="shared" si="90"/>
        <v>0.65696056923396096</v>
      </c>
      <c r="O75" s="45">
        <f t="shared" si="91"/>
        <v>1.01651281184357</v>
      </c>
      <c r="P75" s="45">
        <f t="shared" si="92"/>
        <v>0.58332362944881699</v>
      </c>
      <c r="Q75" s="45">
        <f t="shared" si="93"/>
        <v>0.24597998415199954</v>
      </c>
      <c r="R75" s="45">
        <f t="shared" si="94"/>
        <v>0.3120677683240925</v>
      </c>
      <c r="S75" s="26"/>
      <c r="T75" s="26" t="str">
        <f t="shared" si="111"/>
        <v>oapr</v>
      </c>
      <c r="U75" s="45">
        <f t="shared" si="112"/>
        <v>0.95090287523729133</v>
      </c>
      <c r="V75" s="45">
        <f t="shared" si="95"/>
        <v>1.6011533022223414</v>
      </c>
      <c r="W75" s="45">
        <f t="shared" si="96"/>
        <v>2.3500116728832001</v>
      </c>
      <c r="X75" s="45">
        <f t="shared" si="97"/>
        <v>3.1670134245845132</v>
      </c>
      <c r="Y75" s="45">
        <f t="shared" si="98"/>
        <v>2.0097710881814694</v>
      </c>
      <c r="Z75" s="45">
        <f t="shared" si="99"/>
        <v>0.15452340551503085</v>
      </c>
      <c r="AA75" s="45">
        <f t="shared" si="100"/>
        <v>0.34357123072661189</v>
      </c>
      <c r="AB75" s="45">
        <f t="shared" si="101"/>
        <v>0.36590323653568352</v>
      </c>
      <c r="AC75" s="45">
        <f t="shared" si="102"/>
        <v>0.38730183525126449</v>
      </c>
      <c r="AD75" s="45">
        <f t="shared" si="103"/>
        <v>0.32319005761734004</v>
      </c>
      <c r="AE75" s="45">
        <f t="shared" si="104"/>
        <v>0.33377582950642348</v>
      </c>
      <c r="AF75" s="45">
        <f t="shared" si="105"/>
        <v>0.40020776847670247</v>
      </c>
      <c r="AG75" s="45">
        <f t="shared" si="106"/>
        <v>1.0581355889864352</v>
      </c>
      <c r="AH75" s="45">
        <f t="shared" si="107"/>
        <v>1.2907555153995696</v>
      </c>
      <c r="AI75" s="45">
        <f t="shared" si="108"/>
        <v>7.2885293492827214</v>
      </c>
      <c r="AJ75" s="45">
        <f t="shared" si="113"/>
        <v>22.024746180406598</v>
      </c>
      <c r="AK75" s="26"/>
      <c r="AL75" s="26" t="str">
        <f t="shared" si="114"/>
        <v>coapr</v>
      </c>
      <c r="AM75" s="45">
        <f>_xlfn.IFNA(INDEX(SAM!$B$8:$HC$215,MATCH($AL75,SAM!$A$8:$A$215,0),MATCH(AM$48,SAM!$B$7:$HC$7,0)),0)</f>
        <v>0.95090287523729133</v>
      </c>
      <c r="AN75" s="45">
        <f>_xlfn.IFNA(INDEX(SAM!$B$8:$HC$215,MATCH($AL75,SAM!$A$8:$A$215,0),MATCH(AN$48,SAM!$B$7:$HC$7,0)),0)</f>
        <v>1.6011533022223414</v>
      </c>
      <c r="AO75" s="45">
        <f>_xlfn.IFNA(INDEX(SAM!$B$8:$HC$215,MATCH($AL75,SAM!$A$8:$A$215,0),MATCH(AO$48,SAM!$B$7:$HC$7,0)),0)</f>
        <v>2.3500116728832001</v>
      </c>
      <c r="AP75" s="45">
        <f>_xlfn.IFNA(INDEX(SAM!$B$8:$HC$215,MATCH($AL75,SAM!$A$8:$A$215,0),MATCH(AP$48,SAM!$B$7:$HC$7,0)),0)</f>
        <v>3.1670134245845132</v>
      </c>
      <c r="AQ75" s="45">
        <f>_xlfn.IFNA(INDEX(SAM!$B$8:$HC$215,MATCH($AL75,SAM!$A$8:$A$215,0),MATCH(AQ$48,SAM!$B$7:$HC$7,0)),0)</f>
        <v>2.0097710881814694</v>
      </c>
      <c r="AR75" s="45">
        <f>_xlfn.IFNA(INDEX(SAM!$B$8:$HC$215,MATCH($AL75,SAM!$A$8:$A$215,0),MATCH(AR$48,SAM!$B$7:$HC$7,0)),0)</f>
        <v>0.15452340551503085</v>
      </c>
      <c r="AS75" s="45">
        <f>_xlfn.IFNA(INDEX(SAM!$B$8:$HC$215,MATCH($AL75,SAM!$A$8:$A$215,0),MATCH(AS$48,SAM!$B$7:$HC$7,0)),0)</f>
        <v>0.34357123072661189</v>
      </c>
      <c r="AT75" s="45">
        <f>_xlfn.IFNA(INDEX(SAM!$B$8:$HC$215,MATCH($AL75,SAM!$A$8:$A$215,0),MATCH(AT$48,SAM!$B$7:$HC$7,0)),0)</f>
        <v>0.36590323653568352</v>
      </c>
      <c r="AU75" s="45">
        <f>_xlfn.IFNA(INDEX(SAM!$B$8:$HC$215,MATCH($AL75,SAM!$A$8:$A$215,0),MATCH(AU$48,SAM!$B$7:$HC$7,0)),0)</f>
        <v>0.38730183525126449</v>
      </c>
      <c r="AV75" s="45">
        <f>_xlfn.IFNA(INDEX(SAM!$B$8:$HC$215,MATCH($AL75,SAM!$A$8:$A$215,0),MATCH(AV$48,SAM!$B$7:$HC$7,0)),0)</f>
        <v>0.32319005761734004</v>
      </c>
      <c r="AW75" s="45">
        <f>_xlfn.IFNA(INDEX(SAM!$B$8:$HC$215,MATCH($AL75,SAM!$A$8:$A$215,0),MATCH(AW$48,SAM!$B$7:$HC$7,0)),0)</f>
        <v>0.33377582950642348</v>
      </c>
      <c r="AX75" s="45">
        <f>_xlfn.IFNA(INDEX(SAM!$B$8:$HC$215,MATCH($AL75,SAM!$A$8:$A$215,0),MATCH(AX$48,SAM!$B$7:$HC$7,0)),0)</f>
        <v>0.40020776847670247</v>
      </c>
      <c r="AY75" s="45">
        <f>_xlfn.IFNA(INDEX(SAM!$B$8:$HC$215,MATCH($AL75,SAM!$A$8:$A$215,0),MATCH(AY$48,SAM!$B$7:$HC$7,0)),0)</f>
        <v>1.0581355889864352</v>
      </c>
      <c r="AZ75" s="45">
        <f>_xlfn.IFNA(INDEX(SAM!$B$8:$HC$215,MATCH($AL75,SAM!$A$8:$A$215,0),MATCH(AZ$48,SAM!$B$7:$HC$7,0)),0)</f>
        <v>1.2907555153995696</v>
      </c>
      <c r="BA75" s="45">
        <f>_xlfn.IFNA(INDEX(SAM!$B$8:$HC$215,MATCH($AL75,SAM!$A$8:$A$215,0),MATCH(BA$48,SAM!$B$7:$HC$7,0)),0)</f>
        <v>7.2885293492827214</v>
      </c>
      <c r="BB75" s="45"/>
      <c r="BC75" s="26" t="str">
        <f t="shared" si="115"/>
        <v>aoapr</v>
      </c>
      <c r="BD75" s="45">
        <f>_xlfn.IFNA(INDEX(SAM!$B$8:$HC$215,MATCH($BC75,SAM!$A$8:$A$215,0),MATCH(BD$48,SAM!$B$7:$HC$7,0)),0)</f>
        <v>0</v>
      </c>
      <c r="BE75" s="45">
        <f>_xlfn.IFNA(INDEX(SAM!$B$8:$HC$215,MATCH($BC75,SAM!$A$8:$A$215,0),MATCH(BE$48,SAM!$B$7:$HC$7,0)),0)</f>
        <v>0</v>
      </c>
      <c r="BF75" s="45">
        <f>_xlfn.IFNA(INDEX(SAM!$B$8:$HC$215,MATCH($BC75,SAM!$A$8:$A$215,0),MATCH(BF$48,SAM!$B$7:$HC$7,0)),0)</f>
        <v>0</v>
      </c>
      <c r="BG75" s="45">
        <f>_xlfn.IFNA(INDEX(SAM!$B$8:$HC$215,MATCH($BC75,SAM!$A$8:$A$215,0),MATCH(BG$48,SAM!$B$7:$HC$7,0)),0)</f>
        <v>0</v>
      </c>
      <c r="BH75" s="45">
        <f>_xlfn.IFNA(INDEX(SAM!$B$8:$HC$215,MATCH($BC75,SAM!$A$8:$A$215,0),MATCH(BH$48,SAM!$B$7:$HC$7,0)),0)</f>
        <v>0</v>
      </c>
      <c r="BI75" s="45">
        <f>_xlfn.IFNA(INDEX(SAM!$B$8:$HC$215,MATCH($BC75,SAM!$A$8:$A$215,0),MATCH(BI$48,SAM!$B$7:$HC$7,0)),0)</f>
        <v>0</v>
      </c>
      <c r="BJ75" s="45">
        <f>_xlfn.IFNA(INDEX(SAM!$B$8:$HC$215,MATCH($BC75,SAM!$A$8:$A$215,0),MATCH(BJ$48,SAM!$B$7:$HC$7,0)),0)</f>
        <v>0</v>
      </c>
      <c r="BK75" s="45">
        <f>_xlfn.IFNA(INDEX(SAM!$B$8:$HC$215,MATCH($BC75,SAM!$A$8:$A$215,0),MATCH(BK$48,SAM!$B$7:$HC$7,0)),0)</f>
        <v>0</v>
      </c>
      <c r="BL75" s="45">
        <f>_xlfn.IFNA(INDEX(SAM!$B$8:$HC$215,MATCH($BC75,SAM!$A$8:$A$215,0),MATCH(BL$48,SAM!$B$7:$HC$7,0)),0)</f>
        <v>0</v>
      </c>
      <c r="BM75" s="45">
        <f>_xlfn.IFNA(INDEX(SAM!$B$8:$HC$215,MATCH($BC75,SAM!$A$8:$A$215,0),MATCH(BM$48,SAM!$B$7:$HC$7,0)),0)</f>
        <v>0</v>
      </c>
      <c r="BN75" s="45">
        <f>_xlfn.IFNA(INDEX(SAM!$B$8:$HC$215,MATCH($BC75,SAM!$A$8:$A$215,0),MATCH(BN$48,SAM!$B$7:$HC$7,0)),0)</f>
        <v>0</v>
      </c>
      <c r="BO75" s="45">
        <f>_xlfn.IFNA(INDEX(SAM!$B$8:$HC$215,MATCH($BC75,SAM!$A$8:$A$215,0),MATCH(BO$48,SAM!$B$7:$HC$7,0)),0)</f>
        <v>0</v>
      </c>
      <c r="BP75" s="45">
        <f>_xlfn.IFNA(INDEX(SAM!$B$8:$HC$215,MATCH($BC75,SAM!$A$8:$A$215,0),MATCH(BP$48,SAM!$B$7:$HC$7,0)),0)</f>
        <v>0</v>
      </c>
      <c r="BQ75" s="45">
        <f>_xlfn.IFNA(INDEX(SAM!$B$8:$HC$215,MATCH($BC75,SAM!$A$8:$A$215,0),MATCH(BQ$48,SAM!$B$7:$HC$7,0)),0)</f>
        <v>0</v>
      </c>
      <c r="BR75" s="45">
        <f>_xlfn.IFNA(INDEX(SAM!$B$8:$HC$215,MATCH($BC75,SAM!$A$8:$A$215,0),MATCH(BR$48,SAM!$B$7:$HC$7,0)),0)</f>
        <v>0</v>
      </c>
      <c r="BT75" t="str">
        <f t="shared" si="109"/>
        <v>coapr</v>
      </c>
      <c r="BU75" s="7">
        <f t="shared" si="110"/>
        <v>22.024746180406598</v>
      </c>
      <c r="BW75" s="51" t="s">
        <v>191</v>
      </c>
      <c r="BX75" s="43">
        <f t="shared" si="116"/>
        <v>1.8940419338703309</v>
      </c>
    </row>
    <row r="76" spans="1:76" x14ac:dyDescent="0.25">
      <c r="A76" t="s">
        <v>627</v>
      </c>
      <c r="B76" t="s">
        <v>702</v>
      </c>
      <c r="C76" s="18">
        <f t="shared" si="79"/>
        <v>0</v>
      </c>
      <c r="D76" s="18">
        <f t="shared" si="80"/>
        <v>0</v>
      </c>
      <c r="E76" s="18">
        <f t="shared" si="81"/>
        <v>0</v>
      </c>
      <c r="F76" s="18">
        <f t="shared" si="82"/>
        <v>0</v>
      </c>
      <c r="G76" s="18">
        <f t="shared" si="83"/>
        <v>0</v>
      </c>
      <c r="H76" s="18">
        <f t="shared" si="84"/>
        <v>0</v>
      </c>
      <c r="I76" s="18">
        <f t="shared" si="85"/>
        <v>0</v>
      </c>
      <c r="J76" s="18">
        <f t="shared" si="86"/>
        <v>0</v>
      </c>
      <c r="K76" s="18">
        <f t="shared" si="87"/>
        <v>0</v>
      </c>
      <c r="L76" s="18">
        <f t="shared" si="88"/>
        <v>0</v>
      </c>
      <c r="M76" s="18">
        <f t="shared" si="89"/>
        <v>0</v>
      </c>
      <c r="N76" s="18">
        <f t="shared" si="90"/>
        <v>0</v>
      </c>
      <c r="O76" s="18">
        <f t="shared" si="91"/>
        <v>0</v>
      </c>
      <c r="P76" s="18">
        <f t="shared" si="92"/>
        <v>0</v>
      </c>
      <c r="Q76" s="18">
        <f t="shared" si="93"/>
        <v>0</v>
      </c>
      <c r="R76" s="18">
        <f t="shared" si="94"/>
        <v>0</v>
      </c>
      <c r="T76" t="str">
        <f t="shared" si="111"/>
        <v>mine</v>
      </c>
      <c r="U76" s="18">
        <f t="shared" si="112"/>
        <v>0</v>
      </c>
      <c r="V76" s="18">
        <f t="shared" si="95"/>
        <v>0</v>
      </c>
      <c r="W76" s="18">
        <f t="shared" si="96"/>
        <v>0</v>
      </c>
      <c r="X76" s="18">
        <f t="shared" si="97"/>
        <v>0</v>
      </c>
      <c r="Y76" s="18">
        <f t="shared" si="98"/>
        <v>0</v>
      </c>
      <c r="Z76" s="18">
        <f t="shared" si="99"/>
        <v>0</v>
      </c>
      <c r="AA76" s="18">
        <f t="shared" si="100"/>
        <v>0</v>
      </c>
      <c r="AB76" s="18">
        <f t="shared" si="101"/>
        <v>0</v>
      </c>
      <c r="AC76" s="18">
        <f t="shared" si="102"/>
        <v>0</v>
      </c>
      <c r="AD76" s="18">
        <f t="shared" si="103"/>
        <v>0</v>
      </c>
      <c r="AE76" s="18">
        <f t="shared" si="104"/>
        <v>0</v>
      </c>
      <c r="AF76" s="18">
        <f t="shared" si="105"/>
        <v>0</v>
      </c>
      <c r="AG76" s="18">
        <f t="shared" si="106"/>
        <v>0</v>
      </c>
      <c r="AH76" s="18">
        <f t="shared" si="107"/>
        <v>0</v>
      </c>
      <c r="AI76" s="18">
        <f t="shared" si="108"/>
        <v>0</v>
      </c>
      <c r="AJ76" s="18">
        <f t="shared" si="113"/>
        <v>0</v>
      </c>
      <c r="AL76" t="str">
        <f t="shared" si="114"/>
        <v>cmine</v>
      </c>
      <c r="AM76" s="18">
        <f>_xlfn.IFNA(INDEX(SAM!$B$8:$HC$215,MATCH($AL76,SAM!$A$8:$A$215,0),MATCH(AM$48,SAM!$B$7:$HC$7,0)),0)</f>
        <v>0</v>
      </c>
      <c r="AN76" s="18">
        <f>_xlfn.IFNA(INDEX(SAM!$B$8:$HC$215,MATCH($AL76,SAM!$A$8:$A$215,0),MATCH(AN$48,SAM!$B$7:$HC$7,0)),0)</f>
        <v>0</v>
      </c>
      <c r="AO76" s="18">
        <f>_xlfn.IFNA(INDEX(SAM!$B$8:$HC$215,MATCH($AL76,SAM!$A$8:$A$215,0),MATCH(AO$48,SAM!$B$7:$HC$7,0)),0)</f>
        <v>0</v>
      </c>
      <c r="AP76" s="18">
        <f>_xlfn.IFNA(INDEX(SAM!$B$8:$HC$215,MATCH($AL76,SAM!$A$8:$A$215,0),MATCH(AP$48,SAM!$B$7:$HC$7,0)),0)</f>
        <v>0</v>
      </c>
      <c r="AQ76" s="18">
        <f>_xlfn.IFNA(INDEX(SAM!$B$8:$HC$215,MATCH($AL76,SAM!$A$8:$A$215,0),MATCH(AQ$48,SAM!$B$7:$HC$7,0)),0)</f>
        <v>0</v>
      </c>
      <c r="AR76" s="18">
        <f>_xlfn.IFNA(INDEX(SAM!$B$8:$HC$215,MATCH($AL76,SAM!$A$8:$A$215,0),MATCH(AR$48,SAM!$B$7:$HC$7,0)),0)</f>
        <v>0</v>
      </c>
      <c r="AS76" s="18">
        <f>_xlfn.IFNA(INDEX(SAM!$B$8:$HC$215,MATCH($AL76,SAM!$A$8:$A$215,0),MATCH(AS$48,SAM!$B$7:$HC$7,0)),0)</f>
        <v>0</v>
      </c>
      <c r="AT76" s="18">
        <f>_xlfn.IFNA(INDEX(SAM!$B$8:$HC$215,MATCH($AL76,SAM!$A$8:$A$215,0),MATCH(AT$48,SAM!$B$7:$HC$7,0)),0)</f>
        <v>0</v>
      </c>
      <c r="AU76" s="18">
        <f>_xlfn.IFNA(INDEX(SAM!$B$8:$HC$215,MATCH($AL76,SAM!$A$8:$A$215,0),MATCH(AU$48,SAM!$B$7:$HC$7,0)),0)</f>
        <v>0</v>
      </c>
      <c r="AV76" s="18">
        <f>_xlfn.IFNA(INDEX(SAM!$B$8:$HC$215,MATCH($AL76,SAM!$A$8:$A$215,0),MATCH(AV$48,SAM!$B$7:$HC$7,0)),0)</f>
        <v>0</v>
      </c>
      <c r="AW76" s="18">
        <f>_xlfn.IFNA(INDEX(SAM!$B$8:$HC$215,MATCH($AL76,SAM!$A$8:$A$215,0),MATCH(AW$48,SAM!$B$7:$HC$7,0)),0)</f>
        <v>0</v>
      </c>
      <c r="AX76" s="18">
        <f>_xlfn.IFNA(INDEX(SAM!$B$8:$HC$215,MATCH($AL76,SAM!$A$8:$A$215,0),MATCH(AX$48,SAM!$B$7:$HC$7,0)),0)</f>
        <v>0</v>
      </c>
      <c r="AY76" s="18">
        <f>_xlfn.IFNA(INDEX(SAM!$B$8:$HC$215,MATCH($AL76,SAM!$A$8:$A$215,0),MATCH(AY$48,SAM!$B$7:$HC$7,0)),0)</f>
        <v>0</v>
      </c>
      <c r="AZ76" s="18">
        <f>_xlfn.IFNA(INDEX(SAM!$B$8:$HC$215,MATCH($AL76,SAM!$A$8:$A$215,0),MATCH(AZ$48,SAM!$B$7:$HC$7,0)),0)</f>
        <v>0</v>
      </c>
      <c r="BA76" s="18">
        <f>_xlfn.IFNA(INDEX(SAM!$B$8:$HC$215,MATCH($AL76,SAM!$A$8:$A$215,0),MATCH(BA$48,SAM!$B$7:$HC$7,0)),0)</f>
        <v>0</v>
      </c>
      <c r="BB76" s="18"/>
      <c r="BC76" t="str">
        <f t="shared" si="115"/>
        <v>amine</v>
      </c>
      <c r="BD76" s="18">
        <f>_xlfn.IFNA(INDEX(SAM!$B$8:$HC$215,MATCH($BC76,SAM!$A$8:$A$215,0),MATCH(BD$48,SAM!$B$7:$HC$7,0)),0)</f>
        <v>0</v>
      </c>
      <c r="BE76" s="18">
        <f>_xlfn.IFNA(INDEX(SAM!$B$8:$HC$215,MATCH($BC76,SAM!$A$8:$A$215,0),MATCH(BE$48,SAM!$B$7:$HC$7,0)),0)</f>
        <v>0</v>
      </c>
      <c r="BF76" s="18">
        <f>_xlfn.IFNA(INDEX(SAM!$B$8:$HC$215,MATCH($BC76,SAM!$A$8:$A$215,0),MATCH(BF$48,SAM!$B$7:$HC$7,0)),0)</f>
        <v>0</v>
      </c>
      <c r="BG76" s="18">
        <f>_xlfn.IFNA(INDEX(SAM!$B$8:$HC$215,MATCH($BC76,SAM!$A$8:$A$215,0),MATCH(BG$48,SAM!$B$7:$HC$7,0)),0)</f>
        <v>0</v>
      </c>
      <c r="BH76" s="18">
        <f>_xlfn.IFNA(INDEX(SAM!$B$8:$HC$215,MATCH($BC76,SAM!$A$8:$A$215,0),MATCH(BH$48,SAM!$B$7:$HC$7,0)),0)</f>
        <v>0</v>
      </c>
      <c r="BI76" s="18">
        <f>_xlfn.IFNA(INDEX(SAM!$B$8:$HC$215,MATCH($BC76,SAM!$A$8:$A$215,0),MATCH(BI$48,SAM!$B$7:$HC$7,0)),0)</f>
        <v>0</v>
      </c>
      <c r="BJ76" s="18">
        <f>_xlfn.IFNA(INDEX(SAM!$B$8:$HC$215,MATCH($BC76,SAM!$A$8:$A$215,0),MATCH(BJ$48,SAM!$B$7:$HC$7,0)),0)</f>
        <v>0</v>
      </c>
      <c r="BK76" s="18">
        <f>_xlfn.IFNA(INDEX(SAM!$B$8:$HC$215,MATCH($BC76,SAM!$A$8:$A$215,0),MATCH(BK$48,SAM!$B$7:$HC$7,0)),0)</f>
        <v>0</v>
      </c>
      <c r="BL76" s="18">
        <f>_xlfn.IFNA(INDEX(SAM!$B$8:$HC$215,MATCH($BC76,SAM!$A$8:$A$215,0),MATCH(BL$48,SAM!$B$7:$HC$7,0)),0)</f>
        <v>0</v>
      </c>
      <c r="BM76" s="18">
        <f>_xlfn.IFNA(INDEX(SAM!$B$8:$HC$215,MATCH($BC76,SAM!$A$8:$A$215,0),MATCH(BM$48,SAM!$B$7:$HC$7,0)),0)</f>
        <v>0</v>
      </c>
      <c r="BN76" s="18">
        <f>_xlfn.IFNA(INDEX(SAM!$B$8:$HC$215,MATCH($BC76,SAM!$A$8:$A$215,0),MATCH(BN$48,SAM!$B$7:$HC$7,0)),0)</f>
        <v>0</v>
      </c>
      <c r="BO76" s="18">
        <f>_xlfn.IFNA(INDEX(SAM!$B$8:$HC$215,MATCH($BC76,SAM!$A$8:$A$215,0),MATCH(BO$48,SAM!$B$7:$HC$7,0)),0)</f>
        <v>0</v>
      </c>
      <c r="BP76" s="18">
        <f>_xlfn.IFNA(INDEX(SAM!$B$8:$HC$215,MATCH($BC76,SAM!$A$8:$A$215,0),MATCH(BP$48,SAM!$B$7:$HC$7,0)),0)</f>
        <v>0</v>
      </c>
      <c r="BQ76" s="18">
        <f>_xlfn.IFNA(INDEX(SAM!$B$8:$HC$215,MATCH($BC76,SAM!$A$8:$A$215,0),MATCH(BQ$48,SAM!$B$7:$HC$7,0)),0)</f>
        <v>0</v>
      </c>
      <c r="BR76" s="18">
        <f>_xlfn.IFNA(INDEX(SAM!$B$8:$HC$215,MATCH($BC76,SAM!$A$8:$A$215,0),MATCH(BR$48,SAM!$B$7:$HC$7,0)),0)</f>
        <v>0</v>
      </c>
      <c r="BT76" t="str">
        <f t="shared" si="109"/>
        <v>cmine</v>
      </c>
      <c r="BU76" s="7">
        <f t="shared" si="110"/>
        <v>0</v>
      </c>
      <c r="BW76" s="51" t="s">
        <v>192</v>
      </c>
      <c r="BX76" s="43">
        <f t="shared" si="116"/>
        <v>0.28099042913641858</v>
      </c>
    </row>
    <row r="77" spans="1:76" x14ac:dyDescent="0.25">
      <c r="A77" s="26" t="s">
        <v>627</v>
      </c>
      <c r="B77" s="26" t="s">
        <v>704</v>
      </c>
      <c r="C77" s="45">
        <f t="shared" si="79"/>
        <v>0</v>
      </c>
      <c r="D77" s="45">
        <f t="shared" si="80"/>
        <v>0</v>
      </c>
      <c r="E77" s="45">
        <f t="shared" si="81"/>
        <v>0</v>
      </c>
      <c r="F77" s="45">
        <f t="shared" si="82"/>
        <v>0</v>
      </c>
      <c r="G77" s="45">
        <f t="shared" si="83"/>
        <v>0</v>
      </c>
      <c r="H77" s="45">
        <f t="shared" si="84"/>
        <v>0</v>
      </c>
      <c r="I77" s="45">
        <f t="shared" si="85"/>
        <v>0</v>
      </c>
      <c r="J77" s="45">
        <f t="shared" si="86"/>
        <v>0</v>
      </c>
      <c r="K77" s="45">
        <f t="shared" si="87"/>
        <v>0</v>
      </c>
      <c r="L77" s="45">
        <f t="shared" si="88"/>
        <v>0</v>
      </c>
      <c r="M77" s="45">
        <f t="shared" si="89"/>
        <v>0</v>
      </c>
      <c r="N77" s="45">
        <f t="shared" si="90"/>
        <v>0</v>
      </c>
      <c r="O77" s="45">
        <f t="shared" si="91"/>
        <v>0</v>
      </c>
      <c r="P77" s="45">
        <f t="shared" si="92"/>
        <v>0</v>
      </c>
      <c r="Q77" s="45">
        <f t="shared" si="93"/>
        <v>0</v>
      </c>
      <c r="R77" s="45">
        <f t="shared" si="94"/>
        <v>0</v>
      </c>
      <c r="S77" s="26"/>
      <c r="T77" s="26" t="str">
        <f t="shared" si="111"/>
        <v>mino</v>
      </c>
      <c r="U77" s="45">
        <f t="shared" si="112"/>
        <v>0</v>
      </c>
      <c r="V77" s="45">
        <f t="shared" si="95"/>
        <v>0</v>
      </c>
      <c r="W77" s="45">
        <f t="shared" si="96"/>
        <v>0</v>
      </c>
      <c r="X77" s="45">
        <f t="shared" si="97"/>
        <v>0</v>
      </c>
      <c r="Y77" s="45">
        <f t="shared" si="98"/>
        <v>0</v>
      </c>
      <c r="Z77" s="45">
        <f t="shared" si="99"/>
        <v>0</v>
      </c>
      <c r="AA77" s="45">
        <f t="shared" si="100"/>
        <v>0</v>
      </c>
      <c r="AB77" s="45">
        <f t="shared" si="101"/>
        <v>0</v>
      </c>
      <c r="AC77" s="45">
        <f t="shared" si="102"/>
        <v>0</v>
      </c>
      <c r="AD77" s="45">
        <f t="shared" si="103"/>
        <v>0</v>
      </c>
      <c r="AE77" s="45">
        <f t="shared" si="104"/>
        <v>0</v>
      </c>
      <c r="AF77" s="45">
        <f t="shared" si="105"/>
        <v>0</v>
      </c>
      <c r="AG77" s="45">
        <f t="shared" si="106"/>
        <v>0</v>
      </c>
      <c r="AH77" s="45">
        <f t="shared" si="107"/>
        <v>0</v>
      </c>
      <c r="AI77" s="45">
        <f t="shared" si="108"/>
        <v>0</v>
      </c>
      <c r="AJ77" s="45">
        <f t="shared" si="113"/>
        <v>0</v>
      </c>
      <c r="AK77" s="26"/>
      <c r="AL77" s="26" t="str">
        <f t="shared" si="114"/>
        <v>cmino</v>
      </c>
      <c r="AM77" s="45">
        <f>_xlfn.IFNA(INDEX(SAM!$B$8:$HC$215,MATCH($AL77,SAM!$A$8:$A$215,0),MATCH(AM$48,SAM!$B$7:$HC$7,0)),0)</f>
        <v>0</v>
      </c>
      <c r="AN77" s="45">
        <f>_xlfn.IFNA(INDEX(SAM!$B$8:$HC$215,MATCH($AL77,SAM!$A$8:$A$215,0),MATCH(AN$48,SAM!$B$7:$HC$7,0)),0)</f>
        <v>0</v>
      </c>
      <c r="AO77" s="45">
        <f>_xlfn.IFNA(INDEX(SAM!$B$8:$HC$215,MATCH($AL77,SAM!$A$8:$A$215,0),MATCH(AO$48,SAM!$B$7:$HC$7,0)),0)</f>
        <v>0</v>
      </c>
      <c r="AP77" s="45">
        <f>_xlfn.IFNA(INDEX(SAM!$B$8:$HC$215,MATCH($AL77,SAM!$A$8:$A$215,0),MATCH(AP$48,SAM!$B$7:$HC$7,0)),0)</f>
        <v>0</v>
      </c>
      <c r="AQ77" s="45">
        <f>_xlfn.IFNA(INDEX(SAM!$B$8:$HC$215,MATCH($AL77,SAM!$A$8:$A$215,0),MATCH(AQ$48,SAM!$B$7:$HC$7,0)),0)</f>
        <v>0</v>
      </c>
      <c r="AR77" s="45">
        <f>_xlfn.IFNA(INDEX(SAM!$B$8:$HC$215,MATCH($AL77,SAM!$A$8:$A$215,0),MATCH(AR$48,SAM!$B$7:$HC$7,0)),0)</f>
        <v>0</v>
      </c>
      <c r="AS77" s="45">
        <f>_xlfn.IFNA(INDEX(SAM!$B$8:$HC$215,MATCH($AL77,SAM!$A$8:$A$215,0),MATCH(AS$48,SAM!$B$7:$HC$7,0)),0)</f>
        <v>0</v>
      </c>
      <c r="AT77" s="45">
        <f>_xlfn.IFNA(INDEX(SAM!$B$8:$HC$215,MATCH($AL77,SAM!$A$8:$A$215,0),MATCH(AT$48,SAM!$B$7:$HC$7,0)),0)</f>
        <v>0</v>
      </c>
      <c r="AU77" s="45">
        <f>_xlfn.IFNA(INDEX(SAM!$B$8:$HC$215,MATCH($AL77,SAM!$A$8:$A$215,0),MATCH(AU$48,SAM!$B$7:$HC$7,0)),0)</f>
        <v>0</v>
      </c>
      <c r="AV77" s="45">
        <f>_xlfn.IFNA(INDEX(SAM!$B$8:$HC$215,MATCH($AL77,SAM!$A$8:$A$215,0),MATCH(AV$48,SAM!$B$7:$HC$7,0)),0)</f>
        <v>0</v>
      </c>
      <c r="AW77" s="45">
        <f>_xlfn.IFNA(INDEX(SAM!$B$8:$HC$215,MATCH($AL77,SAM!$A$8:$A$215,0),MATCH(AW$48,SAM!$B$7:$HC$7,0)),0)</f>
        <v>0</v>
      </c>
      <c r="AX77" s="45">
        <f>_xlfn.IFNA(INDEX(SAM!$B$8:$HC$215,MATCH($AL77,SAM!$A$8:$A$215,0),MATCH(AX$48,SAM!$B$7:$HC$7,0)),0)</f>
        <v>0</v>
      </c>
      <c r="AY77" s="45">
        <f>_xlfn.IFNA(INDEX(SAM!$B$8:$HC$215,MATCH($AL77,SAM!$A$8:$A$215,0),MATCH(AY$48,SAM!$B$7:$HC$7,0)),0)</f>
        <v>0</v>
      </c>
      <c r="AZ77" s="45">
        <f>_xlfn.IFNA(INDEX(SAM!$B$8:$HC$215,MATCH($AL77,SAM!$A$8:$A$215,0),MATCH(AZ$48,SAM!$B$7:$HC$7,0)),0)</f>
        <v>0</v>
      </c>
      <c r="BA77" s="45">
        <f>_xlfn.IFNA(INDEX(SAM!$B$8:$HC$215,MATCH($AL77,SAM!$A$8:$A$215,0),MATCH(BA$48,SAM!$B$7:$HC$7,0)),0)</f>
        <v>0</v>
      </c>
      <c r="BB77" s="45"/>
      <c r="BC77" s="26" t="str">
        <f t="shared" si="115"/>
        <v>amino</v>
      </c>
      <c r="BD77" s="45">
        <f>_xlfn.IFNA(INDEX(SAM!$B$8:$HC$215,MATCH($BC77,SAM!$A$8:$A$215,0),MATCH(BD$48,SAM!$B$7:$HC$7,0)),0)</f>
        <v>0</v>
      </c>
      <c r="BE77" s="45">
        <f>_xlfn.IFNA(INDEX(SAM!$B$8:$HC$215,MATCH($BC77,SAM!$A$8:$A$215,0),MATCH(BE$48,SAM!$B$7:$HC$7,0)),0)</f>
        <v>0</v>
      </c>
      <c r="BF77" s="45">
        <f>_xlfn.IFNA(INDEX(SAM!$B$8:$HC$215,MATCH($BC77,SAM!$A$8:$A$215,0),MATCH(BF$48,SAM!$B$7:$HC$7,0)),0)</f>
        <v>0</v>
      </c>
      <c r="BG77" s="45">
        <f>_xlfn.IFNA(INDEX(SAM!$B$8:$HC$215,MATCH($BC77,SAM!$A$8:$A$215,0),MATCH(BG$48,SAM!$B$7:$HC$7,0)),0)</f>
        <v>0</v>
      </c>
      <c r="BH77" s="45">
        <f>_xlfn.IFNA(INDEX(SAM!$B$8:$HC$215,MATCH($BC77,SAM!$A$8:$A$215,0),MATCH(BH$48,SAM!$B$7:$HC$7,0)),0)</f>
        <v>0</v>
      </c>
      <c r="BI77" s="45">
        <f>_xlfn.IFNA(INDEX(SAM!$B$8:$HC$215,MATCH($BC77,SAM!$A$8:$A$215,0),MATCH(BI$48,SAM!$B$7:$HC$7,0)),0)</f>
        <v>0</v>
      </c>
      <c r="BJ77" s="45">
        <f>_xlfn.IFNA(INDEX(SAM!$B$8:$HC$215,MATCH($BC77,SAM!$A$8:$A$215,0),MATCH(BJ$48,SAM!$B$7:$HC$7,0)),0)</f>
        <v>0</v>
      </c>
      <c r="BK77" s="45">
        <f>_xlfn.IFNA(INDEX(SAM!$B$8:$HC$215,MATCH($BC77,SAM!$A$8:$A$215,0),MATCH(BK$48,SAM!$B$7:$HC$7,0)),0)</f>
        <v>0</v>
      </c>
      <c r="BL77" s="45">
        <f>_xlfn.IFNA(INDEX(SAM!$B$8:$HC$215,MATCH($BC77,SAM!$A$8:$A$215,0),MATCH(BL$48,SAM!$B$7:$HC$7,0)),0)</f>
        <v>0</v>
      </c>
      <c r="BM77" s="45">
        <f>_xlfn.IFNA(INDEX(SAM!$B$8:$HC$215,MATCH($BC77,SAM!$A$8:$A$215,0),MATCH(BM$48,SAM!$B$7:$HC$7,0)),0)</f>
        <v>0</v>
      </c>
      <c r="BN77" s="45">
        <f>_xlfn.IFNA(INDEX(SAM!$B$8:$HC$215,MATCH($BC77,SAM!$A$8:$A$215,0),MATCH(BN$48,SAM!$B$7:$HC$7,0)),0)</f>
        <v>0</v>
      </c>
      <c r="BO77" s="45">
        <f>_xlfn.IFNA(INDEX(SAM!$B$8:$HC$215,MATCH($BC77,SAM!$A$8:$A$215,0),MATCH(BO$48,SAM!$B$7:$HC$7,0)),0)</f>
        <v>0</v>
      </c>
      <c r="BP77" s="45">
        <f>_xlfn.IFNA(INDEX(SAM!$B$8:$HC$215,MATCH($BC77,SAM!$A$8:$A$215,0),MATCH(BP$48,SAM!$B$7:$HC$7,0)),0)</f>
        <v>0</v>
      </c>
      <c r="BQ77" s="45">
        <f>_xlfn.IFNA(INDEX(SAM!$B$8:$HC$215,MATCH($BC77,SAM!$A$8:$A$215,0),MATCH(BQ$48,SAM!$B$7:$HC$7,0)),0)</f>
        <v>0</v>
      </c>
      <c r="BR77" s="45">
        <f>_xlfn.IFNA(INDEX(SAM!$B$8:$HC$215,MATCH($BC77,SAM!$A$8:$A$215,0),MATCH(BR$48,SAM!$B$7:$HC$7,0)),0)</f>
        <v>0</v>
      </c>
      <c r="BT77" t="str">
        <f t="shared" si="109"/>
        <v>cmino</v>
      </c>
      <c r="BU77" s="7">
        <f t="shared" si="110"/>
        <v>0</v>
      </c>
      <c r="BW77" s="51" t="s">
        <v>193</v>
      </c>
      <c r="BX77" s="43">
        <f t="shared" si="116"/>
        <v>7.7833288438503234E-2</v>
      </c>
    </row>
    <row r="78" spans="1:76" x14ac:dyDescent="0.25">
      <c r="A78" t="str">
        <f t="shared" ref="A78:A94" si="136">HLOOKUP(B78,$B$6:$BR$9,4,FALSE)</f>
        <v>manufacturing</v>
      </c>
      <c r="B78" t="s">
        <v>37</v>
      </c>
      <c r="C78" s="18">
        <f t="shared" si="79"/>
        <v>0.15637940317749946</v>
      </c>
      <c r="D78" s="18">
        <f t="shared" si="80"/>
        <v>0.17766724775156909</v>
      </c>
      <c r="E78" s="18">
        <f t="shared" si="81"/>
        <v>0.46579742078978109</v>
      </c>
      <c r="F78" s="18">
        <f t="shared" si="82"/>
        <v>0.39806618557295953</v>
      </c>
      <c r="G78" s="18">
        <f t="shared" si="83"/>
        <v>0.55268217021162536</v>
      </c>
      <c r="H78" s="18">
        <f t="shared" si="84"/>
        <v>8.8404811956582521E-2</v>
      </c>
      <c r="I78" s="18">
        <f t="shared" si="85"/>
        <v>0.26438671658765428</v>
      </c>
      <c r="J78" s="18">
        <f t="shared" si="86"/>
        <v>0.28601002084128668</v>
      </c>
      <c r="K78" s="18">
        <f t="shared" si="87"/>
        <v>0.33521485074755647</v>
      </c>
      <c r="L78" s="18">
        <f t="shared" si="88"/>
        <v>0.63425583834357946</v>
      </c>
      <c r="M78" s="18">
        <f t="shared" si="89"/>
        <v>0.28217267682190894</v>
      </c>
      <c r="N78" s="18">
        <f t="shared" si="90"/>
        <v>0.25028943135460785</v>
      </c>
      <c r="O78" s="18">
        <f t="shared" si="91"/>
        <v>0.35642248389290399</v>
      </c>
      <c r="P78" s="18">
        <f t="shared" si="92"/>
        <v>0.60390190388393261</v>
      </c>
      <c r="Q78" s="18">
        <f t="shared" si="93"/>
        <v>0.76601054027858895</v>
      </c>
      <c r="R78" s="18">
        <f t="shared" si="94"/>
        <v>0.5582565055494918</v>
      </c>
      <c r="T78" t="str">
        <f t="shared" ref="T78:T95" si="137">B78</f>
        <v>wood</v>
      </c>
      <c r="U78" s="18">
        <f t="shared" ref="U78:U94" si="138">IFERROR(AM78+BD78,"")</f>
        <v>0.45978841425953215</v>
      </c>
      <c r="V78" s="18">
        <f t="shared" ref="V78:V94" si="139">IFERROR(AN78+BE78,"")</f>
        <v>0.77380942467927227</v>
      </c>
      <c r="W78" s="18">
        <f t="shared" ref="W78:W94" si="140">IFERROR(AO78+BF78,"")</f>
        <v>2.7834335486443726</v>
      </c>
      <c r="X78" s="18">
        <f t="shared" ref="X78:X94" si="141">IFERROR(AP78+BG78,"")</f>
        <v>3.4207354299850996</v>
      </c>
      <c r="Y78" s="18">
        <f t="shared" ref="Y78:Y94" si="142">IFERROR(AQ78+BH78,"")</f>
        <v>5.2584010508267989</v>
      </c>
      <c r="Z78" s="18">
        <f t="shared" ref="Z78:Z94" si="143">IFERROR(AR78+BI78,"")</f>
        <v>5.0050955029932634E-2</v>
      </c>
      <c r="AA78" s="18">
        <f t="shared" ref="AA78:AA94" si="144">IFERROR(AS78+BJ78,"")</f>
        <v>0.22319252993795835</v>
      </c>
      <c r="AB78" s="18">
        <f t="shared" ref="AB78:AB94" si="145">IFERROR(AT78+BK78,"")</f>
        <v>0.29253178120731327</v>
      </c>
      <c r="AC78" s="18">
        <f t="shared" ref="AC78:AC94" si="146">IFERROR(AU78+BL78,"")</f>
        <v>0.43835986115962933</v>
      </c>
      <c r="AD78" s="18">
        <f t="shared" ref="AD78:AD94" si="147">IFERROR(AV78+BM78,"")</f>
        <v>1.0601161249664199</v>
      </c>
      <c r="AE78" s="18">
        <f t="shared" ref="AE78:AE94" si="148">IFERROR(AW78+BN78,"")</f>
        <v>8.2427248674790593E-2</v>
      </c>
      <c r="AF78" s="18">
        <f t="shared" ref="AF78:AF94" si="149">IFERROR(AX78+BO78,"")</f>
        <v>0.15247151729749864</v>
      </c>
      <c r="AG78" s="18">
        <f t="shared" ref="AG78:AG94" si="150">IFERROR(AY78+BP78,"")</f>
        <v>0.37101678456765419</v>
      </c>
      <c r="AH78" s="18">
        <f t="shared" ref="AH78:AH94" si="151">IFERROR(AZ78+BQ78,"")</f>
        <v>1.336290309266277</v>
      </c>
      <c r="AI78" s="18">
        <f t="shared" ref="AI78:AI94" si="152">IFERROR(BA78+BR78,"")</f>
        <v>22.697335817496537</v>
      </c>
      <c r="AJ78" s="18">
        <f t="shared" ref="AJ78:AJ94" si="153">SUM(U78:AI78)</f>
        <v>39.399960797999086</v>
      </c>
      <c r="AL78" t="str">
        <f t="shared" ref="AL78:AL94" si="154">"c"&amp;T78</f>
        <v>cwood</v>
      </c>
      <c r="AM78" s="18">
        <f>_xlfn.IFNA(INDEX(SAM!$B$8:$HC$215,MATCH($AL78,SAM!$A$8:$A$215,0),MATCH(AM$48,SAM!$B$7:$HC$7,0)),0)</f>
        <v>0.45978841425953215</v>
      </c>
      <c r="AN78" s="18">
        <f>_xlfn.IFNA(INDEX(SAM!$B$8:$HC$215,MATCH($AL78,SAM!$A$8:$A$215,0),MATCH(AN$48,SAM!$B$7:$HC$7,0)),0)</f>
        <v>0.77380942467927227</v>
      </c>
      <c r="AO78" s="18">
        <f>_xlfn.IFNA(INDEX(SAM!$B$8:$HC$215,MATCH($AL78,SAM!$A$8:$A$215,0),MATCH(AO$48,SAM!$B$7:$HC$7,0)),0)</f>
        <v>2.7834335486443726</v>
      </c>
      <c r="AP78" s="18">
        <f>_xlfn.IFNA(INDEX(SAM!$B$8:$HC$215,MATCH($AL78,SAM!$A$8:$A$215,0),MATCH(AP$48,SAM!$B$7:$HC$7,0)),0)</f>
        <v>3.4207354299850996</v>
      </c>
      <c r="AQ78" s="18">
        <f>_xlfn.IFNA(INDEX(SAM!$B$8:$HC$215,MATCH($AL78,SAM!$A$8:$A$215,0),MATCH(AQ$48,SAM!$B$7:$HC$7,0)),0)</f>
        <v>5.2584010508267989</v>
      </c>
      <c r="AR78" s="18">
        <f>_xlfn.IFNA(INDEX(SAM!$B$8:$HC$215,MATCH($AL78,SAM!$A$8:$A$215,0),MATCH(AR$48,SAM!$B$7:$HC$7,0)),0)</f>
        <v>5.0050955029932634E-2</v>
      </c>
      <c r="AS78" s="18">
        <f>_xlfn.IFNA(INDEX(SAM!$B$8:$HC$215,MATCH($AL78,SAM!$A$8:$A$215,0),MATCH(AS$48,SAM!$B$7:$HC$7,0)),0)</f>
        <v>0.22319252993795835</v>
      </c>
      <c r="AT78" s="18">
        <f>_xlfn.IFNA(INDEX(SAM!$B$8:$HC$215,MATCH($AL78,SAM!$A$8:$A$215,0),MATCH(AT$48,SAM!$B$7:$HC$7,0)),0)</f>
        <v>0.29253178120731327</v>
      </c>
      <c r="AU78" s="18">
        <f>_xlfn.IFNA(INDEX(SAM!$B$8:$HC$215,MATCH($AL78,SAM!$A$8:$A$215,0),MATCH(AU$48,SAM!$B$7:$HC$7,0)),0)</f>
        <v>0.43835986115962933</v>
      </c>
      <c r="AV78" s="18">
        <f>_xlfn.IFNA(INDEX(SAM!$B$8:$HC$215,MATCH($AL78,SAM!$A$8:$A$215,0),MATCH(AV$48,SAM!$B$7:$HC$7,0)),0)</f>
        <v>1.0601161249664199</v>
      </c>
      <c r="AW78" s="18">
        <f>_xlfn.IFNA(INDEX(SAM!$B$8:$HC$215,MATCH($AL78,SAM!$A$8:$A$215,0),MATCH(AW$48,SAM!$B$7:$HC$7,0)),0)</f>
        <v>8.2427248674790593E-2</v>
      </c>
      <c r="AX78" s="18">
        <f>_xlfn.IFNA(INDEX(SAM!$B$8:$HC$215,MATCH($AL78,SAM!$A$8:$A$215,0),MATCH(AX$48,SAM!$B$7:$HC$7,0)),0)</f>
        <v>0.15247151729749864</v>
      </c>
      <c r="AY78" s="18">
        <f>_xlfn.IFNA(INDEX(SAM!$B$8:$HC$215,MATCH($AL78,SAM!$A$8:$A$215,0),MATCH(AY$48,SAM!$B$7:$HC$7,0)),0)</f>
        <v>0.37101678456765419</v>
      </c>
      <c r="AZ78" s="18">
        <f>_xlfn.IFNA(INDEX(SAM!$B$8:$HC$215,MATCH($AL78,SAM!$A$8:$A$215,0),MATCH(AZ$48,SAM!$B$7:$HC$7,0)),0)</f>
        <v>1.336290309266277</v>
      </c>
      <c r="BA78" s="18">
        <f>_xlfn.IFNA(INDEX(SAM!$B$8:$HC$215,MATCH($AL78,SAM!$A$8:$A$215,0),MATCH(BA$48,SAM!$B$7:$HC$7,0)),0)</f>
        <v>22.697335817496537</v>
      </c>
      <c r="BB78" s="18"/>
      <c r="BC78" t="str">
        <f t="shared" ref="BC78:BC94" si="155">"a"&amp;T78</f>
        <v>awood</v>
      </c>
      <c r="BD78" s="18">
        <f>_xlfn.IFNA(INDEX(SAM!$B$8:$HC$215,MATCH($BC78,SAM!$A$8:$A$215,0),MATCH(BD$48,SAM!$B$7:$HC$7,0)),0)</f>
        <v>0</v>
      </c>
      <c r="BE78" s="18">
        <f>_xlfn.IFNA(INDEX(SAM!$B$8:$HC$215,MATCH($BC78,SAM!$A$8:$A$215,0),MATCH(BE$48,SAM!$B$7:$HC$7,0)),0)</f>
        <v>0</v>
      </c>
      <c r="BF78" s="18">
        <f>_xlfn.IFNA(INDEX(SAM!$B$8:$HC$215,MATCH($BC78,SAM!$A$8:$A$215,0),MATCH(BF$48,SAM!$B$7:$HC$7,0)),0)</f>
        <v>0</v>
      </c>
      <c r="BG78" s="18">
        <f>_xlfn.IFNA(INDEX(SAM!$B$8:$HC$215,MATCH($BC78,SAM!$A$8:$A$215,0),MATCH(BG$48,SAM!$B$7:$HC$7,0)),0)</f>
        <v>0</v>
      </c>
      <c r="BH78" s="18">
        <f>_xlfn.IFNA(INDEX(SAM!$B$8:$HC$215,MATCH($BC78,SAM!$A$8:$A$215,0),MATCH(BH$48,SAM!$B$7:$HC$7,0)),0)</f>
        <v>0</v>
      </c>
      <c r="BI78" s="18">
        <f>_xlfn.IFNA(INDEX(SAM!$B$8:$HC$215,MATCH($BC78,SAM!$A$8:$A$215,0),MATCH(BI$48,SAM!$B$7:$HC$7,0)),0)</f>
        <v>0</v>
      </c>
      <c r="BJ78" s="18">
        <f>_xlfn.IFNA(INDEX(SAM!$B$8:$HC$215,MATCH($BC78,SAM!$A$8:$A$215,0),MATCH(BJ$48,SAM!$B$7:$HC$7,0)),0)</f>
        <v>0</v>
      </c>
      <c r="BK78" s="18">
        <f>_xlfn.IFNA(INDEX(SAM!$B$8:$HC$215,MATCH($BC78,SAM!$A$8:$A$215,0),MATCH(BK$48,SAM!$B$7:$HC$7,0)),0)</f>
        <v>0</v>
      </c>
      <c r="BL78" s="18">
        <f>_xlfn.IFNA(INDEX(SAM!$B$8:$HC$215,MATCH($BC78,SAM!$A$8:$A$215,0),MATCH(BL$48,SAM!$B$7:$HC$7,0)),0)</f>
        <v>0</v>
      </c>
      <c r="BM78" s="18">
        <f>_xlfn.IFNA(INDEX(SAM!$B$8:$HC$215,MATCH($BC78,SAM!$A$8:$A$215,0),MATCH(BM$48,SAM!$B$7:$HC$7,0)),0)</f>
        <v>0</v>
      </c>
      <c r="BN78" s="18">
        <f>_xlfn.IFNA(INDEX(SAM!$B$8:$HC$215,MATCH($BC78,SAM!$A$8:$A$215,0),MATCH(BN$48,SAM!$B$7:$HC$7,0)),0)</f>
        <v>0</v>
      </c>
      <c r="BO78" s="18">
        <f>_xlfn.IFNA(INDEX(SAM!$B$8:$HC$215,MATCH($BC78,SAM!$A$8:$A$215,0),MATCH(BO$48,SAM!$B$7:$HC$7,0)),0)</f>
        <v>0</v>
      </c>
      <c r="BP78" s="18">
        <f>_xlfn.IFNA(INDEX(SAM!$B$8:$HC$215,MATCH($BC78,SAM!$A$8:$A$215,0),MATCH(BP$48,SAM!$B$7:$HC$7,0)),0)</f>
        <v>0</v>
      </c>
      <c r="BQ78" s="18">
        <f>_xlfn.IFNA(INDEX(SAM!$B$8:$HC$215,MATCH($BC78,SAM!$A$8:$A$215,0),MATCH(BQ$48,SAM!$B$7:$HC$7,0)),0)</f>
        <v>0</v>
      </c>
      <c r="BR78" s="18">
        <f>_xlfn.IFNA(INDEX(SAM!$B$8:$HC$215,MATCH($BC78,SAM!$A$8:$A$215,0),MATCH(BR$48,SAM!$B$7:$HC$7,0)),0)</f>
        <v>0</v>
      </c>
      <c r="BT78" t="str">
        <f t="shared" si="109"/>
        <v>cwood</v>
      </c>
      <c r="BU78" s="7">
        <f t="shared" si="110"/>
        <v>39.399960797999086</v>
      </c>
      <c r="BW78" s="51" t="s">
        <v>194</v>
      </c>
      <c r="BX78" s="43">
        <f t="shared" si="116"/>
        <v>3.6230919193647337</v>
      </c>
    </row>
    <row r="79" spans="1:76" x14ac:dyDescent="0.25">
      <c r="A79" t="str">
        <f t="shared" si="136"/>
        <v>manufacturing</v>
      </c>
      <c r="B79" t="s">
        <v>38</v>
      </c>
      <c r="C79" s="18">
        <f t="shared" si="79"/>
        <v>0.11679846560935546</v>
      </c>
      <c r="D79" s="18">
        <f t="shared" si="80"/>
        <v>0.10889901812309825</v>
      </c>
      <c r="E79" s="18">
        <f t="shared" si="81"/>
        <v>0.12626349458903025</v>
      </c>
      <c r="F79" s="18">
        <f t="shared" si="82"/>
        <v>0.23207803124273932</v>
      </c>
      <c r="G79" s="18">
        <f t="shared" si="83"/>
        <v>0.86611740710307406</v>
      </c>
      <c r="H79" s="18">
        <f t="shared" si="84"/>
        <v>0.10339301358152961</v>
      </c>
      <c r="I79" s="18">
        <f t="shared" si="85"/>
        <v>6.2257758867270287E-2</v>
      </c>
      <c r="J79" s="18">
        <f t="shared" si="86"/>
        <v>9.0911995437440357E-2</v>
      </c>
      <c r="K79" s="18">
        <f t="shared" si="87"/>
        <v>0.19565562492476651</v>
      </c>
      <c r="L79" s="18">
        <f t="shared" si="88"/>
        <v>0.84627460884697314</v>
      </c>
      <c r="M79" s="18">
        <f t="shared" si="89"/>
        <v>0.29315902150856193</v>
      </c>
      <c r="N79" s="18">
        <f t="shared" si="90"/>
        <v>0.15031560348331532</v>
      </c>
      <c r="O79" s="18">
        <f t="shared" si="91"/>
        <v>0.15584407122620922</v>
      </c>
      <c r="P79" s="18">
        <f t="shared" si="92"/>
        <v>6.553554598410602E-2</v>
      </c>
      <c r="Q79" s="18">
        <f t="shared" si="93"/>
        <v>2.4366104613172612</v>
      </c>
      <c r="R79" s="18">
        <f t="shared" si="94"/>
        <v>1.2236899826044429</v>
      </c>
      <c r="T79" t="str">
        <f t="shared" si="137"/>
        <v>petr</v>
      </c>
      <c r="U79" s="18">
        <f t="shared" si="138"/>
        <v>0.34341211309980885</v>
      </c>
      <c r="V79" s="18">
        <f t="shared" si="139"/>
        <v>0.47429724740151546</v>
      </c>
      <c r="W79" s="18">
        <f t="shared" si="140"/>
        <v>0.75450406361694955</v>
      </c>
      <c r="X79" s="18">
        <f t="shared" si="141"/>
        <v>1.9943355471165021</v>
      </c>
      <c r="Y79" s="18">
        <f t="shared" si="142"/>
        <v>8.2405276108441914</v>
      </c>
      <c r="Z79" s="18">
        <f t="shared" si="143"/>
        <v>5.8536622143598532E-2</v>
      </c>
      <c r="AA79" s="18">
        <f t="shared" si="144"/>
        <v>5.2557355714376586E-2</v>
      </c>
      <c r="AB79" s="18">
        <f t="shared" si="145"/>
        <v>9.2985021574413726E-2</v>
      </c>
      <c r="AC79" s="18">
        <f t="shared" si="146"/>
        <v>0.25585851099929635</v>
      </c>
      <c r="AD79" s="18">
        <f t="shared" si="147"/>
        <v>1.414491290031036</v>
      </c>
      <c r="AE79" s="18">
        <f t="shared" si="148"/>
        <v>8.563653943856378E-2</v>
      </c>
      <c r="AF79" s="18">
        <f t="shared" si="149"/>
        <v>9.1569380347183094E-2</v>
      </c>
      <c r="AG79" s="18">
        <f t="shared" si="150"/>
        <v>0.16222536123073061</v>
      </c>
      <c r="AH79" s="18">
        <f t="shared" si="151"/>
        <v>0.14501447080694549</v>
      </c>
      <c r="AI79" s="18">
        <f t="shared" si="152"/>
        <v>72.198178731103908</v>
      </c>
      <c r="AJ79" s="18">
        <f t="shared" si="153"/>
        <v>86.364129865469025</v>
      </c>
      <c r="AL79" t="str">
        <f t="shared" si="154"/>
        <v>cpetr</v>
      </c>
      <c r="AM79" s="18">
        <f>_xlfn.IFNA(INDEX(SAM!$B$8:$HC$215,MATCH($AL79,SAM!$A$8:$A$215,0),MATCH(AM$48,SAM!$B$7:$HC$7,0)),0)</f>
        <v>0.34341211309980885</v>
      </c>
      <c r="AN79" s="18">
        <f>_xlfn.IFNA(INDEX(SAM!$B$8:$HC$215,MATCH($AL79,SAM!$A$8:$A$215,0),MATCH(AN$48,SAM!$B$7:$HC$7,0)),0)</f>
        <v>0.47429724740151546</v>
      </c>
      <c r="AO79" s="18">
        <f>_xlfn.IFNA(INDEX(SAM!$B$8:$HC$215,MATCH($AL79,SAM!$A$8:$A$215,0),MATCH(AO$48,SAM!$B$7:$HC$7,0)),0)</f>
        <v>0.75450406361694955</v>
      </c>
      <c r="AP79" s="18">
        <f>_xlfn.IFNA(INDEX(SAM!$B$8:$HC$215,MATCH($AL79,SAM!$A$8:$A$215,0),MATCH(AP$48,SAM!$B$7:$HC$7,0)),0)</f>
        <v>1.9943355471165021</v>
      </c>
      <c r="AQ79" s="18">
        <f>_xlfn.IFNA(INDEX(SAM!$B$8:$HC$215,MATCH($AL79,SAM!$A$8:$A$215,0),MATCH(AQ$48,SAM!$B$7:$HC$7,0)),0)</f>
        <v>8.2405276108441914</v>
      </c>
      <c r="AR79" s="18">
        <f>_xlfn.IFNA(INDEX(SAM!$B$8:$HC$215,MATCH($AL79,SAM!$A$8:$A$215,0),MATCH(AR$48,SAM!$B$7:$HC$7,0)),0)</f>
        <v>5.8536622143598532E-2</v>
      </c>
      <c r="AS79" s="18">
        <f>_xlfn.IFNA(INDEX(SAM!$B$8:$HC$215,MATCH($AL79,SAM!$A$8:$A$215,0),MATCH(AS$48,SAM!$B$7:$HC$7,0)),0)</f>
        <v>5.2557355714376586E-2</v>
      </c>
      <c r="AT79" s="18">
        <f>_xlfn.IFNA(INDEX(SAM!$B$8:$HC$215,MATCH($AL79,SAM!$A$8:$A$215,0),MATCH(AT$48,SAM!$B$7:$HC$7,0)),0)</f>
        <v>9.2985021574413726E-2</v>
      </c>
      <c r="AU79" s="18">
        <f>_xlfn.IFNA(INDEX(SAM!$B$8:$HC$215,MATCH($AL79,SAM!$A$8:$A$215,0),MATCH(AU$48,SAM!$B$7:$HC$7,0)),0)</f>
        <v>0.25585851099929635</v>
      </c>
      <c r="AV79" s="18">
        <f>_xlfn.IFNA(INDEX(SAM!$B$8:$HC$215,MATCH($AL79,SAM!$A$8:$A$215,0),MATCH(AV$48,SAM!$B$7:$HC$7,0)),0)</f>
        <v>1.414491290031036</v>
      </c>
      <c r="AW79" s="18">
        <f>_xlfn.IFNA(INDEX(SAM!$B$8:$HC$215,MATCH($AL79,SAM!$A$8:$A$215,0),MATCH(AW$48,SAM!$B$7:$HC$7,0)),0)</f>
        <v>8.563653943856378E-2</v>
      </c>
      <c r="AX79" s="18">
        <f>_xlfn.IFNA(INDEX(SAM!$B$8:$HC$215,MATCH($AL79,SAM!$A$8:$A$215,0),MATCH(AX$48,SAM!$B$7:$HC$7,0)),0)</f>
        <v>9.1569380347183094E-2</v>
      </c>
      <c r="AY79" s="18">
        <f>_xlfn.IFNA(INDEX(SAM!$B$8:$HC$215,MATCH($AL79,SAM!$A$8:$A$215,0),MATCH(AY$48,SAM!$B$7:$HC$7,0)),0)</f>
        <v>0.16222536123073061</v>
      </c>
      <c r="AZ79" s="18">
        <f>_xlfn.IFNA(INDEX(SAM!$B$8:$HC$215,MATCH($AL79,SAM!$A$8:$A$215,0),MATCH(AZ$48,SAM!$B$7:$HC$7,0)),0)</f>
        <v>0.14501447080694549</v>
      </c>
      <c r="BA79" s="18">
        <f>_xlfn.IFNA(INDEX(SAM!$B$8:$HC$215,MATCH($AL79,SAM!$A$8:$A$215,0),MATCH(BA$48,SAM!$B$7:$HC$7,0)),0)</f>
        <v>72.198178731103908</v>
      </c>
      <c r="BB79" s="18"/>
      <c r="BC79" t="str">
        <f t="shared" si="155"/>
        <v>apetr</v>
      </c>
      <c r="BD79" s="18">
        <f>_xlfn.IFNA(INDEX(SAM!$B$8:$HC$215,MATCH($BC79,SAM!$A$8:$A$215,0),MATCH(BD$48,SAM!$B$7:$HC$7,0)),0)</f>
        <v>0</v>
      </c>
      <c r="BE79" s="18">
        <f>_xlfn.IFNA(INDEX(SAM!$B$8:$HC$215,MATCH($BC79,SAM!$A$8:$A$215,0),MATCH(BE$48,SAM!$B$7:$HC$7,0)),0)</f>
        <v>0</v>
      </c>
      <c r="BF79" s="18">
        <f>_xlfn.IFNA(INDEX(SAM!$B$8:$HC$215,MATCH($BC79,SAM!$A$8:$A$215,0),MATCH(BF$48,SAM!$B$7:$HC$7,0)),0)</f>
        <v>0</v>
      </c>
      <c r="BG79" s="18">
        <f>_xlfn.IFNA(INDEX(SAM!$B$8:$HC$215,MATCH($BC79,SAM!$A$8:$A$215,0),MATCH(BG$48,SAM!$B$7:$HC$7,0)),0)</f>
        <v>0</v>
      </c>
      <c r="BH79" s="18">
        <f>_xlfn.IFNA(INDEX(SAM!$B$8:$HC$215,MATCH($BC79,SAM!$A$8:$A$215,0),MATCH(BH$48,SAM!$B$7:$HC$7,0)),0)</f>
        <v>0</v>
      </c>
      <c r="BI79" s="18">
        <f>_xlfn.IFNA(INDEX(SAM!$B$8:$HC$215,MATCH($BC79,SAM!$A$8:$A$215,0),MATCH(BI$48,SAM!$B$7:$HC$7,0)),0)</f>
        <v>0</v>
      </c>
      <c r="BJ79" s="18">
        <f>_xlfn.IFNA(INDEX(SAM!$B$8:$HC$215,MATCH($BC79,SAM!$A$8:$A$215,0),MATCH(BJ$48,SAM!$B$7:$HC$7,0)),0)</f>
        <v>0</v>
      </c>
      <c r="BK79" s="18">
        <f>_xlfn.IFNA(INDEX(SAM!$B$8:$HC$215,MATCH($BC79,SAM!$A$8:$A$215,0),MATCH(BK$48,SAM!$B$7:$HC$7,0)),0)</f>
        <v>0</v>
      </c>
      <c r="BL79" s="18">
        <f>_xlfn.IFNA(INDEX(SAM!$B$8:$HC$215,MATCH($BC79,SAM!$A$8:$A$215,0),MATCH(BL$48,SAM!$B$7:$HC$7,0)),0)</f>
        <v>0</v>
      </c>
      <c r="BM79" s="18">
        <f>_xlfn.IFNA(INDEX(SAM!$B$8:$HC$215,MATCH($BC79,SAM!$A$8:$A$215,0),MATCH(BM$48,SAM!$B$7:$HC$7,0)),0)</f>
        <v>0</v>
      </c>
      <c r="BN79" s="18">
        <f>_xlfn.IFNA(INDEX(SAM!$B$8:$HC$215,MATCH($BC79,SAM!$A$8:$A$215,0),MATCH(BN$48,SAM!$B$7:$HC$7,0)),0)</f>
        <v>0</v>
      </c>
      <c r="BO79" s="18">
        <f>_xlfn.IFNA(INDEX(SAM!$B$8:$HC$215,MATCH($BC79,SAM!$A$8:$A$215,0),MATCH(BO$48,SAM!$B$7:$HC$7,0)),0)</f>
        <v>0</v>
      </c>
      <c r="BP79" s="18">
        <f>_xlfn.IFNA(INDEX(SAM!$B$8:$HC$215,MATCH($BC79,SAM!$A$8:$A$215,0),MATCH(BP$48,SAM!$B$7:$HC$7,0)),0)</f>
        <v>0</v>
      </c>
      <c r="BQ79" s="18">
        <f>_xlfn.IFNA(INDEX(SAM!$B$8:$HC$215,MATCH($BC79,SAM!$A$8:$A$215,0),MATCH(BQ$48,SAM!$B$7:$HC$7,0)),0)</f>
        <v>0</v>
      </c>
      <c r="BR79" s="18">
        <f>_xlfn.IFNA(INDEX(SAM!$B$8:$HC$215,MATCH($BC79,SAM!$A$8:$A$215,0),MATCH(BR$48,SAM!$B$7:$HC$7,0)),0)</f>
        <v>0</v>
      </c>
      <c r="BT79" t="str">
        <f t="shared" si="109"/>
        <v>cpetr</v>
      </c>
      <c r="BU79" s="7">
        <f t="shared" si="110"/>
        <v>86.364129865469025</v>
      </c>
      <c r="BW79" s="51" t="s">
        <v>195</v>
      </c>
      <c r="BX79" s="43">
        <f t="shared" si="116"/>
        <v>0.32997506025676937</v>
      </c>
    </row>
    <row r="80" spans="1:76" x14ac:dyDescent="0.25">
      <c r="A80" t="str">
        <f t="shared" si="136"/>
        <v>manufacturing</v>
      </c>
      <c r="B80" t="s">
        <v>502</v>
      </c>
      <c r="C80" s="18">
        <f t="shared" si="79"/>
        <v>0</v>
      </c>
      <c r="D80" s="18">
        <f t="shared" si="80"/>
        <v>0</v>
      </c>
      <c r="E80" s="18">
        <f t="shared" si="81"/>
        <v>0</v>
      </c>
      <c r="F80" s="18">
        <f t="shared" si="82"/>
        <v>0</v>
      </c>
      <c r="G80" s="18">
        <f t="shared" si="83"/>
        <v>0</v>
      </c>
      <c r="H80" s="18">
        <f t="shared" si="84"/>
        <v>0</v>
      </c>
      <c r="I80" s="18">
        <f t="shared" si="85"/>
        <v>0</v>
      </c>
      <c r="J80" s="18">
        <f t="shared" si="86"/>
        <v>0</v>
      </c>
      <c r="K80" s="18">
        <f t="shared" si="87"/>
        <v>0</v>
      </c>
      <c r="L80" s="18">
        <f t="shared" si="88"/>
        <v>0</v>
      </c>
      <c r="M80" s="18">
        <f t="shared" si="89"/>
        <v>0</v>
      </c>
      <c r="N80" s="18">
        <f t="shared" si="90"/>
        <v>0</v>
      </c>
      <c r="O80" s="18">
        <f t="shared" si="91"/>
        <v>0</v>
      </c>
      <c r="P80" s="18">
        <f t="shared" si="92"/>
        <v>0</v>
      </c>
      <c r="Q80" s="18">
        <f t="shared" si="93"/>
        <v>0</v>
      </c>
      <c r="R80" s="18">
        <f t="shared" si="94"/>
        <v>0</v>
      </c>
      <c r="T80" t="str">
        <f t="shared" si="137"/>
        <v>fert</v>
      </c>
      <c r="U80" s="18">
        <f t="shared" si="138"/>
        <v>0</v>
      </c>
      <c r="V80" s="18">
        <f t="shared" si="139"/>
        <v>0</v>
      </c>
      <c r="W80" s="18">
        <f t="shared" si="140"/>
        <v>0</v>
      </c>
      <c r="X80" s="18">
        <f t="shared" si="141"/>
        <v>0</v>
      </c>
      <c r="Y80" s="18">
        <f t="shared" si="142"/>
        <v>0</v>
      </c>
      <c r="Z80" s="18">
        <f t="shared" si="143"/>
        <v>0</v>
      </c>
      <c r="AA80" s="18">
        <f t="shared" si="144"/>
        <v>0</v>
      </c>
      <c r="AB80" s="18">
        <f t="shared" si="145"/>
        <v>0</v>
      </c>
      <c r="AC80" s="18">
        <f t="shared" si="146"/>
        <v>0</v>
      </c>
      <c r="AD80" s="18">
        <f t="shared" si="147"/>
        <v>0</v>
      </c>
      <c r="AE80" s="18">
        <f t="shared" si="148"/>
        <v>0</v>
      </c>
      <c r="AF80" s="18">
        <f t="shared" si="149"/>
        <v>0</v>
      </c>
      <c r="AG80" s="18">
        <f t="shared" si="150"/>
        <v>0</v>
      </c>
      <c r="AH80" s="18">
        <f t="shared" si="151"/>
        <v>0</v>
      </c>
      <c r="AI80" s="18">
        <f t="shared" si="152"/>
        <v>0</v>
      </c>
      <c r="AJ80" s="18">
        <f t="shared" si="153"/>
        <v>0</v>
      </c>
      <c r="AL80" t="str">
        <f t="shared" si="154"/>
        <v>cfert</v>
      </c>
      <c r="AM80" s="18">
        <f>_xlfn.IFNA(INDEX(SAM!$B$8:$HC$215,MATCH($AL80,SAM!$A$8:$A$215,0),MATCH(AM$48,SAM!$B$7:$HC$7,0)),0)</f>
        <v>0</v>
      </c>
      <c r="AN80" s="18">
        <f>_xlfn.IFNA(INDEX(SAM!$B$8:$HC$215,MATCH($AL80,SAM!$A$8:$A$215,0),MATCH(AN$48,SAM!$B$7:$HC$7,0)),0)</f>
        <v>0</v>
      </c>
      <c r="AO80" s="18">
        <f>_xlfn.IFNA(INDEX(SAM!$B$8:$HC$215,MATCH($AL80,SAM!$A$8:$A$215,0),MATCH(AO$48,SAM!$B$7:$HC$7,0)),0)</f>
        <v>0</v>
      </c>
      <c r="AP80" s="18">
        <f>_xlfn.IFNA(INDEX(SAM!$B$8:$HC$215,MATCH($AL80,SAM!$A$8:$A$215,0),MATCH(AP$48,SAM!$B$7:$HC$7,0)),0)</f>
        <v>0</v>
      </c>
      <c r="AQ80" s="18">
        <f>_xlfn.IFNA(INDEX(SAM!$B$8:$HC$215,MATCH($AL80,SAM!$A$8:$A$215,0),MATCH(AQ$48,SAM!$B$7:$HC$7,0)),0)</f>
        <v>0</v>
      </c>
      <c r="AR80" s="18">
        <f>_xlfn.IFNA(INDEX(SAM!$B$8:$HC$215,MATCH($AL80,SAM!$A$8:$A$215,0),MATCH(AR$48,SAM!$B$7:$HC$7,0)),0)</f>
        <v>0</v>
      </c>
      <c r="AS80" s="18">
        <f>_xlfn.IFNA(INDEX(SAM!$B$8:$HC$215,MATCH($AL80,SAM!$A$8:$A$215,0),MATCH(AS$48,SAM!$B$7:$HC$7,0)),0)</f>
        <v>0</v>
      </c>
      <c r="AT80" s="18">
        <f>_xlfn.IFNA(INDEX(SAM!$B$8:$HC$215,MATCH($AL80,SAM!$A$8:$A$215,0),MATCH(AT$48,SAM!$B$7:$HC$7,0)),0)</f>
        <v>0</v>
      </c>
      <c r="AU80" s="18">
        <f>_xlfn.IFNA(INDEX(SAM!$B$8:$HC$215,MATCH($AL80,SAM!$A$8:$A$215,0),MATCH(AU$48,SAM!$B$7:$HC$7,0)),0)</f>
        <v>0</v>
      </c>
      <c r="AV80" s="18">
        <f>_xlfn.IFNA(INDEX(SAM!$B$8:$HC$215,MATCH($AL80,SAM!$A$8:$A$215,0),MATCH(AV$48,SAM!$B$7:$HC$7,0)),0)</f>
        <v>0</v>
      </c>
      <c r="AW80" s="18">
        <f>_xlfn.IFNA(INDEX(SAM!$B$8:$HC$215,MATCH($AL80,SAM!$A$8:$A$215,0),MATCH(AW$48,SAM!$B$7:$HC$7,0)),0)</f>
        <v>0</v>
      </c>
      <c r="AX80" s="18">
        <f>_xlfn.IFNA(INDEX(SAM!$B$8:$HC$215,MATCH($AL80,SAM!$A$8:$A$215,0),MATCH(AX$48,SAM!$B$7:$HC$7,0)),0)</f>
        <v>0</v>
      </c>
      <c r="AY80" s="18">
        <f>_xlfn.IFNA(INDEX(SAM!$B$8:$HC$215,MATCH($AL80,SAM!$A$8:$A$215,0),MATCH(AY$48,SAM!$B$7:$HC$7,0)),0)</f>
        <v>0</v>
      </c>
      <c r="AZ80" s="18">
        <f>_xlfn.IFNA(INDEX(SAM!$B$8:$HC$215,MATCH($AL80,SAM!$A$8:$A$215,0),MATCH(AZ$48,SAM!$B$7:$HC$7,0)),0)</f>
        <v>0</v>
      </c>
      <c r="BA80" s="18">
        <f>_xlfn.IFNA(INDEX(SAM!$B$8:$HC$215,MATCH($AL80,SAM!$A$8:$A$215,0),MATCH(BA$48,SAM!$B$7:$HC$7,0)),0)</f>
        <v>0</v>
      </c>
      <c r="BB80" s="18"/>
      <c r="BC80" t="str">
        <f t="shared" si="155"/>
        <v>afert</v>
      </c>
      <c r="BD80" s="18">
        <f>_xlfn.IFNA(INDEX(SAM!$B$8:$HC$215,MATCH($BC80,SAM!$A$8:$A$215,0),MATCH(BD$48,SAM!$B$7:$HC$7,0)),0)</f>
        <v>0</v>
      </c>
      <c r="BE80" s="18">
        <f>_xlfn.IFNA(INDEX(SAM!$B$8:$HC$215,MATCH($BC80,SAM!$A$8:$A$215,0),MATCH(BE$48,SAM!$B$7:$HC$7,0)),0)</f>
        <v>0</v>
      </c>
      <c r="BF80" s="18">
        <f>_xlfn.IFNA(INDEX(SAM!$B$8:$HC$215,MATCH($BC80,SAM!$A$8:$A$215,0),MATCH(BF$48,SAM!$B$7:$HC$7,0)),0)</f>
        <v>0</v>
      </c>
      <c r="BG80" s="18">
        <f>_xlfn.IFNA(INDEX(SAM!$B$8:$HC$215,MATCH($BC80,SAM!$A$8:$A$215,0),MATCH(BG$48,SAM!$B$7:$HC$7,0)),0)</f>
        <v>0</v>
      </c>
      <c r="BH80" s="18">
        <f>_xlfn.IFNA(INDEX(SAM!$B$8:$HC$215,MATCH($BC80,SAM!$A$8:$A$215,0),MATCH(BH$48,SAM!$B$7:$HC$7,0)),0)</f>
        <v>0</v>
      </c>
      <c r="BI80" s="18">
        <f>_xlfn.IFNA(INDEX(SAM!$B$8:$HC$215,MATCH($BC80,SAM!$A$8:$A$215,0),MATCH(BI$48,SAM!$B$7:$HC$7,0)),0)</f>
        <v>0</v>
      </c>
      <c r="BJ80" s="18">
        <f>_xlfn.IFNA(INDEX(SAM!$B$8:$HC$215,MATCH($BC80,SAM!$A$8:$A$215,0),MATCH(BJ$48,SAM!$B$7:$HC$7,0)),0)</f>
        <v>0</v>
      </c>
      <c r="BK80" s="18">
        <f>_xlfn.IFNA(INDEX(SAM!$B$8:$HC$215,MATCH($BC80,SAM!$A$8:$A$215,0),MATCH(BK$48,SAM!$B$7:$HC$7,0)),0)</f>
        <v>0</v>
      </c>
      <c r="BL80" s="18">
        <f>_xlfn.IFNA(INDEX(SAM!$B$8:$HC$215,MATCH($BC80,SAM!$A$8:$A$215,0),MATCH(BL$48,SAM!$B$7:$HC$7,0)),0)</f>
        <v>0</v>
      </c>
      <c r="BM80" s="18">
        <f>_xlfn.IFNA(INDEX(SAM!$B$8:$HC$215,MATCH($BC80,SAM!$A$8:$A$215,0),MATCH(BM$48,SAM!$B$7:$HC$7,0)),0)</f>
        <v>0</v>
      </c>
      <c r="BN80" s="18">
        <f>_xlfn.IFNA(INDEX(SAM!$B$8:$HC$215,MATCH($BC80,SAM!$A$8:$A$215,0),MATCH(BN$48,SAM!$B$7:$HC$7,0)),0)</f>
        <v>0</v>
      </c>
      <c r="BO80" s="18">
        <f>_xlfn.IFNA(INDEX(SAM!$B$8:$HC$215,MATCH($BC80,SAM!$A$8:$A$215,0),MATCH(BO$48,SAM!$B$7:$HC$7,0)),0)</f>
        <v>0</v>
      </c>
      <c r="BP80" s="18">
        <f>_xlfn.IFNA(INDEX(SAM!$B$8:$HC$215,MATCH($BC80,SAM!$A$8:$A$215,0),MATCH(BP$48,SAM!$B$7:$HC$7,0)),0)</f>
        <v>0</v>
      </c>
      <c r="BQ80" s="18">
        <f>_xlfn.IFNA(INDEX(SAM!$B$8:$HC$215,MATCH($BC80,SAM!$A$8:$A$215,0),MATCH(BQ$48,SAM!$B$7:$HC$7,0)),0)</f>
        <v>0</v>
      </c>
      <c r="BR80" s="18">
        <f>_xlfn.IFNA(INDEX(SAM!$B$8:$HC$215,MATCH($BC80,SAM!$A$8:$A$215,0),MATCH(BR$48,SAM!$B$7:$HC$7,0)),0)</f>
        <v>0</v>
      </c>
      <c r="BT80" t="str">
        <f t="shared" si="109"/>
        <v>cfert</v>
      </c>
      <c r="BU80" s="7">
        <f t="shared" si="110"/>
        <v>0</v>
      </c>
      <c r="BW80" s="51" t="s">
        <v>196</v>
      </c>
      <c r="BX80" s="43">
        <f t="shared" si="116"/>
        <v>0.16030039643035404</v>
      </c>
    </row>
    <row r="81" spans="1:76" x14ac:dyDescent="0.25">
      <c r="A81" t="str">
        <f t="shared" si="136"/>
        <v>manufacturing</v>
      </c>
      <c r="B81" t="s">
        <v>39</v>
      </c>
      <c r="C81" s="18">
        <f t="shared" si="79"/>
        <v>2.3064282339477442</v>
      </c>
      <c r="D81" s="18">
        <f t="shared" si="80"/>
        <v>2.4217887732218863</v>
      </c>
      <c r="E81" s="18">
        <f t="shared" si="81"/>
        <v>2.5245925899542034</v>
      </c>
      <c r="F81" s="18">
        <f t="shared" si="82"/>
        <v>2.1152628888154896</v>
      </c>
      <c r="G81" s="18">
        <f t="shared" si="83"/>
        <v>1.7384368888081367</v>
      </c>
      <c r="H81" s="18">
        <f t="shared" si="84"/>
        <v>2.3684572031430604</v>
      </c>
      <c r="I81" s="18">
        <f t="shared" si="85"/>
        <v>2.5683505408125207</v>
      </c>
      <c r="J81" s="18">
        <f t="shared" si="86"/>
        <v>2.4732035085851547</v>
      </c>
      <c r="K81" s="18">
        <f t="shared" si="87"/>
        <v>2.1251334666078479</v>
      </c>
      <c r="L81" s="18">
        <f t="shared" si="88"/>
        <v>1.9165566783088837</v>
      </c>
      <c r="M81" s="18">
        <f t="shared" si="89"/>
        <v>2.9092479837300345</v>
      </c>
      <c r="N81" s="18">
        <f t="shared" si="90"/>
        <v>2.8077021966229481</v>
      </c>
      <c r="O81" s="18">
        <f t="shared" si="91"/>
        <v>2.6825001148622247</v>
      </c>
      <c r="P81" s="18">
        <f t="shared" si="92"/>
        <v>2.3038111311814418</v>
      </c>
      <c r="Q81" s="18">
        <f t="shared" si="93"/>
        <v>1.4873613034767463</v>
      </c>
      <c r="R81" s="18">
        <f t="shared" si="94"/>
        <v>1.8940419338703309</v>
      </c>
      <c r="T81" t="str">
        <f t="shared" si="137"/>
        <v>chem</v>
      </c>
      <c r="U81" s="18">
        <f t="shared" si="138"/>
        <v>6.7813852639311731</v>
      </c>
      <c r="V81" s="18">
        <f t="shared" si="139"/>
        <v>10.54782466108753</v>
      </c>
      <c r="W81" s="18">
        <f t="shared" si="140"/>
        <v>15.086033966488808</v>
      </c>
      <c r="X81" s="18">
        <f t="shared" si="141"/>
        <v>18.177265414013853</v>
      </c>
      <c r="Y81" s="18">
        <f t="shared" si="142"/>
        <v>16.540063811728324</v>
      </c>
      <c r="Z81" s="18">
        <f t="shared" si="143"/>
        <v>1.3409173362989857</v>
      </c>
      <c r="AA81" s="18">
        <f t="shared" si="144"/>
        <v>2.1681749460412858</v>
      </c>
      <c r="AB81" s="18">
        <f t="shared" si="145"/>
        <v>2.529598877432595</v>
      </c>
      <c r="AC81" s="18">
        <f t="shared" si="146"/>
        <v>2.7790332358199934</v>
      </c>
      <c r="AD81" s="18">
        <f t="shared" si="147"/>
        <v>3.2033960371472467</v>
      </c>
      <c r="AE81" s="18">
        <f t="shared" si="148"/>
        <v>0.84983886360796523</v>
      </c>
      <c r="AF81" s="18">
        <f t="shared" si="149"/>
        <v>1.7103982845847776</v>
      </c>
      <c r="AG81" s="18">
        <f t="shared" si="150"/>
        <v>2.7923394628426244</v>
      </c>
      <c r="AH81" s="18">
        <f t="shared" si="151"/>
        <v>5.0977823868050374</v>
      </c>
      <c r="AI81" s="18">
        <f t="shared" si="152"/>
        <v>44.071376582733826</v>
      </c>
      <c r="AJ81" s="18">
        <f t="shared" si="153"/>
        <v>133.67542913056403</v>
      </c>
      <c r="AL81" t="str">
        <f t="shared" si="154"/>
        <v>cchem</v>
      </c>
      <c r="AM81" s="18">
        <f>_xlfn.IFNA(INDEX(SAM!$B$8:$HC$215,MATCH($AL81,SAM!$A$8:$A$215,0),MATCH(AM$48,SAM!$B$7:$HC$7,0)),0)</f>
        <v>6.7813852639311731</v>
      </c>
      <c r="AN81" s="18">
        <f>_xlfn.IFNA(INDEX(SAM!$B$8:$HC$215,MATCH($AL81,SAM!$A$8:$A$215,0),MATCH(AN$48,SAM!$B$7:$HC$7,0)),0)</f>
        <v>10.54782466108753</v>
      </c>
      <c r="AO81" s="18">
        <f>_xlfn.IFNA(INDEX(SAM!$B$8:$HC$215,MATCH($AL81,SAM!$A$8:$A$215,0),MATCH(AO$48,SAM!$B$7:$HC$7,0)),0)</f>
        <v>15.086033966488808</v>
      </c>
      <c r="AP81" s="18">
        <f>_xlfn.IFNA(INDEX(SAM!$B$8:$HC$215,MATCH($AL81,SAM!$A$8:$A$215,0),MATCH(AP$48,SAM!$B$7:$HC$7,0)),0)</f>
        <v>18.177265414013853</v>
      </c>
      <c r="AQ81" s="18">
        <f>_xlfn.IFNA(INDEX(SAM!$B$8:$HC$215,MATCH($AL81,SAM!$A$8:$A$215,0),MATCH(AQ$48,SAM!$B$7:$HC$7,0)),0)</f>
        <v>16.540063811728324</v>
      </c>
      <c r="AR81" s="18">
        <f>_xlfn.IFNA(INDEX(SAM!$B$8:$HC$215,MATCH($AL81,SAM!$A$8:$A$215,0),MATCH(AR$48,SAM!$B$7:$HC$7,0)),0)</f>
        <v>1.3409173362989857</v>
      </c>
      <c r="AS81" s="18">
        <f>_xlfn.IFNA(INDEX(SAM!$B$8:$HC$215,MATCH($AL81,SAM!$A$8:$A$215,0),MATCH(AS$48,SAM!$B$7:$HC$7,0)),0)</f>
        <v>2.1681749460412858</v>
      </c>
      <c r="AT81" s="18">
        <f>_xlfn.IFNA(INDEX(SAM!$B$8:$HC$215,MATCH($AL81,SAM!$A$8:$A$215,0),MATCH(AT$48,SAM!$B$7:$HC$7,0)),0)</f>
        <v>2.529598877432595</v>
      </c>
      <c r="AU81" s="18">
        <f>_xlfn.IFNA(INDEX(SAM!$B$8:$HC$215,MATCH($AL81,SAM!$A$8:$A$215,0),MATCH(AU$48,SAM!$B$7:$HC$7,0)),0)</f>
        <v>2.7790332358199934</v>
      </c>
      <c r="AV81" s="18">
        <f>_xlfn.IFNA(INDEX(SAM!$B$8:$HC$215,MATCH($AL81,SAM!$A$8:$A$215,0),MATCH(AV$48,SAM!$B$7:$HC$7,0)),0)</f>
        <v>3.2033960371472467</v>
      </c>
      <c r="AW81" s="18">
        <f>_xlfn.IFNA(INDEX(SAM!$B$8:$HC$215,MATCH($AL81,SAM!$A$8:$A$215,0),MATCH(AW$48,SAM!$B$7:$HC$7,0)),0)</f>
        <v>0.84983886360796523</v>
      </c>
      <c r="AX81" s="18">
        <f>_xlfn.IFNA(INDEX(SAM!$B$8:$HC$215,MATCH($AL81,SAM!$A$8:$A$215,0),MATCH(AX$48,SAM!$B$7:$HC$7,0)),0)</f>
        <v>1.7103982845847776</v>
      </c>
      <c r="AY81" s="18">
        <f>_xlfn.IFNA(INDEX(SAM!$B$8:$HC$215,MATCH($AL81,SAM!$A$8:$A$215,0),MATCH(AY$48,SAM!$B$7:$HC$7,0)),0)</f>
        <v>2.7923394628426244</v>
      </c>
      <c r="AZ81" s="18">
        <f>_xlfn.IFNA(INDEX(SAM!$B$8:$HC$215,MATCH($AL81,SAM!$A$8:$A$215,0),MATCH(AZ$48,SAM!$B$7:$HC$7,0)),0)</f>
        <v>5.0977823868050374</v>
      </c>
      <c r="BA81" s="18">
        <f>_xlfn.IFNA(INDEX(SAM!$B$8:$HC$215,MATCH($AL81,SAM!$A$8:$A$215,0),MATCH(BA$48,SAM!$B$7:$HC$7,0)),0)</f>
        <v>44.071376582733826</v>
      </c>
      <c r="BB81" s="18"/>
      <c r="BC81" t="str">
        <f t="shared" si="155"/>
        <v>achem</v>
      </c>
      <c r="BD81" s="18">
        <f>_xlfn.IFNA(INDEX(SAM!$B$8:$HC$215,MATCH($BC81,SAM!$A$8:$A$215,0),MATCH(BD$48,SAM!$B$7:$HC$7,0)),0)</f>
        <v>0</v>
      </c>
      <c r="BE81" s="18">
        <f>_xlfn.IFNA(INDEX(SAM!$B$8:$HC$215,MATCH($BC81,SAM!$A$8:$A$215,0),MATCH(BE$48,SAM!$B$7:$HC$7,0)),0)</f>
        <v>0</v>
      </c>
      <c r="BF81" s="18">
        <f>_xlfn.IFNA(INDEX(SAM!$B$8:$HC$215,MATCH($BC81,SAM!$A$8:$A$215,0),MATCH(BF$48,SAM!$B$7:$HC$7,0)),0)</f>
        <v>0</v>
      </c>
      <c r="BG81" s="18">
        <f>_xlfn.IFNA(INDEX(SAM!$B$8:$HC$215,MATCH($BC81,SAM!$A$8:$A$215,0),MATCH(BG$48,SAM!$B$7:$HC$7,0)),0)</f>
        <v>0</v>
      </c>
      <c r="BH81" s="18">
        <f>_xlfn.IFNA(INDEX(SAM!$B$8:$HC$215,MATCH($BC81,SAM!$A$8:$A$215,0),MATCH(BH$48,SAM!$B$7:$HC$7,0)),0)</f>
        <v>0</v>
      </c>
      <c r="BI81" s="18">
        <f>_xlfn.IFNA(INDEX(SAM!$B$8:$HC$215,MATCH($BC81,SAM!$A$8:$A$215,0),MATCH(BI$48,SAM!$B$7:$HC$7,0)),0)</f>
        <v>0</v>
      </c>
      <c r="BJ81" s="18">
        <f>_xlfn.IFNA(INDEX(SAM!$B$8:$HC$215,MATCH($BC81,SAM!$A$8:$A$215,0),MATCH(BJ$48,SAM!$B$7:$HC$7,0)),0)</f>
        <v>0</v>
      </c>
      <c r="BK81" s="18">
        <f>_xlfn.IFNA(INDEX(SAM!$B$8:$HC$215,MATCH($BC81,SAM!$A$8:$A$215,0),MATCH(BK$48,SAM!$B$7:$HC$7,0)),0)</f>
        <v>0</v>
      </c>
      <c r="BL81" s="18">
        <f>_xlfn.IFNA(INDEX(SAM!$B$8:$HC$215,MATCH($BC81,SAM!$A$8:$A$215,0),MATCH(BL$48,SAM!$B$7:$HC$7,0)),0)</f>
        <v>0</v>
      </c>
      <c r="BM81" s="18">
        <f>_xlfn.IFNA(INDEX(SAM!$B$8:$HC$215,MATCH($BC81,SAM!$A$8:$A$215,0),MATCH(BM$48,SAM!$B$7:$HC$7,0)),0)</f>
        <v>0</v>
      </c>
      <c r="BN81" s="18">
        <f>_xlfn.IFNA(INDEX(SAM!$B$8:$HC$215,MATCH($BC81,SAM!$A$8:$A$215,0),MATCH(BN$48,SAM!$B$7:$HC$7,0)),0)</f>
        <v>0</v>
      </c>
      <c r="BO81" s="18">
        <f>_xlfn.IFNA(INDEX(SAM!$B$8:$HC$215,MATCH($BC81,SAM!$A$8:$A$215,0),MATCH(BO$48,SAM!$B$7:$HC$7,0)),0)</f>
        <v>0</v>
      </c>
      <c r="BP81" s="18">
        <f>_xlfn.IFNA(INDEX(SAM!$B$8:$HC$215,MATCH($BC81,SAM!$A$8:$A$215,0),MATCH(BP$48,SAM!$B$7:$HC$7,0)),0)</f>
        <v>0</v>
      </c>
      <c r="BQ81" s="18">
        <f>_xlfn.IFNA(INDEX(SAM!$B$8:$HC$215,MATCH($BC81,SAM!$A$8:$A$215,0),MATCH(BQ$48,SAM!$B$7:$HC$7,0)),0)</f>
        <v>0</v>
      </c>
      <c r="BR81" s="18">
        <f>_xlfn.IFNA(INDEX(SAM!$B$8:$HC$215,MATCH($BC81,SAM!$A$8:$A$215,0),MATCH(BR$48,SAM!$B$7:$HC$7,0)),0)</f>
        <v>0</v>
      </c>
      <c r="BT81" t="str">
        <f t="shared" si="109"/>
        <v>cchem</v>
      </c>
      <c r="BU81" s="7">
        <f t="shared" si="110"/>
        <v>133.67542913056403</v>
      </c>
      <c r="BW81" s="51" t="s">
        <v>197</v>
      </c>
      <c r="BX81" s="43">
        <f t="shared" si="116"/>
        <v>0.27385178489869638</v>
      </c>
    </row>
    <row r="82" spans="1:76" x14ac:dyDescent="0.25">
      <c r="A82" t="str">
        <f t="shared" si="136"/>
        <v>manufacturing</v>
      </c>
      <c r="B82" t="s">
        <v>40</v>
      </c>
      <c r="C82" s="18">
        <f t="shared" si="79"/>
        <v>0.2225434478643582</v>
      </c>
      <c r="D82" s="18">
        <f t="shared" si="80"/>
        <v>0.22862953487488707</v>
      </c>
      <c r="E82" s="18">
        <f t="shared" si="81"/>
        <v>0.26744306974490023</v>
      </c>
      <c r="F82" s="18">
        <f t="shared" si="82"/>
        <v>0.2844885527431148</v>
      </c>
      <c r="G82" s="18">
        <f t="shared" si="83"/>
        <v>0.33929412261086966</v>
      </c>
      <c r="H82" s="18">
        <f t="shared" si="84"/>
        <v>0.22665297553265756</v>
      </c>
      <c r="I82" s="18">
        <f t="shared" si="85"/>
        <v>0.23827479459089104</v>
      </c>
      <c r="J82" s="18">
        <f t="shared" si="86"/>
        <v>0.27209798412674863</v>
      </c>
      <c r="K82" s="18">
        <f t="shared" si="87"/>
        <v>0.31242175748548212</v>
      </c>
      <c r="L82" s="18">
        <f t="shared" si="88"/>
        <v>0.38593737745887224</v>
      </c>
      <c r="M82" s="18">
        <f t="shared" si="89"/>
        <v>0.20324478553824282</v>
      </c>
      <c r="N82" s="18">
        <f t="shared" si="90"/>
        <v>0.2041477227644449</v>
      </c>
      <c r="O82" s="18">
        <f t="shared" si="91"/>
        <v>0.25342351837221661</v>
      </c>
      <c r="P82" s="18">
        <f t="shared" si="92"/>
        <v>0.2723457980160639</v>
      </c>
      <c r="Q82" s="18">
        <f t="shared" si="93"/>
        <v>0.2766982890704105</v>
      </c>
      <c r="R82" s="18">
        <f t="shared" si="94"/>
        <v>0.28099042913641858</v>
      </c>
      <c r="T82" t="str">
        <f t="shared" si="137"/>
        <v>nmet</v>
      </c>
      <c r="U82" s="18">
        <f t="shared" si="138"/>
        <v>0.6543246547709346</v>
      </c>
      <c r="V82" s="18">
        <f t="shared" si="139"/>
        <v>0.99576985114108363</v>
      </c>
      <c r="W82" s="18">
        <f t="shared" si="140"/>
        <v>1.598141121988633</v>
      </c>
      <c r="X82" s="18">
        <f t="shared" si="141"/>
        <v>2.4447192629357155</v>
      </c>
      <c r="Y82" s="18">
        <f t="shared" si="142"/>
        <v>3.2281565554995093</v>
      </c>
      <c r="Z82" s="18">
        <f t="shared" si="143"/>
        <v>0.12832104536749472</v>
      </c>
      <c r="AA82" s="18">
        <f t="shared" si="144"/>
        <v>0.20114911562720944</v>
      </c>
      <c r="AB82" s="18">
        <f t="shared" si="145"/>
        <v>0.2783025144552097</v>
      </c>
      <c r="AC82" s="18">
        <f t="shared" si="146"/>
        <v>0.40855337384118456</v>
      </c>
      <c r="AD82" s="18">
        <f t="shared" si="147"/>
        <v>0.64506846029183873</v>
      </c>
      <c r="AE82" s="18">
        <f t="shared" si="148"/>
        <v>5.9371122208223902E-2</v>
      </c>
      <c r="AF82" s="18">
        <f t="shared" si="149"/>
        <v>0.12436287411042922</v>
      </c>
      <c r="AG82" s="18">
        <f t="shared" si="150"/>
        <v>0.26380035819663272</v>
      </c>
      <c r="AH82" s="18">
        <f t="shared" si="151"/>
        <v>0.60263603793539855</v>
      </c>
      <c r="AI82" s="18">
        <f t="shared" si="152"/>
        <v>8.1987305094702254</v>
      </c>
      <c r="AJ82" s="18">
        <f t="shared" si="153"/>
        <v>19.831406857839724</v>
      </c>
      <c r="AL82" t="str">
        <f t="shared" si="154"/>
        <v>cnmet</v>
      </c>
      <c r="AM82" s="18">
        <f>_xlfn.IFNA(INDEX(SAM!$B$8:$HC$215,MATCH($AL82,SAM!$A$8:$A$215,0),MATCH(AM$48,SAM!$B$7:$HC$7,0)),0)</f>
        <v>0.6543246547709346</v>
      </c>
      <c r="AN82" s="18">
        <f>_xlfn.IFNA(INDEX(SAM!$B$8:$HC$215,MATCH($AL82,SAM!$A$8:$A$215,0),MATCH(AN$48,SAM!$B$7:$HC$7,0)),0)</f>
        <v>0.99576985114108363</v>
      </c>
      <c r="AO82" s="18">
        <f>_xlfn.IFNA(INDEX(SAM!$B$8:$HC$215,MATCH($AL82,SAM!$A$8:$A$215,0),MATCH(AO$48,SAM!$B$7:$HC$7,0)),0)</f>
        <v>1.598141121988633</v>
      </c>
      <c r="AP82" s="18">
        <f>_xlfn.IFNA(INDEX(SAM!$B$8:$HC$215,MATCH($AL82,SAM!$A$8:$A$215,0),MATCH(AP$48,SAM!$B$7:$HC$7,0)),0)</f>
        <v>2.4447192629357155</v>
      </c>
      <c r="AQ82" s="18">
        <f>_xlfn.IFNA(INDEX(SAM!$B$8:$HC$215,MATCH($AL82,SAM!$A$8:$A$215,0),MATCH(AQ$48,SAM!$B$7:$HC$7,0)),0)</f>
        <v>3.2281565554995093</v>
      </c>
      <c r="AR82" s="18">
        <f>_xlfn.IFNA(INDEX(SAM!$B$8:$HC$215,MATCH($AL82,SAM!$A$8:$A$215,0),MATCH(AR$48,SAM!$B$7:$HC$7,0)),0)</f>
        <v>0.12832104536749472</v>
      </c>
      <c r="AS82" s="18">
        <f>_xlfn.IFNA(INDEX(SAM!$B$8:$HC$215,MATCH($AL82,SAM!$A$8:$A$215,0),MATCH(AS$48,SAM!$B$7:$HC$7,0)),0)</f>
        <v>0.20114911562720944</v>
      </c>
      <c r="AT82" s="18">
        <f>_xlfn.IFNA(INDEX(SAM!$B$8:$HC$215,MATCH($AL82,SAM!$A$8:$A$215,0),MATCH(AT$48,SAM!$B$7:$HC$7,0)),0)</f>
        <v>0.2783025144552097</v>
      </c>
      <c r="AU82" s="18">
        <f>_xlfn.IFNA(INDEX(SAM!$B$8:$HC$215,MATCH($AL82,SAM!$A$8:$A$215,0),MATCH(AU$48,SAM!$B$7:$HC$7,0)),0)</f>
        <v>0.40855337384118456</v>
      </c>
      <c r="AV82" s="18">
        <f>_xlfn.IFNA(INDEX(SAM!$B$8:$HC$215,MATCH($AL82,SAM!$A$8:$A$215,0),MATCH(AV$48,SAM!$B$7:$HC$7,0)),0)</f>
        <v>0.64506846029183873</v>
      </c>
      <c r="AW82" s="18">
        <f>_xlfn.IFNA(INDEX(SAM!$B$8:$HC$215,MATCH($AL82,SAM!$A$8:$A$215,0),MATCH(AW$48,SAM!$B$7:$HC$7,0)),0)</f>
        <v>5.9371122208223902E-2</v>
      </c>
      <c r="AX82" s="18">
        <f>_xlfn.IFNA(INDEX(SAM!$B$8:$HC$215,MATCH($AL82,SAM!$A$8:$A$215,0),MATCH(AX$48,SAM!$B$7:$HC$7,0)),0)</f>
        <v>0.12436287411042922</v>
      </c>
      <c r="AY82" s="18">
        <f>_xlfn.IFNA(INDEX(SAM!$B$8:$HC$215,MATCH($AL82,SAM!$A$8:$A$215,0),MATCH(AY$48,SAM!$B$7:$HC$7,0)),0)</f>
        <v>0.26380035819663272</v>
      </c>
      <c r="AZ82" s="18">
        <f>_xlfn.IFNA(INDEX(SAM!$B$8:$HC$215,MATCH($AL82,SAM!$A$8:$A$215,0),MATCH(AZ$48,SAM!$B$7:$HC$7,0)),0)</f>
        <v>0.60263603793539855</v>
      </c>
      <c r="BA82" s="18">
        <f>_xlfn.IFNA(INDEX(SAM!$B$8:$HC$215,MATCH($AL82,SAM!$A$8:$A$215,0),MATCH(BA$48,SAM!$B$7:$HC$7,0)),0)</f>
        <v>8.1987305094702254</v>
      </c>
      <c r="BB82" s="18"/>
      <c r="BC82" t="str">
        <f t="shared" si="155"/>
        <v>anmet</v>
      </c>
      <c r="BD82" s="18">
        <f>_xlfn.IFNA(INDEX(SAM!$B$8:$HC$215,MATCH($BC82,SAM!$A$8:$A$215,0),MATCH(BD$48,SAM!$B$7:$HC$7,0)),0)</f>
        <v>0</v>
      </c>
      <c r="BE82" s="18">
        <f>_xlfn.IFNA(INDEX(SAM!$B$8:$HC$215,MATCH($BC82,SAM!$A$8:$A$215,0),MATCH(BE$48,SAM!$B$7:$HC$7,0)),0)</f>
        <v>0</v>
      </c>
      <c r="BF82" s="18">
        <f>_xlfn.IFNA(INDEX(SAM!$B$8:$HC$215,MATCH($BC82,SAM!$A$8:$A$215,0),MATCH(BF$48,SAM!$B$7:$HC$7,0)),0)</f>
        <v>0</v>
      </c>
      <c r="BG82" s="18">
        <f>_xlfn.IFNA(INDEX(SAM!$B$8:$HC$215,MATCH($BC82,SAM!$A$8:$A$215,0),MATCH(BG$48,SAM!$B$7:$HC$7,0)),0)</f>
        <v>0</v>
      </c>
      <c r="BH82" s="18">
        <f>_xlfn.IFNA(INDEX(SAM!$B$8:$HC$215,MATCH($BC82,SAM!$A$8:$A$215,0),MATCH(BH$48,SAM!$B$7:$HC$7,0)),0)</f>
        <v>0</v>
      </c>
      <c r="BI82" s="18">
        <f>_xlfn.IFNA(INDEX(SAM!$B$8:$HC$215,MATCH($BC82,SAM!$A$8:$A$215,0),MATCH(BI$48,SAM!$B$7:$HC$7,0)),0)</f>
        <v>0</v>
      </c>
      <c r="BJ82" s="18">
        <f>_xlfn.IFNA(INDEX(SAM!$B$8:$HC$215,MATCH($BC82,SAM!$A$8:$A$215,0),MATCH(BJ$48,SAM!$B$7:$HC$7,0)),0)</f>
        <v>0</v>
      </c>
      <c r="BK82" s="18">
        <f>_xlfn.IFNA(INDEX(SAM!$B$8:$HC$215,MATCH($BC82,SAM!$A$8:$A$215,0),MATCH(BK$48,SAM!$B$7:$HC$7,0)),0)</f>
        <v>0</v>
      </c>
      <c r="BL82" s="18">
        <f>_xlfn.IFNA(INDEX(SAM!$B$8:$HC$215,MATCH($BC82,SAM!$A$8:$A$215,0),MATCH(BL$48,SAM!$B$7:$HC$7,0)),0)</f>
        <v>0</v>
      </c>
      <c r="BM82" s="18">
        <f>_xlfn.IFNA(INDEX(SAM!$B$8:$HC$215,MATCH($BC82,SAM!$A$8:$A$215,0),MATCH(BM$48,SAM!$B$7:$HC$7,0)),0)</f>
        <v>0</v>
      </c>
      <c r="BN82" s="18">
        <f>_xlfn.IFNA(INDEX(SAM!$B$8:$HC$215,MATCH($BC82,SAM!$A$8:$A$215,0),MATCH(BN$48,SAM!$B$7:$HC$7,0)),0)</f>
        <v>0</v>
      </c>
      <c r="BO82" s="18">
        <f>_xlfn.IFNA(INDEX(SAM!$B$8:$HC$215,MATCH($BC82,SAM!$A$8:$A$215,0),MATCH(BO$48,SAM!$B$7:$HC$7,0)),0)</f>
        <v>0</v>
      </c>
      <c r="BP82" s="18">
        <f>_xlfn.IFNA(INDEX(SAM!$B$8:$HC$215,MATCH($BC82,SAM!$A$8:$A$215,0),MATCH(BP$48,SAM!$B$7:$HC$7,0)),0)</f>
        <v>0</v>
      </c>
      <c r="BQ82" s="18">
        <f>_xlfn.IFNA(INDEX(SAM!$B$8:$HC$215,MATCH($BC82,SAM!$A$8:$A$215,0),MATCH(BQ$48,SAM!$B$7:$HC$7,0)),0)</f>
        <v>0</v>
      </c>
      <c r="BR82" s="18">
        <f>_xlfn.IFNA(INDEX(SAM!$B$8:$HC$215,MATCH($BC82,SAM!$A$8:$A$215,0),MATCH(BR$48,SAM!$B$7:$HC$7,0)),0)</f>
        <v>0</v>
      </c>
      <c r="BT82" t="str">
        <f t="shared" si="109"/>
        <v>cnmet</v>
      </c>
      <c r="BU82" s="7">
        <f t="shared" si="110"/>
        <v>19.831406857839724</v>
      </c>
      <c r="BW82" s="51" t="s">
        <v>198</v>
      </c>
      <c r="BX82" s="43">
        <f t="shared" si="116"/>
        <v>1.0665757691621724</v>
      </c>
    </row>
    <row r="83" spans="1:76" x14ac:dyDescent="0.25">
      <c r="A83" t="str">
        <f t="shared" si="136"/>
        <v>manufacturing</v>
      </c>
      <c r="B83" t="s">
        <v>41</v>
      </c>
      <c r="C83" s="18">
        <f t="shared" si="79"/>
        <v>7.3656655371366828E-2</v>
      </c>
      <c r="D83" s="18">
        <f t="shared" si="80"/>
        <v>8.5154018496002598E-2</v>
      </c>
      <c r="E83" s="18">
        <f t="shared" si="81"/>
        <v>8.669066137460292E-2</v>
      </c>
      <c r="F83" s="18">
        <f t="shared" si="82"/>
        <v>8.5098107562911668E-2</v>
      </c>
      <c r="G83" s="18">
        <f t="shared" si="83"/>
        <v>8.5005657384770311E-2</v>
      </c>
      <c r="H83" s="18">
        <f t="shared" si="84"/>
        <v>8.1450160790502407E-2</v>
      </c>
      <c r="I83" s="18">
        <f t="shared" si="85"/>
        <v>8.3973677910351707E-2</v>
      </c>
      <c r="J83" s="18">
        <f t="shared" si="86"/>
        <v>9.3608636973816078E-2</v>
      </c>
      <c r="K83" s="18">
        <f t="shared" si="87"/>
        <v>0.10305316430510816</v>
      </c>
      <c r="L83" s="18">
        <f t="shared" si="88"/>
        <v>0.10672424068231952</v>
      </c>
      <c r="M83" s="18">
        <f t="shared" si="89"/>
        <v>5.7717242569890172E-2</v>
      </c>
      <c r="N83" s="18">
        <f t="shared" si="90"/>
        <v>5.1858588064250775E-2</v>
      </c>
      <c r="O83" s="18">
        <f t="shared" si="91"/>
        <v>6.0222634531748177E-2</v>
      </c>
      <c r="P83" s="18">
        <f t="shared" si="92"/>
        <v>9.9549632424695764E-2</v>
      </c>
      <c r="Q83" s="18">
        <f t="shared" si="93"/>
        <v>6.7173354947073771E-2</v>
      </c>
      <c r="R83" s="18">
        <f t="shared" si="94"/>
        <v>7.7833288438503234E-2</v>
      </c>
      <c r="T83" t="str">
        <f t="shared" si="137"/>
        <v>metl</v>
      </c>
      <c r="U83" s="18">
        <f t="shared" si="138"/>
        <v>0.21656609556452419</v>
      </c>
      <c r="V83" s="18">
        <f t="shared" si="139"/>
        <v>0.3708786109731243</v>
      </c>
      <c r="W83" s="18">
        <f t="shared" si="140"/>
        <v>0.51803141119825713</v>
      </c>
      <c r="X83" s="18">
        <f t="shared" si="141"/>
        <v>0.73128068174426986</v>
      </c>
      <c r="Y83" s="18">
        <f t="shared" si="142"/>
        <v>0.80877195286966186</v>
      </c>
      <c r="Z83" s="18">
        <f t="shared" si="143"/>
        <v>4.6113534373087656E-2</v>
      </c>
      <c r="AA83" s="18">
        <f t="shared" si="144"/>
        <v>7.0889709826979369E-2</v>
      </c>
      <c r="AB83" s="18">
        <f t="shared" si="145"/>
        <v>9.5743153438441558E-2</v>
      </c>
      <c r="AC83" s="18">
        <f t="shared" si="146"/>
        <v>0.13476243876458682</v>
      </c>
      <c r="AD83" s="18">
        <f t="shared" si="147"/>
        <v>0.17838241547385739</v>
      </c>
      <c r="AE83" s="18">
        <f t="shared" si="148"/>
        <v>1.6860149464911475E-2</v>
      </c>
      <c r="AF83" s="18">
        <f t="shared" si="149"/>
        <v>3.1591256427682561E-2</v>
      </c>
      <c r="AG83" s="18">
        <f t="shared" si="150"/>
        <v>6.2688548651930381E-2</v>
      </c>
      <c r="AH83" s="18">
        <f t="shared" si="151"/>
        <v>0.2202794994428568</v>
      </c>
      <c r="AI83" s="18">
        <f t="shared" si="152"/>
        <v>1.9903853994843548</v>
      </c>
      <c r="AJ83" s="18">
        <f t="shared" si="153"/>
        <v>5.4932248576985252</v>
      </c>
      <c r="AL83" t="str">
        <f t="shared" si="154"/>
        <v>cmetl</v>
      </c>
      <c r="AM83" s="18">
        <f>_xlfn.IFNA(INDEX(SAM!$B$8:$HC$215,MATCH($AL83,SAM!$A$8:$A$215,0),MATCH(AM$48,SAM!$B$7:$HC$7,0)),0)</f>
        <v>0.21656609556452419</v>
      </c>
      <c r="AN83" s="18">
        <f>_xlfn.IFNA(INDEX(SAM!$B$8:$HC$215,MATCH($AL83,SAM!$A$8:$A$215,0),MATCH(AN$48,SAM!$B$7:$HC$7,0)),0)</f>
        <v>0.3708786109731243</v>
      </c>
      <c r="AO83" s="18">
        <f>_xlfn.IFNA(INDEX(SAM!$B$8:$HC$215,MATCH($AL83,SAM!$A$8:$A$215,0),MATCH(AO$48,SAM!$B$7:$HC$7,0)),0)</f>
        <v>0.51803141119825713</v>
      </c>
      <c r="AP83" s="18">
        <f>_xlfn.IFNA(INDEX(SAM!$B$8:$HC$215,MATCH($AL83,SAM!$A$8:$A$215,0),MATCH(AP$48,SAM!$B$7:$HC$7,0)),0)</f>
        <v>0.73128068174426986</v>
      </c>
      <c r="AQ83" s="18">
        <f>_xlfn.IFNA(INDEX(SAM!$B$8:$HC$215,MATCH($AL83,SAM!$A$8:$A$215,0),MATCH(AQ$48,SAM!$B$7:$HC$7,0)),0)</f>
        <v>0.80877195286966186</v>
      </c>
      <c r="AR83" s="18">
        <f>_xlfn.IFNA(INDEX(SAM!$B$8:$HC$215,MATCH($AL83,SAM!$A$8:$A$215,0),MATCH(AR$48,SAM!$B$7:$HC$7,0)),0)</f>
        <v>4.6113534373087656E-2</v>
      </c>
      <c r="AS83" s="18">
        <f>_xlfn.IFNA(INDEX(SAM!$B$8:$HC$215,MATCH($AL83,SAM!$A$8:$A$215,0),MATCH(AS$48,SAM!$B$7:$HC$7,0)),0)</f>
        <v>7.0889709826979369E-2</v>
      </c>
      <c r="AT83" s="18">
        <f>_xlfn.IFNA(INDEX(SAM!$B$8:$HC$215,MATCH($AL83,SAM!$A$8:$A$215,0),MATCH(AT$48,SAM!$B$7:$HC$7,0)),0)</f>
        <v>9.5743153438441558E-2</v>
      </c>
      <c r="AU83" s="18">
        <f>_xlfn.IFNA(INDEX(SAM!$B$8:$HC$215,MATCH($AL83,SAM!$A$8:$A$215,0),MATCH(AU$48,SAM!$B$7:$HC$7,0)),0)</f>
        <v>0.13476243876458682</v>
      </c>
      <c r="AV83" s="18">
        <f>_xlfn.IFNA(INDEX(SAM!$B$8:$HC$215,MATCH($AL83,SAM!$A$8:$A$215,0),MATCH(AV$48,SAM!$B$7:$HC$7,0)),0)</f>
        <v>0.17838241547385739</v>
      </c>
      <c r="AW83" s="18">
        <f>_xlfn.IFNA(INDEX(SAM!$B$8:$HC$215,MATCH($AL83,SAM!$A$8:$A$215,0),MATCH(AW$48,SAM!$B$7:$HC$7,0)),0)</f>
        <v>1.6860149464911475E-2</v>
      </c>
      <c r="AX83" s="18">
        <f>_xlfn.IFNA(INDEX(SAM!$B$8:$HC$215,MATCH($AL83,SAM!$A$8:$A$215,0),MATCH(AX$48,SAM!$B$7:$HC$7,0)),0)</f>
        <v>3.1591256427682561E-2</v>
      </c>
      <c r="AY83" s="18">
        <f>_xlfn.IFNA(INDEX(SAM!$B$8:$HC$215,MATCH($AL83,SAM!$A$8:$A$215,0),MATCH(AY$48,SAM!$B$7:$HC$7,0)),0)</f>
        <v>6.2688548651930381E-2</v>
      </c>
      <c r="AZ83" s="18">
        <f>_xlfn.IFNA(INDEX(SAM!$B$8:$HC$215,MATCH($AL83,SAM!$A$8:$A$215,0),MATCH(AZ$48,SAM!$B$7:$HC$7,0)),0)</f>
        <v>0.2202794994428568</v>
      </c>
      <c r="BA83" s="18">
        <f>_xlfn.IFNA(INDEX(SAM!$B$8:$HC$215,MATCH($AL83,SAM!$A$8:$A$215,0),MATCH(BA$48,SAM!$B$7:$HC$7,0)),0)</f>
        <v>1.9903853994843548</v>
      </c>
      <c r="BB83" s="18"/>
      <c r="BC83" t="str">
        <f t="shared" si="155"/>
        <v>ametl</v>
      </c>
      <c r="BD83" s="18">
        <f>_xlfn.IFNA(INDEX(SAM!$B$8:$HC$215,MATCH($BC83,SAM!$A$8:$A$215,0),MATCH(BD$48,SAM!$B$7:$HC$7,0)),0)</f>
        <v>0</v>
      </c>
      <c r="BE83" s="18">
        <f>_xlfn.IFNA(INDEX(SAM!$B$8:$HC$215,MATCH($BC83,SAM!$A$8:$A$215,0),MATCH(BE$48,SAM!$B$7:$HC$7,0)),0)</f>
        <v>0</v>
      </c>
      <c r="BF83" s="18">
        <f>_xlfn.IFNA(INDEX(SAM!$B$8:$HC$215,MATCH($BC83,SAM!$A$8:$A$215,0),MATCH(BF$48,SAM!$B$7:$HC$7,0)),0)</f>
        <v>0</v>
      </c>
      <c r="BG83" s="18">
        <f>_xlfn.IFNA(INDEX(SAM!$B$8:$HC$215,MATCH($BC83,SAM!$A$8:$A$215,0),MATCH(BG$48,SAM!$B$7:$HC$7,0)),0)</f>
        <v>0</v>
      </c>
      <c r="BH83" s="18">
        <f>_xlfn.IFNA(INDEX(SAM!$B$8:$HC$215,MATCH($BC83,SAM!$A$8:$A$215,0),MATCH(BH$48,SAM!$B$7:$HC$7,0)),0)</f>
        <v>0</v>
      </c>
      <c r="BI83" s="18">
        <f>_xlfn.IFNA(INDEX(SAM!$B$8:$HC$215,MATCH($BC83,SAM!$A$8:$A$215,0),MATCH(BI$48,SAM!$B$7:$HC$7,0)),0)</f>
        <v>0</v>
      </c>
      <c r="BJ83" s="18">
        <f>_xlfn.IFNA(INDEX(SAM!$B$8:$HC$215,MATCH($BC83,SAM!$A$8:$A$215,0),MATCH(BJ$48,SAM!$B$7:$HC$7,0)),0)</f>
        <v>0</v>
      </c>
      <c r="BK83" s="18">
        <f>_xlfn.IFNA(INDEX(SAM!$B$8:$HC$215,MATCH($BC83,SAM!$A$8:$A$215,0),MATCH(BK$48,SAM!$B$7:$HC$7,0)),0)</f>
        <v>0</v>
      </c>
      <c r="BL83" s="18">
        <f>_xlfn.IFNA(INDEX(SAM!$B$8:$HC$215,MATCH($BC83,SAM!$A$8:$A$215,0),MATCH(BL$48,SAM!$B$7:$HC$7,0)),0)</f>
        <v>0</v>
      </c>
      <c r="BM83" s="18">
        <f>_xlfn.IFNA(INDEX(SAM!$B$8:$HC$215,MATCH($BC83,SAM!$A$8:$A$215,0),MATCH(BM$48,SAM!$B$7:$HC$7,0)),0)</f>
        <v>0</v>
      </c>
      <c r="BN83" s="18">
        <f>_xlfn.IFNA(INDEX(SAM!$B$8:$HC$215,MATCH($BC83,SAM!$A$8:$A$215,0),MATCH(BN$48,SAM!$B$7:$HC$7,0)),0)</f>
        <v>0</v>
      </c>
      <c r="BO83" s="18">
        <f>_xlfn.IFNA(INDEX(SAM!$B$8:$HC$215,MATCH($BC83,SAM!$A$8:$A$215,0),MATCH(BO$48,SAM!$B$7:$HC$7,0)),0)</f>
        <v>0</v>
      </c>
      <c r="BP83" s="18">
        <f>_xlfn.IFNA(INDEX(SAM!$B$8:$HC$215,MATCH($BC83,SAM!$A$8:$A$215,0),MATCH(BP$48,SAM!$B$7:$HC$7,0)),0)</f>
        <v>0</v>
      </c>
      <c r="BQ83" s="18">
        <f>_xlfn.IFNA(INDEX(SAM!$B$8:$HC$215,MATCH($BC83,SAM!$A$8:$A$215,0),MATCH(BQ$48,SAM!$B$7:$HC$7,0)),0)</f>
        <v>0</v>
      </c>
      <c r="BR83" s="18">
        <f>_xlfn.IFNA(INDEX(SAM!$B$8:$HC$215,MATCH($BC83,SAM!$A$8:$A$215,0),MATCH(BR$48,SAM!$B$7:$HC$7,0)),0)</f>
        <v>0</v>
      </c>
      <c r="BT83" t="str">
        <f t="shared" si="109"/>
        <v>cmetl</v>
      </c>
      <c r="BU83" s="7">
        <f t="shared" si="110"/>
        <v>5.4932248576985252</v>
      </c>
      <c r="BW83" s="51" t="s">
        <v>199</v>
      </c>
      <c r="BX83" s="43">
        <f t="shared" si="116"/>
        <v>1.363566551112485</v>
      </c>
    </row>
    <row r="84" spans="1:76" x14ac:dyDescent="0.25">
      <c r="A84" t="str">
        <f t="shared" si="136"/>
        <v>manufacturing</v>
      </c>
      <c r="B84" t="s">
        <v>42</v>
      </c>
      <c r="C84" s="18">
        <f t="shared" si="79"/>
        <v>1.8482188017348615</v>
      </c>
      <c r="D84" s="18">
        <f t="shared" si="80"/>
        <v>2.1617602847825852</v>
      </c>
      <c r="E84" s="18">
        <f t="shared" si="81"/>
        <v>2.6320092289155292</v>
      </c>
      <c r="F84" s="18">
        <f t="shared" si="82"/>
        <v>3.2659893340888311</v>
      </c>
      <c r="G84" s="18">
        <f t="shared" si="83"/>
        <v>4.4862967637778803</v>
      </c>
      <c r="H84" s="18">
        <f t="shared" si="84"/>
        <v>2.2123652876425837</v>
      </c>
      <c r="I84" s="18">
        <f t="shared" si="85"/>
        <v>2.783094572309408</v>
      </c>
      <c r="J84" s="18">
        <f t="shared" si="86"/>
        <v>2.367637438205048</v>
      </c>
      <c r="K84" s="18">
        <f t="shared" si="87"/>
        <v>3.3714445193408857</v>
      </c>
      <c r="L84" s="18">
        <f t="shared" si="88"/>
        <v>4.5562042371959857</v>
      </c>
      <c r="M84" s="18">
        <f t="shared" si="89"/>
        <v>1.9032900093261671</v>
      </c>
      <c r="N84" s="18">
        <f t="shared" si="90"/>
        <v>1.4315180172208231</v>
      </c>
      <c r="O84" s="18">
        <f t="shared" si="91"/>
        <v>2.8146114662752439</v>
      </c>
      <c r="P84" s="18">
        <f t="shared" si="92"/>
        <v>2.6265160393281191</v>
      </c>
      <c r="Q84" s="18">
        <f t="shared" si="93"/>
        <v>4.2578065807624217</v>
      </c>
      <c r="R84" s="18">
        <f t="shared" si="94"/>
        <v>3.6230919193647337</v>
      </c>
      <c r="T84" t="str">
        <f t="shared" si="137"/>
        <v>mach</v>
      </c>
      <c r="U84" s="18">
        <f t="shared" si="138"/>
        <v>5.4341529305478007</v>
      </c>
      <c r="V84" s="18">
        <f t="shared" si="139"/>
        <v>9.4153002505062933</v>
      </c>
      <c r="W84" s="18">
        <f t="shared" si="140"/>
        <v>15.727916173695167</v>
      </c>
      <c r="X84" s="18">
        <f t="shared" si="141"/>
        <v>28.065899174506576</v>
      </c>
      <c r="Y84" s="18">
        <f t="shared" si="142"/>
        <v>42.684111933514039</v>
      </c>
      <c r="Z84" s="18">
        <f t="shared" si="143"/>
        <v>1.2525448906103129</v>
      </c>
      <c r="AA84" s="18">
        <f t="shared" si="144"/>
        <v>2.349459634990386</v>
      </c>
      <c r="AB84" s="18">
        <f t="shared" si="145"/>
        <v>2.4216256305074952</v>
      </c>
      <c r="AC84" s="18">
        <f t="shared" si="146"/>
        <v>4.4088319718228863</v>
      </c>
      <c r="AD84" s="18">
        <f t="shared" si="147"/>
        <v>7.615390018491718</v>
      </c>
      <c r="AE84" s="18">
        <f t="shared" si="148"/>
        <v>0.55598210523405112</v>
      </c>
      <c r="AF84" s="18">
        <f t="shared" si="149"/>
        <v>0.87205329822787736</v>
      </c>
      <c r="AG84" s="18">
        <f t="shared" si="150"/>
        <v>2.9298603292896295</v>
      </c>
      <c r="AH84" s="18">
        <f t="shared" si="151"/>
        <v>5.8118510769940803</v>
      </c>
      <c r="AI84" s="18">
        <f t="shared" si="152"/>
        <v>126.16127419651986</v>
      </c>
      <c r="AJ84" s="18">
        <f t="shared" si="153"/>
        <v>255.70625361545817</v>
      </c>
      <c r="AL84" t="str">
        <f t="shared" si="154"/>
        <v>cmach</v>
      </c>
      <c r="AM84" s="18">
        <f>_xlfn.IFNA(INDEX(SAM!$B$8:$HC$215,MATCH($AL84,SAM!$A$8:$A$215,0),MATCH(AM$48,SAM!$B$7:$HC$7,0)),0)</f>
        <v>5.4341529305478007</v>
      </c>
      <c r="AN84" s="18">
        <f>_xlfn.IFNA(INDEX(SAM!$B$8:$HC$215,MATCH($AL84,SAM!$A$8:$A$215,0),MATCH(AN$48,SAM!$B$7:$HC$7,0)),0)</f>
        <v>9.4153002505062933</v>
      </c>
      <c r="AO84" s="18">
        <f>_xlfn.IFNA(INDEX(SAM!$B$8:$HC$215,MATCH($AL84,SAM!$A$8:$A$215,0),MATCH(AO$48,SAM!$B$7:$HC$7,0)),0)</f>
        <v>15.727916173695167</v>
      </c>
      <c r="AP84" s="18">
        <f>_xlfn.IFNA(INDEX(SAM!$B$8:$HC$215,MATCH($AL84,SAM!$A$8:$A$215,0),MATCH(AP$48,SAM!$B$7:$HC$7,0)),0)</f>
        <v>28.065899174506576</v>
      </c>
      <c r="AQ84" s="18">
        <f>_xlfn.IFNA(INDEX(SAM!$B$8:$HC$215,MATCH($AL84,SAM!$A$8:$A$215,0),MATCH(AQ$48,SAM!$B$7:$HC$7,0)),0)</f>
        <v>42.684111933514039</v>
      </c>
      <c r="AR84" s="18">
        <f>_xlfn.IFNA(INDEX(SAM!$B$8:$HC$215,MATCH($AL84,SAM!$A$8:$A$215,0),MATCH(AR$48,SAM!$B$7:$HC$7,0)),0)</f>
        <v>1.2525448906103129</v>
      </c>
      <c r="AS84" s="18">
        <f>_xlfn.IFNA(INDEX(SAM!$B$8:$HC$215,MATCH($AL84,SAM!$A$8:$A$215,0),MATCH(AS$48,SAM!$B$7:$HC$7,0)),0)</f>
        <v>2.349459634990386</v>
      </c>
      <c r="AT84" s="18">
        <f>_xlfn.IFNA(INDEX(SAM!$B$8:$HC$215,MATCH($AL84,SAM!$A$8:$A$215,0),MATCH(AT$48,SAM!$B$7:$HC$7,0)),0)</f>
        <v>2.4216256305074952</v>
      </c>
      <c r="AU84" s="18">
        <f>_xlfn.IFNA(INDEX(SAM!$B$8:$HC$215,MATCH($AL84,SAM!$A$8:$A$215,0),MATCH(AU$48,SAM!$B$7:$HC$7,0)),0)</f>
        <v>4.4088319718228863</v>
      </c>
      <c r="AV84" s="18">
        <f>_xlfn.IFNA(INDEX(SAM!$B$8:$HC$215,MATCH($AL84,SAM!$A$8:$A$215,0),MATCH(AV$48,SAM!$B$7:$HC$7,0)),0)</f>
        <v>7.615390018491718</v>
      </c>
      <c r="AW84" s="18">
        <f>_xlfn.IFNA(INDEX(SAM!$B$8:$HC$215,MATCH($AL84,SAM!$A$8:$A$215,0),MATCH(AW$48,SAM!$B$7:$HC$7,0)),0)</f>
        <v>0.55598210523405112</v>
      </c>
      <c r="AX84" s="18">
        <f>_xlfn.IFNA(INDEX(SAM!$B$8:$HC$215,MATCH($AL84,SAM!$A$8:$A$215,0),MATCH(AX$48,SAM!$B$7:$HC$7,0)),0)</f>
        <v>0.87205329822787736</v>
      </c>
      <c r="AY84" s="18">
        <f>_xlfn.IFNA(INDEX(SAM!$B$8:$HC$215,MATCH($AL84,SAM!$A$8:$A$215,0),MATCH(AY$48,SAM!$B$7:$HC$7,0)),0)</f>
        <v>2.9298603292896295</v>
      </c>
      <c r="AZ84" s="18">
        <f>_xlfn.IFNA(INDEX(SAM!$B$8:$HC$215,MATCH($AL84,SAM!$A$8:$A$215,0),MATCH(AZ$48,SAM!$B$7:$HC$7,0)),0)</f>
        <v>5.8118510769940803</v>
      </c>
      <c r="BA84" s="18">
        <f>_xlfn.IFNA(INDEX(SAM!$B$8:$HC$215,MATCH($AL84,SAM!$A$8:$A$215,0),MATCH(BA$48,SAM!$B$7:$HC$7,0)),0)</f>
        <v>126.16127419651986</v>
      </c>
      <c r="BB84" s="18"/>
      <c r="BC84" t="str">
        <f t="shared" si="155"/>
        <v>amach</v>
      </c>
      <c r="BD84" s="18">
        <f>_xlfn.IFNA(INDEX(SAM!$B$8:$HC$215,MATCH($BC84,SAM!$A$8:$A$215,0),MATCH(BD$48,SAM!$B$7:$HC$7,0)),0)</f>
        <v>0</v>
      </c>
      <c r="BE84" s="18">
        <f>_xlfn.IFNA(INDEX(SAM!$B$8:$HC$215,MATCH($BC84,SAM!$A$8:$A$215,0),MATCH(BE$48,SAM!$B$7:$HC$7,0)),0)</f>
        <v>0</v>
      </c>
      <c r="BF84" s="18">
        <f>_xlfn.IFNA(INDEX(SAM!$B$8:$HC$215,MATCH($BC84,SAM!$A$8:$A$215,0),MATCH(BF$48,SAM!$B$7:$HC$7,0)),0)</f>
        <v>0</v>
      </c>
      <c r="BG84" s="18">
        <f>_xlfn.IFNA(INDEX(SAM!$B$8:$HC$215,MATCH($BC84,SAM!$A$8:$A$215,0),MATCH(BG$48,SAM!$B$7:$HC$7,0)),0)</f>
        <v>0</v>
      </c>
      <c r="BH84" s="18">
        <f>_xlfn.IFNA(INDEX(SAM!$B$8:$HC$215,MATCH($BC84,SAM!$A$8:$A$215,0),MATCH(BH$48,SAM!$B$7:$HC$7,0)),0)</f>
        <v>0</v>
      </c>
      <c r="BI84" s="18">
        <f>_xlfn.IFNA(INDEX(SAM!$B$8:$HC$215,MATCH($BC84,SAM!$A$8:$A$215,0),MATCH(BI$48,SAM!$B$7:$HC$7,0)),0)</f>
        <v>0</v>
      </c>
      <c r="BJ84" s="18">
        <f>_xlfn.IFNA(INDEX(SAM!$B$8:$HC$215,MATCH($BC84,SAM!$A$8:$A$215,0),MATCH(BJ$48,SAM!$B$7:$HC$7,0)),0)</f>
        <v>0</v>
      </c>
      <c r="BK84" s="18">
        <f>_xlfn.IFNA(INDEX(SAM!$B$8:$HC$215,MATCH($BC84,SAM!$A$8:$A$215,0),MATCH(BK$48,SAM!$B$7:$HC$7,0)),0)</f>
        <v>0</v>
      </c>
      <c r="BL84" s="18">
        <f>_xlfn.IFNA(INDEX(SAM!$B$8:$HC$215,MATCH($BC84,SAM!$A$8:$A$215,0),MATCH(BL$48,SAM!$B$7:$HC$7,0)),0)</f>
        <v>0</v>
      </c>
      <c r="BM84" s="18">
        <f>_xlfn.IFNA(INDEX(SAM!$B$8:$HC$215,MATCH($BC84,SAM!$A$8:$A$215,0),MATCH(BM$48,SAM!$B$7:$HC$7,0)),0)</f>
        <v>0</v>
      </c>
      <c r="BN84" s="18">
        <f>_xlfn.IFNA(INDEX(SAM!$B$8:$HC$215,MATCH($BC84,SAM!$A$8:$A$215,0),MATCH(BN$48,SAM!$B$7:$HC$7,0)),0)</f>
        <v>0</v>
      </c>
      <c r="BO84" s="18">
        <f>_xlfn.IFNA(INDEX(SAM!$B$8:$HC$215,MATCH($BC84,SAM!$A$8:$A$215,0),MATCH(BO$48,SAM!$B$7:$HC$7,0)),0)</f>
        <v>0</v>
      </c>
      <c r="BP84" s="18">
        <f>_xlfn.IFNA(INDEX(SAM!$B$8:$HC$215,MATCH($BC84,SAM!$A$8:$A$215,0),MATCH(BP$48,SAM!$B$7:$HC$7,0)),0)</f>
        <v>0</v>
      </c>
      <c r="BQ84" s="18">
        <f>_xlfn.IFNA(INDEX(SAM!$B$8:$HC$215,MATCH($BC84,SAM!$A$8:$A$215,0),MATCH(BQ$48,SAM!$B$7:$HC$7,0)),0)</f>
        <v>0</v>
      </c>
      <c r="BR84" s="18">
        <f>_xlfn.IFNA(INDEX(SAM!$B$8:$HC$215,MATCH($BC84,SAM!$A$8:$A$215,0),MATCH(BR$48,SAM!$B$7:$HC$7,0)),0)</f>
        <v>0</v>
      </c>
      <c r="BT84" t="str">
        <f t="shared" si="109"/>
        <v>cmach</v>
      </c>
      <c r="BU84" s="7">
        <f t="shared" si="110"/>
        <v>255.70625361545817</v>
      </c>
      <c r="BW84" s="51" t="s">
        <v>200</v>
      </c>
      <c r="BX84" s="43">
        <f t="shared" si="116"/>
        <v>12.683474916050098</v>
      </c>
    </row>
    <row r="85" spans="1:76" x14ac:dyDescent="0.25">
      <c r="A85" s="26" t="str">
        <f t="shared" si="136"/>
        <v>manufacturing</v>
      </c>
      <c r="B85" s="26" t="s">
        <v>43</v>
      </c>
      <c r="C85" s="45">
        <f t="shared" si="79"/>
        <v>0.20027442163958895</v>
      </c>
      <c r="D85" s="45">
        <f t="shared" si="80"/>
        <v>0.21663945130701662</v>
      </c>
      <c r="E85" s="45">
        <f t="shared" si="81"/>
        <v>0.23565737744628804</v>
      </c>
      <c r="F85" s="45">
        <f t="shared" si="82"/>
        <v>0.26123011605336133</v>
      </c>
      <c r="G85" s="45">
        <f t="shared" si="83"/>
        <v>0.3431653478919518</v>
      </c>
      <c r="H85" s="45">
        <f t="shared" si="84"/>
        <v>0.24688478944373909</v>
      </c>
      <c r="I85" s="45">
        <f t="shared" si="85"/>
        <v>0.2528916245037508</v>
      </c>
      <c r="J85" s="45">
        <f t="shared" si="86"/>
        <v>0.24836168622375851</v>
      </c>
      <c r="K85" s="45">
        <f t="shared" si="87"/>
        <v>0.27289369185236156</v>
      </c>
      <c r="L85" s="45">
        <f t="shared" si="88"/>
        <v>0.37581203395387841</v>
      </c>
      <c r="M85" s="45">
        <f t="shared" si="89"/>
        <v>0.20686232745789238</v>
      </c>
      <c r="N85" s="45">
        <f t="shared" si="90"/>
        <v>0.21926303202792521</v>
      </c>
      <c r="O85" s="45">
        <f t="shared" si="91"/>
        <v>0.24502652101556663</v>
      </c>
      <c r="P85" s="45">
        <f t="shared" si="92"/>
        <v>0.27804874247020583</v>
      </c>
      <c r="Q85" s="45">
        <f t="shared" si="93"/>
        <v>0.41111372744307018</v>
      </c>
      <c r="R85" s="45">
        <f t="shared" si="94"/>
        <v>0.32997506025676937</v>
      </c>
      <c r="S85" s="26"/>
      <c r="T85" s="26" t="str">
        <f t="shared" si="137"/>
        <v>oman</v>
      </c>
      <c r="U85" s="45">
        <f t="shared" si="138"/>
        <v>0.58884902276990503</v>
      </c>
      <c r="V85" s="45">
        <f t="shared" si="139"/>
        <v>0.94354841030195014</v>
      </c>
      <c r="W85" s="45">
        <f t="shared" si="140"/>
        <v>1.4082015509175148</v>
      </c>
      <c r="X85" s="45">
        <f t="shared" si="141"/>
        <v>2.24485059457297</v>
      </c>
      <c r="Y85" s="45">
        <f t="shared" si="142"/>
        <v>3.2649886738184972</v>
      </c>
      <c r="Z85" s="45">
        <f t="shared" si="143"/>
        <v>0.13977541742967192</v>
      </c>
      <c r="AA85" s="45">
        <f t="shared" si="144"/>
        <v>0.21348849216635715</v>
      </c>
      <c r="AB85" s="45">
        <f t="shared" si="145"/>
        <v>0.25402496821957526</v>
      </c>
      <c r="AC85" s="45">
        <f t="shared" si="146"/>
        <v>0.35686259306520857</v>
      </c>
      <c r="AD85" s="45">
        <f t="shared" si="147"/>
        <v>0.62814462723970488</v>
      </c>
      <c r="AE85" s="45">
        <f t="shared" si="148"/>
        <v>6.0427865301711403E-2</v>
      </c>
      <c r="AF85" s="45">
        <f t="shared" si="149"/>
        <v>0.13357083037670309</v>
      </c>
      <c r="AG85" s="45">
        <f t="shared" si="150"/>
        <v>0.25505953207012083</v>
      </c>
      <c r="AH85" s="45">
        <f t="shared" si="151"/>
        <v>0.61525528844502841</v>
      </c>
      <c r="AI85" s="45">
        <f t="shared" si="152"/>
        <v>12.181537773050048</v>
      </c>
      <c r="AJ85" s="45">
        <f t="shared" si="153"/>
        <v>23.288585639744966</v>
      </c>
      <c r="AK85" s="26"/>
      <c r="AL85" s="26" t="str">
        <f t="shared" si="154"/>
        <v>coman</v>
      </c>
      <c r="AM85" s="45">
        <f>_xlfn.IFNA(INDEX(SAM!$B$8:$HC$215,MATCH($AL85,SAM!$A$8:$A$215,0),MATCH(AM$48,SAM!$B$7:$HC$7,0)),0)</f>
        <v>0.58884902276990503</v>
      </c>
      <c r="AN85" s="45">
        <f>_xlfn.IFNA(INDEX(SAM!$B$8:$HC$215,MATCH($AL85,SAM!$A$8:$A$215,0),MATCH(AN$48,SAM!$B$7:$HC$7,0)),0)</f>
        <v>0.94354841030195014</v>
      </c>
      <c r="AO85" s="45">
        <f>_xlfn.IFNA(INDEX(SAM!$B$8:$HC$215,MATCH($AL85,SAM!$A$8:$A$215,0),MATCH(AO$48,SAM!$B$7:$HC$7,0)),0)</f>
        <v>1.4082015509175148</v>
      </c>
      <c r="AP85" s="45">
        <f>_xlfn.IFNA(INDEX(SAM!$B$8:$HC$215,MATCH($AL85,SAM!$A$8:$A$215,0),MATCH(AP$48,SAM!$B$7:$HC$7,0)),0)</f>
        <v>2.24485059457297</v>
      </c>
      <c r="AQ85" s="45">
        <f>_xlfn.IFNA(INDEX(SAM!$B$8:$HC$215,MATCH($AL85,SAM!$A$8:$A$215,0),MATCH(AQ$48,SAM!$B$7:$HC$7,0)),0)</f>
        <v>3.2649886738184972</v>
      </c>
      <c r="AR85" s="45">
        <f>_xlfn.IFNA(INDEX(SAM!$B$8:$HC$215,MATCH($AL85,SAM!$A$8:$A$215,0),MATCH(AR$48,SAM!$B$7:$HC$7,0)),0)</f>
        <v>0.13977541742967192</v>
      </c>
      <c r="AS85" s="45">
        <f>_xlfn.IFNA(INDEX(SAM!$B$8:$HC$215,MATCH($AL85,SAM!$A$8:$A$215,0),MATCH(AS$48,SAM!$B$7:$HC$7,0)),0)</f>
        <v>0.21348849216635715</v>
      </c>
      <c r="AT85" s="45">
        <f>_xlfn.IFNA(INDEX(SAM!$B$8:$HC$215,MATCH($AL85,SAM!$A$8:$A$215,0),MATCH(AT$48,SAM!$B$7:$HC$7,0)),0)</f>
        <v>0.25402496821957526</v>
      </c>
      <c r="AU85" s="45">
        <f>_xlfn.IFNA(INDEX(SAM!$B$8:$HC$215,MATCH($AL85,SAM!$A$8:$A$215,0),MATCH(AU$48,SAM!$B$7:$HC$7,0)),0)</f>
        <v>0.35686259306520857</v>
      </c>
      <c r="AV85" s="45">
        <f>_xlfn.IFNA(INDEX(SAM!$B$8:$HC$215,MATCH($AL85,SAM!$A$8:$A$215,0),MATCH(AV$48,SAM!$B$7:$HC$7,0)),0)</f>
        <v>0.62814462723970488</v>
      </c>
      <c r="AW85" s="45">
        <f>_xlfn.IFNA(INDEX(SAM!$B$8:$HC$215,MATCH($AL85,SAM!$A$8:$A$215,0),MATCH(AW$48,SAM!$B$7:$HC$7,0)),0)</f>
        <v>6.0427865301711403E-2</v>
      </c>
      <c r="AX85" s="45">
        <f>_xlfn.IFNA(INDEX(SAM!$B$8:$HC$215,MATCH($AL85,SAM!$A$8:$A$215,0),MATCH(AX$48,SAM!$B$7:$HC$7,0)),0)</f>
        <v>0.13357083037670309</v>
      </c>
      <c r="AY85" s="45">
        <f>_xlfn.IFNA(INDEX(SAM!$B$8:$HC$215,MATCH($AL85,SAM!$A$8:$A$215,0),MATCH(AY$48,SAM!$B$7:$HC$7,0)),0)</f>
        <v>0.25505953207012083</v>
      </c>
      <c r="AZ85" s="45">
        <f>_xlfn.IFNA(INDEX(SAM!$B$8:$HC$215,MATCH($AL85,SAM!$A$8:$A$215,0),MATCH(AZ$48,SAM!$B$7:$HC$7,0)),0)</f>
        <v>0.61525528844502841</v>
      </c>
      <c r="BA85" s="45">
        <f>_xlfn.IFNA(INDEX(SAM!$B$8:$HC$215,MATCH($AL85,SAM!$A$8:$A$215,0),MATCH(BA$48,SAM!$B$7:$HC$7,0)),0)</f>
        <v>12.181537773050048</v>
      </c>
      <c r="BB85" s="45"/>
      <c r="BC85" s="26" t="str">
        <f t="shared" si="155"/>
        <v>aoman</v>
      </c>
      <c r="BD85" s="45">
        <f>_xlfn.IFNA(INDEX(SAM!$B$8:$HC$215,MATCH($BC85,SAM!$A$8:$A$215,0),MATCH(BD$48,SAM!$B$7:$HC$7,0)),0)</f>
        <v>0</v>
      </c>
      <c r="BE85" s="45">
        <f>_xlfn.IFNA(INDEX(SAM!$B$8:$HC$215,MATCH($BC85,SAM!$A$8:$A$215,0),MATCH(BE$48,SAM!$B$7:$HC$7,0)),0)</f>
        <v>0</v>
      </c>
      <c r="BF85" s="45">
        <f>_xlfn.IFNA(INDEX(SAM!$B$8:$HC$215,MATCH($BC85,SAM!$A$8:$A$215,0),MATCH(BF$48,SAM!$B$7:$HC$7,0)),0)</f>
        <v>0</v>
      </c>
      <c r="BG85" s="45">
        <f>_xlfn.IFNA(INDEX(SAM!$B$8:$HC$215,MATCH($BC85,SAM!$A$8:$A$215,0),MATCH(BG$48,SAM!$B$7:$HC$7,0)),0)</f>
        <v>0</v>
      </c>
      <c r="BH85" s="45">
        <f>_xlfn.IFNA(INDEX(SAM!$B$8:$HC$215,MATCH($BC85,SAM!$A$8:$A$215,0),MATCH(BH$48,SAM!$B$7:$HC$7,0)),0)</f>
        <v>0</v>
      </c>
      <c r="BI85" s="45">
        <f>_xlfn.IFNA(INDEX(SAM!$B$8:$HC$215,MATCH($BC85,SAM!$A$8:$A$215,0),MATCH(BI$48,SAM!$B$7:$HC$7,0)),0)</f>
        <v>0</v>
      </c>
      <c r="BJ85" s="45">
        <f>_xlfn.IFNA(INDEX(SAM!$B$8:$HC$215,MATCH($BC85,SAM!$A$8:$A$215,0),MATCH(BJ$48,SAM!$B$7:$HC$7,0)),0)</f>
        <v>0</v>
      </c>
      <c r="BK85" s="45">
        <f>_xlfn.IFNA(INDEX(SAM!$B$8:$HC$215,MATCH($BC85,SAM!$A$8:$A$215,0),MATCH(BK$48,SAM!$B$7:$HC$7,0)),0)</f>
        <v>0</v>
      </c>
      <c r="BL85" s="45">
        <f>_xlfn.IFNA(INDEX(SAM!$B$8:$HC$215,MATCH($BC85,SAM!$A$8:$A$215,0),MATCH(BL$48,SAM!$B$7:$HC$7,0)),0)</f>
        <v>0</v>
      </c>
      <c r="BM85" s="45">
        <f>_xlfn.IFNA(INDEX(SAM!$B$8:$HC$215,MATCH($BC85,SAM!$A$8:$A$215,0),MATCH(BM$48,SAM!$B$7:$HC$7,0)),0)</f>
        <v>0</v>
      </c>
      <c r="BN85" s="45">
        <f>_xlfn.IFNA(INDEX(SAM!$B$8:$HC$215,MATCH($BC85,SAM!$A$8:$A$215,0),MATCH(BN$48,SAM!$B$7:$HC$7,0)),0)</f>
        <v>0</v>
      </c>
      <c r="BO85" s="45">
        <f>_xlfn.IFNA(INDEX(SAM!$B$8:$HC$215,MATCH($BC85,SAM!$A$8:$A$215,0),MATCH(BO$48,SAM!$B$7:$HC$7,0)),0)</f>
        <v>0</v>
      </c>
      <c r="BP85" s="45">
        <f>_xlfn.IFNA(INDEX(SAM!$B$8:$HC$215,MATCH($BC85,SAM!$A$8:$A$215,0),MATCH(BP$48,SAM!$B$7:$HC$7,0)),0)</f>
        <v>0</v>
      </c>
      <c r="BQ85" s="45">
        <f>_xlfn.IFNA(INDEX(SAM!$B$8:$HC$215,MATCH($BC85,SAM!$A$8:$A$215,0),MATCH(BQ$48,SAM!$B$7:$HC$7,0)),0)</f>
        <v>0</v>
      </c>
      <c r="BR85" s="45">
        <f>_xlfn.IFNA(INDEX(SAM!$B$8:$HC$215,MATCH($BC85,SAM!$A$8:$A$215,0),MATCH(BR$48,SAM!$B$7:$HC$7,0)),0)</f>
        <v>0</v>
      </c>
      <c r="BT85" t="str">
        <f t="shared" si="109"/>
        <v>coman</v>
      </c>
      <c r="BU85" s="7">
        <f t="shared" si="110"/>
        <v>23.288585639744966</v>
      </c>
      <c r="BW85" s="51" t="s">
        <v>201</v>
      </c>
      <c r="BX85" s="43">
        <f t="shared" si="116"/>
        <v>0.39009893150051622</v>
      </c>
    </row>
    <row r="86" spans="1:76" x14ac:dyDescent="0.25">
      <c r="A86" s="47" t="str">
        <f t="shared" si="136"/>
        <v>contruction</v>
      </c>
      <c r="B86" s="47" t="s">
        <v>46</v>
      </c>
      <c r="C86" s="48">
        <f t="shared" si="79"/>
        <v>0.50890552029110536</v>
      </c>
      <c r="D86" s="48">
        <f t="shared" si="80"/>
        <v>0.68825799867247472</v>
      </c>
      <c r="E86" s="48">
        <f t="shared" si="81"/>
        <v>0.86413518771496001</v>
      </c>
      <c r="F86" s="48">
        <f t="shared" si="82"/>
        <v>1.2461044834627633</v>
      </c>
      <c r="G86" s="48">
        <f t="shared" si="83"/>
        <v>1.950687414445837</v>
      </c>
      <c r="H86" s="48">
        <f t="shared" si="84"/>
        <v>0.49434014744672661</v>
      </c>
      <c r="I86" s="48">
        <f t="shared" si="85"/>
        <v>0.7693400135097701</v>
      </c>
      <c r="J86" s="48">
        <f t="shared" si="86"/>
        <v>1.103457471344468</v>
      </c>
      <c r="K86" s="48">
        <f t="shared" si="87"/>
        <v>1.4617630872602714</v>
      </c>
      <c r="L86" s="48">
        <f t="shared" si="88"/>
        <v>1.4265673587056324</v>
      </c>
      <c r="M86" s="48">
        <f t="shared" si="89"/>
        <v>0.42760799757445744</v>
      </c>
      <c r="N86" s="48">
        <f t="shared" si="90"/>
        <v>0.38410293815402302</v>
      </c>
      <c r="O86" s="48">
        <f t="shared" si="91"/>
        <v>0.79268309316114538</v>
      </c>
      <c r="P86" s="48">
        <f t="shared" si="92"/>
        <v>0.54908406415933408</v>
      </c>
      <c r="Q86" s="48">
        <f t="shared" si="93"/>
        <v>0.93137393923764245</v>
      </c>
      <c r="R86" s="48">
        <f t="shared" si="94"/>
        <v>1.0665757691621724</v>
      </c>
      <c r="S86" s="47"/>
      <c r="T86" s="47" t="str">
        <f t="shared" si="137"/>
        <v>cons</v>
      </c>
      <c r="U86" s="48">
        <f t="shared" si="138"/>
        <v>1.4962895204106827</v>
      </c>
      <c r="V86" s="48">
        <f t="shared" si="139"/>
        <v>2.9976291788363763</v>
      </c>
      <c r="W86" s="48">
        <f t="shared" si="140"/>
        <v>5.1637530924316586</v>
      </c>
      <c r="X86" s="48">
        <f t="shared" si="141"/>
        <v>10.708253829470493</v>
      </c>
      <c r="Y86" s="48">
        <f t="shared" si="142"/>
        <v>18.559485546691228</v>
      </c>
      <c r="Z86" s="48">
        <f t="shared" si="143"/>
        <v>0.2798738659327481</v>
      </c>
      <c r="AA86" s="48">
        <f t="shared" si="144"/>
        <v>0.64946887730957514</v>
      </c>
      <c r="AB86" s="48">
        <f t="shared" si="145"/>
        <v>1.128619125404847</v>
      </c>
      <c r="AC86" s="48">
        <f t="shared" si="146"/>
        <v>1.9115449764552372</v>
      </c>
      <c r="AD86" s="48">
        <f t="shared" si="147"/>
        <v>2.3844117292860627</v>
      </c>
      <c r="AE86" s="48">
        <f t="shared" si="148"/>
        <v>0.12491128180225841</v>
      </c>
      <c r="AF86" s="48">
        <f t="shared" si="149"/>
        <v>0.23398813710115124</v>
      </c>
      <c r="AG86" s="48">
        <f t="shared" si="150"/>
        <v>0.82514079693737763</v>
      </c>
      <c r="AH86" s="48">
        <f t="shared" si="151"/>
        <v>1.2149915560618629</v>
      </c>
      <c r="AI86" s="48">
        <f t="shared" si="152"/>
        <v>27.597149071673513</v>
      </c>
      <c r="AJ86" s="48">
        <f t="shared" si="153"/>
        <v>75.275510585805065</v>
      </c>
      <c r="AK86" s="47"/>
      <c r="AL86" s="47" t="str">
        <f t="shared" si="154"/>
        <v>ccons</v>
      </c>
      <c r="AM86" s="48">
        <f>_xlfn.IFNA(INDEX(SAM!$B$8:$HC$215,MATCH($AL86,SAM!$A$8:$A$215,0),MATCH(AM$48,SAM!$B$7:$HC$7,0)),0)</f>
        <v>1.4962895204106827</v>
      </c>
      <c r="AN86" s="48">
        <f>_xlfn.IFNA(INDEX(SAM!$B$8:$HC$215,MATCH($AL86,SAM!$A$8:$A$215,0),MATCH(AN$48,SAM!$B$7:$HC$7,0)),0)</f>
        <v>2.9976291788363763</v>
      </c>
      <c r="AO86" s="48">
        <f>_xlfn.IFNA(INDEX(SAM!$B$8:$HC$215,MATCH($AL86,SAM!$A$8:$A$215,0),MATCH(AO$48,SAM!$B$7:$HC$7,0)),0)</f>
        <v>5.1637530924316586</v>
      </c>
      <c r="AP86" s="48">
        <f>_xlfn.IFNA(INDEX(SAM!$B$8:$HC$215,MATCH($AL86,SAM!$A$8:$A$215,0),MATCH(AP$48,SAM!$B$7:$HC$7,0)),0)</f>
        <v>10.708253829470493</v>
      </c>
      <c r="AQ86" s="48">
        <f>_xlfn.IFNA(INDEX(SAM!$B$8:$HC$215,MATCH($AL86,SAM!$A$8:$A$215,0),MATCH(AQ$48,SAM!$B$7:$HC$7,0)),0)</f>
        <v>18.559485546691228</v>
      </c>
      <c r="AR86" s="48">
        <f>_xlfn.IFNA(INDEX(SAM!$B$8:$HC$215,MATCH($AL86,SAM!$A$8:$A$215,0),MATCH(AR$48,SAM!$B$7:$HC$7,0)),0)</f>
        <v>0.2798738659327481</v>
      </c>
      <c r="AS86" s="48">
        <f>_xlfn.IFNA(INDEX(SAM!$B$8:$HC$215,MATCH($AL86,SAM!$A$8:$A$215,0),MATCH(AS$48,SAM!$B$7:$HC$7,0)),0)</f>
        <v>0.64946887730957514</v>
      </c>
      <c r="AT86" s="48">
        <f>_xlfn.IFNA(INDEX(SAM!$B$8:$HC$215,MATCH($AL86,SAM!$A$8:$A$215,0),MATCH(AT$48,SAM!$B$7:$HC$7,0)),0)</f>
        <v>1.128619125404847</v>
      </c>
      <c r="AU86" s="48">
        <f>_xlfn.IFNA(INDEX(SAM!$B$8:$HC$215,MATCH($AL86,SAM!$A$8:$A$215,0),MATCH(AU$48,SAM!$B$7:$HC$7,0)),0)</f>
        <v>1.9115449764552372</v>
      </c>
      <c r="AV86" s="48">
        <f>_xlfn.IFNA(INDEX(SAM!$B$8:$HC$215,MATCH($AL86,SAM!$A$8:$A$215,0),MATCH(AV$48,SAM!$B$7:$HC$7,0)),0)</f>
        <v>2.3844117292860627</v>
      </c>
      <c r="AW86" s="48">
        <f>_xlfn.IFNA(INDEX(SAM!$B$8:$HC$215,MATCH($AL86,SAM!$A$8:$A$215,0),MATCH(AW$48,SAM!$B$7:$HC$7,0)),0)</f>
        <v>0.12491128180225841</v>
      </c>
      <c r="AX86" s="48">
        <f>_xlfn.IFNA(INDEX(SAM!$B$8:$HC$215,MATCH($AL86,SAM!$A$8:$A$215,0),MATCH(AX$48,SAM!$B$7:$HC$7,0)),0)</f>
        <v>0.23398813710115124</v>
      </c>
      <c r="AY86" s="48">
        <f>_xlfn.IFNA(INDEX(SAM!$B$8:$HC$215,MATCH($AL86,SAM!$A$8:$A$215,0),MATCH(AY$48,SAM!$B$7:$HC$7,0)),0)</f>
        <v>0.82514079693737763</v>
      </c>
      <c r="AZ86" s="48">
        <f>_xlfn.IFNA(INDEX(SAM!$B$8:$HC$215,MATCH($AL86,SAM!$A$8:$A$215,0),MATCH(AZ$48,SAM!$B$7:$HC$7,0)),0)</f>
        <v>1.2149915560618629</v>
      </c>
      <c r="BA86" s="48">
        <f>_xlfn.IFNA(INDEX(SAM!$B$8:$HC$215,MATCH($AL86,SAM!$A$8:$A$215,0),MATCH(BA$48,SAM!$B$7:$HC$7,0)),0)</f>
        <v>27.597149071673513</v>
      </c>
      <c r="BB86" s="48"/>
      <c r="BC86" s="47" t="str">
        <f t="shared" si="155"/>
        <v>acons</v>
      </c>
      <c r="BD86" s="48">
        <f>_xlfn.IFNA(INDEX(SAM!$B$8:$HC$215,MATCH($BC86,SAM!$A$8:$A$215,0),MATCH(BD$48,SAM!$B$7:$HC$7,0)),0)</f>
        <v>0</v>
      </c>
      <c r="BE86" s="48">
        <f>_xlfn.IFNA(INDEX(SAM!$B$8:$HC$215,MATCH($BC86,SAM!$A$8:$A$215,0),MATCH(BE$48,SAM!$B$7:$HC$7,0)),0)</f>
        <v>0</v>
      </c>
      <c r="BF86" s="48">
        <f>_xlfn.IFNA(INDEX(SAM!$B$8:$HC$215,MATCH($BC86,SAM!$A$8:$A$215,0),MATCH(BF$48,SAM!$B$7:$HC$7,0)),0)</f>
        <v>0</v>
      </c>
      <c r="BG86" s="48">
        <f>_xlfn.IFNA(INDEX(SAM!$B$8:$HC$215,MATCH($BC86,SAM!$A$8:$A$215,0),MATCH(BG$48,SAM!$B$7:$HC$7,0)),0)</f>
        <v>0</v>
      </c>
      <c r="BH86" s="48">
        <f>_xlfn.IFNA(INDEX(SAM!$B$8:$HC$215,MATCH($BC86,SAM!$A$8:$A$215,0),MATCH(BH$48,SAM!$B$7:$HC$7,0)),0)</f>
        <v>0</v>
      </c>
      <c r="BI86" s="48">
        <f>_xlfn.IFNA(INDEX(SAM!$B$8:$HC$215,MATCH($BC86,SAM!$A$8:$A$215,0),MATCH(BI$48,SAM!$B$7:$HC$7,0)),0)</f>
        <v>0</v>
      </c>
      <c r="BJ86" s="48">
        <f>_xlfn.IFNA(INDEX(SAM!$B$8:$HC$215,MATCH($BC86,SAM!$A$8:$A$215,0),MATCH(BJ$48,SAM!$B$7:$HC$7,0)),0)</f>
        <v>0</v>
      </c>
      <c r="BK86" s="48">
        <f>_xlfn.IFNA(INDEX(SAM!$B$8:$HC$215,MATCH($BC86,SAM!$A$8:$A$215,0),MATCH(BK$48,SAM!$B$7:$HC$7,0)),0)</f>
        <v>0</v>
      </c>
      <c r="BL86" s="48">
        <f>_xlfn.IFNA(INDEX(SAM!$B$8:$HC$215,MATCH($BC86,SAM!$A$8:$A$215,0),MATCH(BL$48,SAM!$B$7:$HC$7,0)),0)</f>
        <v>0</v>
      </c>
      <c r="BM86" s="48">
        <f>_xlfn.IFNA(INDEX(SAM!$B$8:$HC$215,MATCH($BC86,SAM!$A$8:$A$215,0),MATCH(BM$48,SAM!$B$7:$HC$7,0)),0)</f>
        <v>0</v>
      </c>
      <c r="BN86" s="48">
        <f>_xlfn.IFNA(INDEX(SAM!$B$8:$HC$215,MATCH($BC86,SAM!$A$8:$A$215,0),MATCH(BN$48,SAM!$B$7:$HC$7,0)),0)</f>
        <v>0</v>
      </c>
      <c r="BO86" s="48">
        <f>_xlfn.IFNA(INDEX(SAM!$B$8:$HC$215,MATCH($BC86,SAM!$A$8:$A$215,0),MATCH(BO$48,SAM!$B$7:$HC$7,0)),0)</f>
        <v>0</v>
      </c>
      <c r="BP86" s="48">
        <f>_xlfn.IFNA(INDEX(SAM!$B$8:$HC$215,MATCH($BC86,SAM!$A$8:$A$215,0),MATCH(BP$48,SAM!$B$7:$HC$7,0)),0)</f>
        <v>0</v>
      </c>
      <c r="BQ86" s="48">
        <f>_xlfn.IFNA(INDEX(SAM!$B$8:$HC$215,MATCH($BC86,SAM!$A$8:$A$215,0),MATCH(BQ$48,SAM!$B$7:$HC$7,0)),0)</f>
        <v>0</v>
      </c>
      <c r="BR86" s="48">
        <f>_xlfn.IFNA(INDEX(SAM!$B$8:$HC$215,MATCH($BC86,SAM!$A$8:$A$215,0),MATCH(BR$48,SAM!$B$7:$HC$7,0)),0)</f>
        <v>0</v>
      </c>
      <c r="BT86" t="str">
        <f t="shared" si="109"/>
        <v>ccons</v>
      </c>
      <c r="BU86" s="7">
        <f t="shared" si="110"/>
        <v>75.275510585805065</v>
      </c>
      <c r="BW86" s="51" t="s">
        <v>549</v>
      </c>
      <c r="BX86" s="43">
        <f t="shared" si="116"/>
        <v>5.6264147865817984</v>
      </c>
    </row>
    <row r="87" spans="1:76" x14ac:dyDescent="0.25">
      <c r="A87" s="38" t="str">
        <f t="shared" si="136"/>
        <v>hotels and restaurants</v>
      </c>
      <c r="B87" s="38" t="s">
        <v>49</v>
      </c>
      <c r="C87" s="46">
        <f t="shared" si="79"/>
        <v>0.18962840723178906</v>
      </c>
      <c r="D87" s="46">
        <f t="shared" si="80"/>
        <v>0.27827141503275488</v>
      </c>
      <c r="E87" s="46">
        <f t="shared" si="81"/>
        <v>0.37325892738626026</v>
      </c>
      <c r="F87" s="46">
        <f t="shared" si="82"/>
        <v>0.4128623755849341</v>
      </c>
      <c r="G87" s="46">
        <f t="shared" si="83"/>
        <v>0.48986375965997575</v>
      </c>
      <c r="H87" s="46">
        <f t="shared" si="84"/>
        <v>0.24110059061777112</v>
      </c>
      <c r="I87" s="46">
        <f t="shared" si="85"/>
        <v>0.32619269205515</v>
      </c>
      <c r="J87" s="46">
        <f t="shared" si="86"/>
        <v>0.40325063373331249</v>
      </c>
      <c r="K87" s="46">
        <f t="shared" si="87"/>
        <v>0.44880347132140691</v>
      </c>
      <c r="L87" s="46">
        <f t="shared" si="88"/>
        <v>0.66711743148621527</v>
      </c>
      <c r="M87" s="46">
        <f t="shared" si="89"/>
        <v>0.13817314354166091</v>
      </c>
      <c r="N87" s="46">
        <f t="shared" si="90"/>
        <v>0.27178411471237129</v>
      </c>
      <c r="O87" s="46">
        <f t="shared" si="91"/>
        <v>0.21290707434197437</v>
      </c>
      <c r="P87" s="46">
        <f t="shared" si="92"/>
        <v>0.34940566879795348</v>
      </c>
      <c r="Q87" s="46">
        <f t="shared" si="93"/>
        <v>0.39136529905963313</v>
      </c>
      <c r="R87" s="46">
        <f t="shared" si="94"/>
        <v>0.39009893150051622</v>
      </c>
      <c r="S87" s="38"/>
      <c r="T87" s="38" t="str">
        <f t="shared" si="137"/>
        <v>hotl</v>
      </c>
      <c r="U87" s="46">
        <f t="shared" si="138"/>
        <v>0.55754749594932729</v>
      </c>
      <c r="V87" s="46">
        <f t="shared" si="139"/>
        <v>1.2119793957312617</v>
      </c>
      <c r="W87" s="46">
        <f t="shared" si="140"/>
        <v>2.2304576505734133</v>
      </c>
      <c r="X87" s="46">
        <f t="shared" si="141"/>
        <v>3.5478847665455557</v>
      </c>
      <c r="Y87" s="46">
        <f t="shared" si="142"/>
        <v>4.6607259061236865</v>
      </c>
      <c r="Z87" s="46">
        <f t="shared" si="143"/>
        <v>0.13650065592161176</v>
      </c>
      <c r="AA87" s="46">
        <f t="shared" si="144"/>
        <v>0.27536849478186648</v>
      </c>
      <c r="AB87" s="46">
        <f t="shared" si="145"/>
        <v>0.41244578008839916</v>
      </c>
      <c r="AC87" s="46">
        <f t="shared" si="146"/>
        <v>0.58689949725577828</v>
      </c>
      <c r="AD87" s="46">
        <f t="shared" si="147"/>
        <v>1.1150420754686252</v>
      </c>
      <c r="AE87" s="46">
        <f t="shared" si="148"/>
        <v>4.0362632524035075E-2</v>
      </c>
      <c r="AF87" s="46">
        <f t="shared" si="149"/>
        <v>0.16556566581048238</v>
      </c>
      <c r="AG87" s="46">
        <f t="shared" si="150"/>
        <v>0.2216249021983725</v>
      </c>
      <c r="AH87" s="46">
        <f t="shared" si="151"/>
        <v>0.77315108002564814</v>
      </c>
      <c r="AI87" s="46">
        <f t="shared" si="152"/>
        <v>11.596380405993932</v>
      </c>
      <c r="AJ87" s="46">
        <f t="shared" si="153"/>
        <v>27.531936404991999</v>
      </c>
      <c r="AK87" s="38"/>
      <c r="AL87" s="38" t="str">
        <f t="shared" si="154"/>
        <v>chotl</v>
      </c>
      <c r="AM87" s="46">
        <f>_xlfn.IFNA(INDEX(SAM!$B$8:$HC$215,MATCH($AL87,SAM!$A$8:$A$215,0),MATCH(AM$48,SAM!$B$7:$HC$7,0)),0)</f>
        <v>0.55754749594932729</v>
      </c>
      <c r="AN87" s="46">
        <f>_xlfn.IFNA(INDEX(SAM!$B$8:$HC$215,MATCH($AL87,SAM!$A$8:$A$215,0),MATCH(AN$48,SAM!$B$7:$HC$7,0)),0)</f>
        <v>1.2119793957312617</v>
      </c>
      <c r="AO87" s="46">
        <f>_xlfn.IFNA(INDEX(SAM!$B$8:$HC$215,MATCH($AL87,SAM!$A$8:$A$215,0),MATCH(AO$48,SAM!$B$7:$HC$7,0)),0)</f>
        <v>2.2304576505734133</v>
      </c>
      <c r="AP87" s="46">
        <f>_xlfn.IFNA(INDEX(SAM!$B$8:$HC$215,MATCH($AL87,SAM!$A$8:$A$215,0),MATCH(AP$48,SAM!$B$7:$HC$7,0)),0)</f>
        <v>3.5478847665455557</v>
      </c>
      <c r="AQ87" s="46">
        <f>_xlfn.IFNA(INDEX(SAM!$B$8:$HC$215,MATCH($AL87,SAM!$A$8:$A$215,0),MATCH(AQ$48,SAM!$B$7:$HC$7,0)),0)</f>
        <v>4.6607259061236865</v>
      </c>
      <c r="AR87" s="46">
        <f>_xlfn.IFNA(INDEX(SAM!$B$8:$HC$215,MATCH($AL87,SAM!$A$8:$A$215,0),MATCH(AR$48,SAM!$B$7:$HC$7,0)),0)</f>
        <v>0.13650065592161176</v>
      </c>
      <c r="AS87" s="46">
        <f>_xlfn.IFNA(INDEX(SAM!$B$8:$HC$215,MATCH($AL87,SAM!$A$8:$A$215,0),MATCH(AS$48,SAM!$B$7:$HC$7,0)),0)</f>
        <v>0.27536849478186648</v>
      </c>
      <c r="AT87" s="46">
        <f>_xlfn.IFNA(INDEX(SAM!$B$8:$HC$215,MATCH($AL87,SAM!$A$8:$A$215,0),MATCH(AT$48,SAM!$B$7:$HC$7,0)),0)</f>
        <v>0.41244578008839916</v>
      </c>
      <c r="AU87" s="46">
        <f>_xlfn.IFNA(INDEX(SAM!$B$8:$HC$215,MATCH($AL87,SAM!$A$8:$A$215,0),MATCH(AU$48,SAM!$B$7:$HC$7,0)),0)</f>
        <v>0.58689949725577828</v>
      </c>
      <c r="AV87" s="46">
        <f>_xlfn.IFNA(INDEX(SAM!$B$8:$HC$215,MATCH($AL87,SAM!$A$8:$A$215,0),MATCH(AV$48,SAM!$B$7:$HC$7,0)),0)</f>
        <v>1.1150420754686252</v>
      </c>
      <c r="AW87" s="46">
        <f>_xlfn.IFNA(INDEX(SAM!$B$8:$HC$215,MATCH($AL87,SAM!$A$8:$A$215,0),MATCH(AW$48,SAM!$B$7:$HC$7,0)),0)</f>
        <v>4.0362632524035075E-2</v>
      </c>
      <c r="AX87" s="46">
        <f>_xlfn.IFNA(INDEX(SAM!$B$8:$HC$215,MATCH($AL87,SAM!$A$8:$A$215,0),MATCH(AX$48,SAM!$B$7:$HC$7,0)),0)</f>
        <v>0.16556566581048238</v>
      </c>
      <c r="AY87" s="46">
        <f>_xlfn.IFNA(INDEX(SAM!$B$8:$HC$215,MATCH($AL87,SAM!$A$8:$A$215,0),MATCH(AY$48,SAM!$B$7:$HC$7,0)),0)</f>
        <v>0.2216249021983725</v>
      </c>
      <c r="AZ87" s="46">
        <f>_xlfn.IFNA(INDEX(SAM!$B$8:$HC$215,MATCH($AL87,SAM!$A$8:$A$215,0),MATCH(AZ$48,SAM!$B$7:$HC$7,0)),0)</f>
        <v>0.77315108002564814</v>
      </c>
      <c r="BA87" s="46">
        <f>_xlfn.IFNA(INDEX(SAM!$B$8:$HC$215,MATCH($AL87,SAM!$A$8:$A$215,0),MATCH(BA$48,SAM!$B$7:$HC$7,0)),0)</f>
        <v>11.596380405993932</v>
      </c>
      <c r="BB87" s="46"/>
      <c r="BC87" s="38" t="str">
        <f t="shared" si="155"/>
        <v>ahotl</v>
      </c>
      <c r="BD87" s="46">
        <f>_xlfn.IFNA(INDEX(SAM!$B$8:$HC$215,MATCH($BC87,SAM!$A$8:$A$215,0),MATCH(BD$48,SAM!$B$7:$HC$7,0)),0)</f>
        <v>0</v>
      </c>
      <c r="BE87" s="46">
        <f>_xlfn.IFNA(INDEX(SAM!$B$8:$HC$215,MATCH($BC87,SAM!$A$8:$A$215,0),MATCH(BE$48,SAM!$B$7:$HC$7,0)),0)</f>
        <v>0</v>
      </c>
      <c r="BF87" s="46">
        <f>_xlfn.IFNA(INDEX(SAM!$B$8:$HC$215,MATCH($BC87,SAM!$A$8:$A$215,0),MATCH(BF$48,SAM!$B$7:$HC$7,0)),0)</f>
        <v>0</v>
      </c>
      <c r="BG87" s="46">
        <f>_xlfn.IFNA(INDEX(SAM!$B$8:$HC$215,MATCH($BC87,SAM!$A$8:$A$215,0),MATCH(BG$48,SAM!$B$7:$HC$7,0)),0)</f>
        <v>0</v>
      </c>
      <c r="BH87" s="46">
        <f>_xlfn.IFNA(INDEX(SAM!$B$8:$HC$215,MATCH($BC87,SAM!$A$8:$A$215,0),MATCH(BH$48,SAM!$B$7:$HC$7,0)),0)</f>
        <v>0</v>
      </c>
      <c r="BI87" s="46">
        <f>_xlfn.IFNA(INDEX(SAM!$B$8:$HC$215,MATCH($BC87,SAM!$A$8:$A$215,0),MATCH(BI$48,SAM!$B$7:$HC$7,0)),0)</f>
        <v>0</v>
      </c>
      <c r="BJ87" s="46">
        <f>_xlfn.IFNA(INDEX(SAM!$B$8:$HC$215,MATCH($BC87,SAM!$A$8:$A$215,0),MATCH(BJ$48,SAM!$B$7:$HC$7,0)),0)</f>
        <v>0</v>
      </c>
      <c r="BK87" s="46">
        <f>_xlfn.IFNA(INDEX(SAM!$B$8:$HC$215,MATCH($BC87,SAM!$A$8:$A$215,0),MATCH(BK$48,SAM!$B$7:$HC$7,0)),0)</f>
        <v>0</v>
      </c>
      <c r="BL87" s="46">
        <f>_xlfn.IFNA(INDEX(SAM!$B$8:$HC$215,MATCH($BC87,SAM!$A$8:$A$215,0),MATCH(BL$48,SAM!$B$7:$HC$7,0)),0)</f>
        <v>0</v>
      </c>
      <c r="BM87" s="46">
        <f>_xlfn.IFNA(INDEX(SAM!$B$8:$HC$215,MATCH($BC87,SAM!$A$8:$A$215,0),MATCH(BM$48,SAM!$B$7:$HC$7,0)),0)</f>
        <v>0</v>
      </c>
      <c r="BN87" s="46">
        <f>_xlfn.IFNA(INDEX(SAM!$B$8:$HC$215,MATCH($BC87,SAM!$A$8:$A$215,0),MATCH(BN$48,SAM!$B$7:$HC$7,0)),0)</f>
        <v>0</v>
      </c>
      <c r="BO87" s="46">
        <f>_xlfn.IFNA(INDEX(SAM!$B$8:$HC$215,MATCH($BC87,SAM!$A$8:$A$215,0),MATCH(BO$48,SAM!$B$7:$HC$7,0)),0)</f>
        <v>0</v>
      </c>
      <c r="BP87" s="46">
        <f>_xlfn.IFNA(INDEX(SAM!$B$8:$HC$215,MATCH($BC87,SAM!$A$8:$A$215,0),MATCH(BP$48,SAM!$B$7:$HC$7,0)),0)</f>
        <v>0</v>
      </c>
      <c r="BQ87" s="46">
        <f>_xlfn.IFNA(INDEX(SAM!$B$8:$HC$215,MATCH($BC87,SAM!$A$8:$A$215,0),MATCH(BQ$48,SAM!$B$7:$HC$7,0)),0)</f>
        <v>0</v>
      </c>
      <c r="BR87" s="46">
        <f>_xlfn.IFNA(INDEX(SAM!$B$8:$HC$215,MATCH($BC87,SAM!$A$8:$A$215,0),MATCH(BR$48,SAM!$B$7:$HC$7,0)),0)</f>
        <v>0</v>
      </c>
      <c r="BT87" t="str">
        <f t="shared" si="109"/>
        <v>chotl</v>
      </c>
      <c r="BU87" s="7">
        <f t="shared" si="110"/>
        <v>27.531936404991999</v>
      </c>
      <c r="BW87" s="51" t="s">
        <v>202</v>
      </c>
      <c r="BX87" s="43">
        <f t="shared" si="116"/>
        <v>2.2786358573124708</v>
      </c>
    </row>
    <row r="88" spans="1:76" x14ac:dyDescent="0.25">
      <c r="A88" s="26" t="str">
        <f t="shared" si="136"/>
        <v>hotels and restaurants</v>
      </c>
      <c r="B88" s="26" t="s">
        <v>550</v>
      </c>
      <c r="C88" s="45">
        <f t="shared" si="79"/>
        <v>2.7319536614970694</v>
      </c>
      <c r="D88" s="45">
        <f t="shared" si="80"/>
        <v>4.0032023803703067</v>
      </c>
      <c r="E88" s="45">
        <f t="shared" si="81"/>
        <v>5.3566991120146366</v>
      </c>
      <c r="F88" s="45">
        <f t="shared" si="82"/>
        <v>5.9058799769514323</v>
      </c>
      <c r="G88" s="45">
        <f t="shared" si="83"/>
        <v>7.0334906685293612</v>
      </c>
      <c r="H88" s="45">
        <f t="shared" si="84"/>
        <v>3.476480193610167</v>
      </c>
      <c r="I88" s="45">
        <f t="shared" si="85"/>
        <v>4.7017331920317451</v>
      </c>
      <c r="J88" s="45">
        <f t="shared" si="86"/>
        <v>5.8094827885896594</v>
      </c>
      <c r="K88" s="45">
        <f t="shared" si="87"/>
        <v>6.4641165402191056</v>
      </c>
      <c r="L88" s="45">
        <f t="shared" si="88"/>
        <v>9.6151303454306163</v>
      </c>
      <c r="M88" s="45">
        <f t="shared" si="89"/>
        <v>1.992810684739909</v>
      </c>
      <c r="N88" s="45">
        <f t="shared" si="90"/>
        <v>3.9196816919987527</v>
      </c>
      <c r="O88" s="45">
        <f t="shared" si="91"/>
        <v>3.0706149490160954</v>
      </c>
      <c r="P88" s="45">
        <f t="shared" si="92"/>
        <v>5.0403298090061641</v>
      </c>
      <c r="Q88" s="45">
        <f t="shared" si="93"/>
        <v>5.6773594359854576</v>
      </c>
      <c r="R88" s="45">
        <f t="shared" si="94"/>
        <v>5.6264147865817984</v>
      </c>
      <c r="S88" s="26"/>
      <c r="T88" s="26" t="str">
        <f t="shared" si="137"/>
        <v>rest</v>
      </c>
      <c r="U88" s="45">
        <f t="shared" si="138"/>
        <v>8.0325197329503322</v>
      </c>
      <c r="V88" s="45">
        <f t="shared" si="139"/>
        <v>17.435491178208352</v>
      </c>
      <c r="W88" s="45">
        <f t="shared" si="140"/>
        <v>32.009657745838176</v>
      </c>
      <c r="X88" s="45">
        <f t="shared" si="141"/>
        <v>50.751492125157021</v>
      </c>
      <c r="Y88" s="45">
        <f t="shared" si="142"/>
        <v>66.918957613945707</v>
      </c>
      <c r="Z88" s="45">
        <f t="shared" si="143"/>
        <v>1.9682317057389325</v>
      </c>
      <c r="AA88" s="45">
        <f t="shared" si="144"/>
        <v>3.9691545012811731</v>
      </c>
      <c r="AB88" s="45">
        <f t="shared" si="145"/>
        <v>5.9419538624572512</v>
      </c>
      <c r="AC88" s="45">
        <f t="shared" si="146"/>
        <v>8.4531136456840468</v>
      </c>
      <c r="AD88" s="45">
        <f t="shared" si="147"/>
        <v>16.071045951213236</v>
      </c>
      <c r="AE88" s="45">
        <f t="shared" si="148"/>
        <v>0.58213255699632749</v>
      </c>
      <c r="AF88" s="45">
        <f t="shared" si="149"/>
        <v>2.3877948488186291</v>
      </c>
      <c r="AG88" s="45">
        <f t="shared" si="150"/>
        <v>3.1963462927092978</v>
      </c>
      <c r="AH88" s="45">
        <f t="shared" si="151"/>
        <v>11.153042962711684</v>
      </c>
      <c r="AI88" s="45">
        <f t="shared" si="152"/>
        <v>168.22344719738382</v>
      </c>
      <c r="AJ88" s="45">
        <f t="shared" si="153"/>
        <v>397.094381921094</v>
      </c>
      <c r="AK88" s="26"/>
      <c r="AL88" s="26" t="str">
        <f t="shared" si="154"/>
        <v>crest</v>
      </c>
      <c r="AM88" s="45">
        <f>_xlfn.IFNA(INDEX(SAM!$B$8:$HC$215,MATCH($AL88,SAM!$A$8:$A$215,0),MATCH(AM$48,SAM!$B$7:$HC$7,0)),0)</f>
        <v>8.0325197329503322</v>
      </c>
      <c r="AN88" s="45">
        <f>_xlfn.IFNA(INDEX(SAM!$B$8:$HC$215,MATCH($AL88,SAM!$A$8:$A$215,0),MATCH(AN$48,SAM!$B$7:$HC$7,0)),0)</f>
        <v>17.435491178208352</v>
      </c>
      <c r="AO88" s="45">
        <f>_xlfn.IFNA(INDEX(SAM!$B$8:$HC$215,MATCH($AL88,SAM!$A$8:$A$215,0),MATCH(AO$48,SAM!$B$7:$HC$7,0)),0)</f>
        <v>32.009657745838176</v>
      </c>
      <c r="AP88" s="45">
        <f>_xlfn.IFNA(INDEX(SAM!$B$8:$HC$215,MATCH($AL88,SAM!$A$8:$A$215,0),MATCH(AP$48,SAM!$B$7:$HC$7,0)),0)</f>
        <v>50.751492125157021</v>
      </c>
      <c r="AQ88" s="45">
        <f>_xlfn.IFNA(INDEX(SAM!$B$8:$HC$215,MATCH($AL88,SAM!$A$8:$A$215,0),MATCH(AQ$48,SAM!$B$7:$HC$7,0)),0)</f>
        <v>66.918957613945707</v>
      </c>
      <c r="AR88" s="45">
        <f>_xlfn.IFNA(INDEX(SAM!$B$8:$HC$215,MATCH($AL88,SAM!$A$8:$A$215,0),MATCH(AR$48,SAM!$B$7:$HC$7,0)),0)</f>
        <v>1.9682317057389325</v>
      </c>
      <c r="AS88" s="45">
        <f>_xlfn.IFNA(INDEX(SAM!$B$8:$HC$215,MATCH($AL88,SAM!$A$8:$A$215,0),MATCH(AS$48,SAM!$B$7:$HC$7,0)),0)</f>
        <v>3.9691545012811731</v>
      </c>
      <c r="AT88" s="45">
        <f>_xlfn.IFNA(INDEX(SAM!$B$8:$HC$215,MATCH($AL88,SAM!$A$8:$A$215,0),MATCH(AT$48,SAM!$B$7:$HC$7,0)),0)</f>
        <v>5.9419538624572512</v>
      </c>
      <c r="AU88" s="45">
        <f>_xlfn.IFNA(INDEX(SAM!$B$8:$HC$215,MATCH($AL88,SAM!$A$8:$A$215,0),MATCH(AU$48,SAM!$B$7:$HC$7,0)),0)</f>
        <v>8.4531136456840468</v>
      </c>
      <c r="AV88" s="45">
        <f>_xlfn.IFNA(INDEX(SAM!$B$8:$HC$215,MATCH($AL88,SAM!$A$8:$A$215,0),MATCH(AV$48,SAM!$B$7:$HC$7,0)),0)</f>
        <v>16.071045951213236</v>
      </c>
      <c r="AW88" s="45">
        <f>_xlfn.IFNA(INDEX(SAM!$B$8:$HC$215,MATCH($AL88,SAM!$A$8:$A$215,0),MATCH(AW$48,SAM!$B$7:$HC$7,0)),0)</f>
        <v>0.58213255699632749</v>
      </c>
      <c r="AX88" s="45">
        <f>_xlfn.IFNA(INDEX(SAM!$B$8:$HC$215,MATCH($AL88,SAM!$A$8:$A$215,0),MATCH(AX$48,SAM!$B$7:$HC$7,0)),0)</f>
        <v>2.3877948488186291</v>
      </c>
      <c r="AY88" s="45">
        <f>_xlfn.IFNA(INDEX(SAM!$B$8:$HC$215,MATCH($AL88,SAM!$A$8:$A$215,0),MATCH(AY$48,SAM!$B$7:$HC$7,0)),0)</f>
        <v>3.1963462927092978</v>
      </c>
      <c r="AZ88" s="45">
        <f>_xlfn.IFNA(INDEX(SAM!$B$8:$HC$215,MATCH($AL88,SAM!$A$8:$A$215,0),MATCH(AZ$48,SAM!$B$7:$HC$7,0)),0)</f>
        <v>11.153042962711684</v>
      </c>
      <c r="BA88" s="45">
        <f>_xlfn.IFNA(INDEX(SAM!$B$8:$HC$215,MATCH($AL88,SAM!$A$8:$A$215,0),MATCH(BA$48,SAM!$B$7:$HC$7,0)),0)</f>
        <v>168.22344719738382</v>
      </c>
      <c r="BB88" s="45"/>
      <c r="BC88" s="26" t="str">
        <f t="shared" si="155"/>
        <v>arest</v>
      </c>
      <c r="BD88" s="45">
        <f>_xlfn.IFNA(INDEX(SAM!$B$8:$HC$215,MATCH($BC88,SAM!$A$8:$A$215,0),MATCH(BD$48,SAM!$B$7:$HC$7,0)),0)</f>
        <v>0</v>
      </c>
      <c r="BE88" s="45">
        <f>_xlfn.IFNA(INDEX(SAM!$B$8:$HC$215,MATCH($BC88,SAM!$A$8:$A$215,0),MATCH(BE$48,SAM!$B$7:$HC$7,0)),0)</f>
        <v>0</v>
      </c>
      <c r="BF88" s="45">
        <f>_xlfn.IFNA(INDEX(SAM!$B$8:$HC$215,MATCH($BC88,SAM!$A$8:$A$215,0),MATCH(BF$48,SAM!$B$7:$HC$7,0)),0)</f>
        <v>0</v>
      </c>
      <c r="BG88" s="45">
        <f>_xlfn.IFNA(INDEX(SAM!$B$8:$HC$215,MATCH($BC88,SAM!$A$8:$A$215,0),MATCH(BG$48,SAM!$B$7:$HC$7,0)),0)</f>
        <v>0</v>
      </c>
      <c r="BH88" s="45">
        <f>_xlfn.IFNA(INDEX(SAM!$B$8:$HC$215,MATCH($BC88,SAM!$A$8:$A$215,0),MATCH(BH$48,SAM!$B$7:$HC$7,0)),0)</f>
        <v>0</v>
      </c>
      <c r="BI88" s="45">
        <f>_xlfn.IFNA(INDEX(SAM!$B$8:$HC$215,MATCH($BC88,SAM!$A$8:$A$215,0),MATCH(BI$48,SAM!$B$7:$HC$7,0)),0)</f>
        <v>0</v>
      </c>
      <c r="BJ88" s="45">
        <f>_xlfn.IFNA(INDEX(SAM!$B$8:$HC$215,MATCH($BC88,SAM!$A$8:$A$215,0),MATCH(BJ$48,SAM!$B$7:$HC$7,0)),0)</f>
        <v>0</v>
      </c>
      <c r="BK88" s="45">
        <f>_xlfn.IFNA(INDEX(SAM!$B$8:$HC$215,MATCH($BC88,SAM!$A$8:$A$215,0),MATCH(BK$48,SAM!$B$7:$HC$7,0)),0)</f>
        <v>0</v>
      </c>
      <c r="BL88" s="45">
        <f>_xlfn.IFNA(INDEX(SAM!$B$8:$HC$215,MATCH($BC88,SAM!$A$8:$A$215,0),MATCH(BL$48,SAM!$B$7:$HC$7,0)),0)</f>
        <v>0</v>
      </c>
      <c r="BM88" s="45">
        <f>_xlfn.IFNA(INDEX(SAM!$B$8:$HC$215,MATCH($BC88,SAM!$A$8:$A$215,0),MATCH(BM$48,SAM!$B$7:$HC$7,0)),0)</f>
        <v>0</v>
      </c>
      <c r="BN88" s="45">
        <f>_xlfn.IFNA(INDEX(SAM!$B$8:$HC$215,MATCH($BC88,SAM!$A$8:$A$215,0),MATCH(BN$48,SAM!$B$7:$HC$7,0)),0)</f>
        <v>0</v>
      </c>
      <c r="BO88" s="45">
        <f>_xlfn.IFNA(INDEX(SAM!$B$8:$HC$215,MATCH($BC88,SAM!$A$8:$A$215,0),MATCH(BO$48,SAM!$B$7:$HC$7,0)),0)</f>
        <v>0</v>
      </c>
      <c r="BP88" s="45">
        <f>_xlfn.IFNA(INDEX(SAM!$B$8:$HC$215,MATCH($BC88,SAM!$A$8:$A$215,0),MATCH(BP$48,SAM!$B$7:$HC$7,0)),0)</f>
        <v>0</v>
      </c>
      <c r="BQ88" s="45">
        <f>_xlfn.IFNA(INDEX(SAM!$B$8:$HC$215,MATCH($BC88,SAM!$A$8:$A$215,0),MATCH(BQ$48,SAM!$B$7:$HC$7,0)),0)</f>
        <v>0</v>
      </c>
      <c r="BR88" s="45">
        <f>_xlfn.IFNA(INDEX(SAM!$B$8:$HC$215,MATCH($BC88,SAM!$A$8:$A$215,0),MATCH(BR$48,SAM!$B$7:$HC$7,0)),0)</f>
        <v>0</v>
      </c>
      <c r="BT88" t="str">
        <f t="shared" si="109"/>
        <v>crest</v>
      </c>
      <c r="BU88" s="7">
        <f t="shared" si="110"/>
        <v>397.094381921094</v>
      </c>
      <c r="BW88" s="51" t="s">
        <v>203</v>
      </c>
      <c r="BX88" s="43">
        <f t="shared" si="116"/>
        <v>2.5557025672083657</v>
      </c>
    </row>
    <row r="89" spans="1:76" x14ac:dyDescent="0.25">
      <c r="A89" s="38" t="str">
        <f t="shared" si="136"/>
        <v>trade, transport and comm</v>
      </c>
      <c r="B89" s="38" t="s">
        <v>47</v>
      </c>
      <c r="C89" s="46">
        <f t="shared" si="79"/>
        <v>0.23267855993868647</v>
      </c>
      <c r="D89" s="46">
        <f t="shared" si="80"/>
        <v>0.37933806141416299</v>
      </c>
      <c r="E89" s="46">
        <f t="shared" si="81"/>
        <v>0.64532970299300296</v>
      </c>
      <c r="F89" s="46">
        <f t="shared" si="82"/>
        <v>0.93962763684095452</v>
      </c>
      <c r="G89" s="46">
        <f t="shared" si="83"/>
        <v>1.933456364828416</v>
      </c>
      <c r="H89" s="46">
        <f t="shared" si="84"/>
        <v>8.78874757966598E-2</v>
      </c>
      <c r="I89" s="46">
        <f t="shared" si="85"/>
        <v>0.21155778341928982</v>
      </c>
      <c r="J89" s="46">
        <f t="shared" si="86"/>
        <v>0.33996048504981163</v>
      </c>
      <c r="K89" s="46">
        <f t="shared" si="87"/>
        <v>0.53924913502407734</v>
      </c>
      <c r="L89" s="46">
        <f t="shared" si="88"/>
        <v>0.86272553223290549</v>
      </c>
      <c r="M89" s="46">
        <f t="shared" si="89"/>
        <v>0.22229563913506314</v>
      </c>
      <c r="N89" s="46">
        <f t="shared" si="90"/>
        <v>0.34931381567446129</v>
      </c>
      <c r="O89" s="46">
        <f t="shared" si="91"/>
        <v>0.72996293492004805</v>
      </c>
      <c r="P89" s="46">
        <f t="shared" si="92"/>
        <v>0.27565709239866448</v>
      </c>
      <c r="Q89" s="46">
        <f t="shared" si="93"/>
        <v>1.9980281687915853</v>
      </c>
      <c r="R89" s="46">
        <f t="shared" si="94"/>
        <v>1.363566551112485</v>
      </c>
      <c r="S89" s="38"/>
      <c r="T89" s="38" t="str">
        <f t="shared" si="137"/>
        <v>trad</v>
      </c>
      <c r="U89" s="46">
        <f t="shared" si="138"/>
        <v>0.68412402101936987</v>
      </c>
      <c r="V89" s="46">
        <f t="shared" si="139"/>
        <v>1.6521636417326195</v>
      </c>
      <c r="W89" s="46">
        <f t="shared" si="140"/>
        <v>3.8562522355788027</v>
      </c>
      <c r="X89" s="46">
        <f t="shared" si="141"/>
        <v>8.0745807225715929</v>
      </c>
      <c r="Y89" s="46">
        <f t="shared" si="142"/>
        <v>18.395543638848604</v>
      </c>
      <c r="Z89" s="46">
        <f t="shared" si="143"/>
        <v>4.9758061823074552E-2</v>
      </c>
      <c r="AA89" s="46">
        <f t="shared" si="144"/>
        <v>0.17859489129728401</v>
      </c>
      <c r="AB89" s="46">
        <f t="shared" si="145"/>
        <v>0.34771245405737089</v>
      </c>
      <c r="AC89" s="46">
        <f t="shared" si="146"/>
        <v>0.705175130017201</v>
      </c>
      <c r="AD89" s="46">
        <f t="shared" si="147"/>
        <v>1.4419879059038361</v>
      </c>
      <c r="AE89" s="46">
        <f t="shared" si="148"/>
        <v>6.4936187772255197E-2</v>
      </c>
      <c r="AF89" s="46">
        <f t="shared" si="149"/>
        <v>0.21279527146076338</v>
      </c>
      <c r="AG89" s="46">
        <f t="shared" si="150"/>
        <v>0.75985245938912538</v>
      </c>
      <c r="AH89" s="46">
        <f t="shared" si="151"/>
        <v>0.60996313951620018</v>
      </c>
      <c r="AI89" s="46">
        <f t="shared" si="152"/>
        <v>59.202731470753704</v>
      </c>
      <c r="AJ89" s="46">
        <f t="shared" si="153"/>
        <v>96.236171231741821</v>
      </c>
      <c r="AK89" s="38"/>
      <c r="AL89" s="38" t="str">
        <f t="shared" si="154"/>
        <v>ctrad</v>
      </c>
      <c r="AM89" s="46">
        <f>_xlfn.IFNA(INDEX(SAM!$B$8:$HC$215,MATCH($AL89,SAM!$A$8:$A$215,0),MATCH(AM$48,SAM!$B$7:$HC$7,0)),0)</f>
        <v>0.68412402101936987</v>
      </c>
      <c r="AN89" s="46">
        <f>_xlfn.IFNA(INDEX(SAM!$B$8:$HC$215,MATCH($AL89,SAM!$A$8:$A$215,0),MATCH(AN$48,SAM!$B$7:$HC$7,0)),0)</f>
        <v>1.6521636417326195</v>
      </c>
      <c r="AO89" s="46">
        <f>_xlfn.IFNA(INDEX(SAM!$B$8:$HC$215,MATCH($AL89,SAM!$A$8:$A$215,0),MATCH(AO$48,SAM!$B$7:$HC$7,0)),0)</f>
        <v>3.8562522355788027</v>
      </c>
      <c r="AP89" s="46">
        <f>_xlfn.IFNA(INDEX(SAM!$B$8:$HC$215,MATCH($AL89,SAM!$A$8:$A$215,0),MATCH(AP$48,SAM!$B$7:$HC$7,0)),0)</f>
        <v>8.0745807225715929</v>
      </c>
      <c r="AQ89" s="46">
        <f>_xlfn.IFNA(INDEX(SAM!$B$8:$HC$215,MATCH($AL89,SAM!$A$8:$A$215,0),MATCH(AQ$48,SAM!$B$7:$HC$7,0)),0)</f>
        <v>18.395543638848604</v>
      </c>
      <c r="AR89" s="46">
        <f>_xlfn.IFNA(INDEX(SAM!$B$8:$HC$215,MATCH($AL89,SAM!$A$8:$A$215,0),MATCH(AR$48,SAM!$B$7:$HC$7,0)),0)</f>
        <v>4.9758061823074552E-2</v>
      </c>
      <c r="AS89" s="46">
        <f>_xlfn.IFNA(INDEX(SAM!$B$8:$HC$215,MATCH($AL89,SAM!$A$8:$A$215,0),MATCH(AS$48,SAM!$B$7:$HC$7,0)),0)</f>
        <v>0.17859489129728401</v>
      </c>
      <c r="AT89" s="46">
        <f>_xlfn.IFNA(INDEX(SAM!$B$8:$HC$215,MATCH($AL89,SAM!$A$8:$A$215,0),MATCH(AT$48,SAM!$B$7:$HC$7,0)),0)</f>
        <v>0.34771245405737089</v>
      </c>
      <c r="AU89" s="46">
        <f>_xlfn.IFNA(INDEX(SAM!$B$8:$HC$215,MATCH($AL89,SAM!$A$8:$A$215,0),MATCH(AU$48,SAM!$B$7:$HC$7,0)),0)</f>
        <v>0.705175130017201</v>
      </c>
      <c r="AV89" s="46">
        <f>_xlfn.IFNA(INDEX(SAM!$B$8:$HC$215,MATCH($AL89,SAM!$A$8:$A$215,0),MATCH(AV$48,SAM!$B$7:$HC$7,0)),0)</f>
        <v>1.4419879059038361</v>
      </c>
      <c r="AW89" s="46">
        <f>_xlfn.IFNA(INDEX(SAM!$B$8:$HC$215,MATCH($AL89,SAM!$A$8:$A$215,0),MATCH(AW$48,SAM!$B$7:$HC$7,0)),0)</f>
        <v>6.4936187772255197E-2</v>
      </c>
      <c r="AX89" s="46">
        <f>_xlfn.IFNA(INDEX(SAM!$B$8:$HC$215,MATCH($AL89,SAM!$A$8:$A$215,0),MATCH(AX$48,SAM!$B$7:$HC$7,0)),0)</f>
        <v>0.21279527146076338</v>
      </c>
      <c r="AY89" s="46">
        <f>_xlfn.IFNA(INDEX(SAM!$B$8:$HC$215,MATCH($AL89,SAM!$A$8:$A$215,0),MATCH(AY$48,SAM!$B$7:$HC$7,0)),0)</f>
        <v>0.75985245938912538</v>
      </c>
      <c r="AZ89" s="46">
        <f>_xlfn.IFNA(INDEX(SAM!$B$8:$HC$215,MATCH($AL89,SAM!$A$8:$A$215,0),MATCH(AZ$48,SAM!$B$7:$HC$7,0)),0)</f>
        <v>0.60996313951620018</v>
      </c>
      <c r="BA89" s="46">
        <f>_xlfn.IFNA(INDEX(SAM!$B$8:$HC$215,MATCH($AL89,SAM!$A$8:$A$215,0),MATCH(BA$48,SAM!$B$7:$HC$7,0)),0)</f>
        <v>59.202731470753704</v>
      </c>
      <c r="BB89" s="46"/>
      <c r="BC89" s="38" t="str">
        <f t="shared" si="155"/>
        <v>atrad</v>
      </c>
      <c r="BD89" s="46">
        <f>_xlfn.IFNA(INDEX(SAM!$B$8:$HC$215,MATCH($BC89,SAM!$A$8:$A$215,0),MATCH(BD$48,SAM!$B$7:$HC$7,0)),0)</f>
        <v>0</v>
      </c>
      <c r="BE89" s="46">
        <f>_xlfn.IFNA(INDEX(SAM!$B$8:$HC$215,MATCH($BC89,SAM!$A$8:$A$215,0),MATCH(BE$48,SAM!$B$7:$HC$7,0)),0)</f>
        <v>0</v>
      </c>
      <c r="BF89" s="46">
        <f>_xlfn.IFNA(INDEX(SAM!$B$8:$HC$215,MATCH($BC89,SAM!$A$8:$A$215,0),MATCH(BF$48,SAM!$B$7:$HC$7,0)),0)</f>
        <v>0</v>
      </c>
      <c r="BG89" s="46">
        <f>_xlfn.IFNA(INDEX(SAM!$B$8:$HC$215,MATCH($BC89,SAM!$A$8:$A$215,0),MATCH(BG$48,SAM!$B$7:$HC$7,0)),0)</f>
        <v>0</v>
      </c>
      <c r="BH89" s="46">
        <f>_xlfn.IFNA(INDEX(SAM!$B$8:$HC$215,MATCH($BC89,SAM!$A$8:$A$215,0),MATCH(BH$48,SAM!$B$7:$HC$7,0)),0)</f>
        <v>0</v>
      </c>
      <c r="BI89" s="46">
        <f>_xlfn.IFNA(INDEX(SAM!$B$8:$HC$215,MATCH($BC89,SAM!$A$8:$A$215,0),MATCH(BI$48,SAM!$B$7:$HC$7,0)),0)</f>
        <v>0</v>
      </c>
      <c r="BJ89" s="46">
        <f>_xlfn.IFNA(INDEX(SAM!$B$8:$HC$215,MATCH($BC89,SAM!$A$8:$A$215,0),MATCH(BJ$48,SAM!$B$7:$HC$7,0)),0)</f>
        <v>0</v>
      </c>
      <c r="BK89" s="46">
        <f>_xlfn.IFNA(INDEX(SAM!$B$8:$HC$215,MATCH($BC89,SAM!$A$8:$A$215,0),MATCH(BK$48,SAM!$B$7:$HC$7,0)),0)</f>
        <v>0</v>
      </c>
      <c r="BL89" s="46">
        <f>_xlfn.IFNA(INDEX(SAM!$B$8:$HC$215,MATCH($BC89,SAM!$A$8:$A$215,0),MATCH(BL$48,SAM!$B$7:$HC$7,0)),0)</f>
        <v>0</v>
      </c>
      <c r="BM89" s="46">
        <f>_xlfn.IFNA(INDEX(SAM!$B$8:$HC$215,MATCH($BC89,SAM!$A$8:$A$215,0),MATCH(BM$48,SAM!$B$7:$HC$7,0)),0)</f>
        <v>0</v>
      </c>
      <c r="BN89" s="46">
        <f>_xlfn.IFNA(INDEX(SAM!$B$8:$HC$215,MATCH($BC89,SAM!$A$8:$A$215,0),MATCH(BN$48,SAM!$B$7:$HC$7,0)),0)</f>
        <v>0</v>
      </c>
      <c r="BO89" s="46">
        <f>_xlfn.IFNA(INDEX(SAM!$B$8:$HC$215,MATCH($BC89,SAM!$A$8:$A$215,0),MATCH(BO$48,SAM!$B$7:$HC$7,0)),0)</f>
        <v>0</v>
      </c>
      <c r="BP89" s="46">
        <f>_xlfn.IFNA(INDEX(SAM!$B$8:$HC$215,MATCH($BC89,SAM!$A$8:$A$215,0),MATCH(BP$48,SAM!$B$7:$HC$7,0)),0)</f>
        <v>0</v>
      </c>
      <c r="BQ89" s="46">
        <f>_xlfn.IFNA(INDEX(SAM!$B$8:$HC$215,MATCH($BC89,SAM!$A$8:$A$215,0),MATCH(BQ$48,SAM!$B$7:$HC$7,0)),0)</f>
        <v>0</v>
      </c>
      <c r="BR89" s="46">
        <f>_xlfn.IFNA(INDEX(SAM!$B$8:$HC$215,MATCH($BC89,SAM!$A$8:$A$215,0),MATCH(BR$48,SAM!$B$7:$HC$7,0)),0)</f>
        <v>0</v>
      </c>
      <c r="BT89" t="str">
        <f t="shared" si="109"/>
        <v>ctrad</v>
      </c>
      <c r="BU89" s="7">
        <f t="shared" si="110"/>
        <v>96.236171231741821</v>
      </c>
      <c r="BW89" s="51" t="s">
        <v>204</v>
      </c>
      <c r="BX89" s="43">
        <f t="shared" si="116"/>
        <v>6.8661389734768363</v>
      </c>
    </row>
    <row r="90" spans="1:76" x14ac:dyDescent="0.25">
      <c r="A90" t="str">
        <f t="shared" si="136"/>
        <v>trade, transport and comm</v>
      </c>
      <c r="B90" t="s">
        <v>48</v>
      </c>
      <c r="C90" s="18">
        <f t="shared" si="79"/>
        <v>1.3656431692466862</v>
      </c>
      <c r="D90" s="18">
        <f t="shared" si="80"/>
        <v>1.9597077732308739</v>
      </c>
      <c r="E90" s="18">
        <f t="shared" si="81"/>
        <v>3.0074064055490601</v>
      </c>
      <c r="F90" s="18">
        <f t="shared" si="82"/>
        <v>5.1776297610753508</v>
      </c>
      <c r="G90" s="18">
        <f t="shared" si="83"/>
        <v>11.015847802261833</v>
      </c>
      <c r="H90" s="18">
        <f t="shared" si="84"/>
        <v>0.86277000065482012</v>
      </c>
      <c r="I90" s="18">
        <f t="shared" si="85"/>
        <v>1.6600541384349865</v>
      </c>
      <c r="J90" s="18">
        <f t="shared" si="86"/>
        <v>2.8856892804329104</v>
      </c>
      <c r="K90" s="18">
        <f t="shared" si="87"/>
        <v>3.8093537104844444</v>
      </c>
      <c r="L90" s="18">
        <f t="shared" si="88"/>
        <v>9.8430480027926279</v>
      </c>
      <c r="M90" s="18">
        <f t="shared" si="89"/>
        <v>4.5938171127319318</v>
      </c>
      <c r="N90" s="18">
        <f t="shared" si="90"/>
        <v>7.0297983561104589</v>
      </c>
      <c r="O90" s="18">
        <f t="shared" si="91"/>
        <v>8.1401475362289499</v>
      </c>
      <c r="P90" s="18">
        <f t="shared" si="92"/>
        <v>16.134645865707316</v>
      </c>
      <c r="Q90" s="18">
        <f t="shared" si="93"/>
        <v>21.574364128874326</v>
      </c>
      <c r="R90" s="18">
        <f t="shared" si="94"/>
        <v>12.683474916050098</v>
      </c>
      <c r="T90" t="str">
        <f t="shared" si="137"/>
        <v>tran</v>
      </c>
      <c r="U90" s="18">
        <f t="shared" si="138"/>
        <v>4.0152788313150545</v>
      </c>
      <c r="V90" s="18">
        <f t="shared" si="139"/>
        <v>8.5352835918509218</v>
      </c>
      <c r="W90" s="18">
        <f t="shared" si="140"/>
        <v>17.971151212945671</v>
      </c>
      <c r="X90" s="18">
        <f t="shared" si="141"/>
        <v>44.493358664873398</v>
      </c>
      <c r="Y90" s="18">
        <f t="shared" si="142"/>
        <v>104.80842115276053</v>
      </c>
      <c r="Z90" s="18">
        <f t="shared" si="143"/>
        <v>0.48846280590650631</v>
      </c>
      <c r="AA90" s="18">
        <f t="shared" si="144"/>
        <v>1.4014005233445366</v>
      </c>
      <c r="AB90" s="18">
        <f t="shared" si="145"/>
        <v>2.9514903804168813</v>
      </c>
      <c r="AC90" s="18">
        <f t="shared" si="146"/>
        <v>4.9814850383625267</v>
      </c>
      <c r="AD90" s="18">
        <f t="shared" si="147"/>
        <v>16.451995040093603</v>
      </c>
      <c r="AE90" s="18">
        <f t="shared" si="148"/>
        <v>1.3419290265182162</v>
      </c>
      <c r="AF90" s="18">
        <f t="shared" si="149"/>
        <v>4.2824182221783236</v>
      </c>
      <c r="AG90" s="18">
        <f t="shared" si="150"/>
        <v>8.4734591707336033</v>
      </c>
      <c r="AH90" s="18">
        <f t="shared" si="151"/>
        <v>35.702107867392542</v>
      </c>
      <c r="AI90" s="18">
        <f t="shared" si="152"/>
        <v>639.260900383852</v>
      </c>
      <c r="AJ90" s="18">
        <f t="shared" si="153"/>
        <v>895.15914191254433</v>
      </c>
      <c r="AL90" t="str">
        <f t="shared" si="154"/>
        <v>ctran</v>
      </c>
      <c r="AM90" s="18">
        <f>_xlfn.IFNA(INDEX(SAM!$B$8:$HC$215,MATCH($AL90,SAM!$A$8:$A$215,0),MATCH(AM$48,SAM!$B$7:$HC$7,0)),0)</f>
        <v>4.0152788313150545</v>
      </c>
      <c r="AN90" s="18">
        <f>_xlfn.IFNA(INDEX(SAM!$B$8:$HC$215,MATCH($AL90,SAM!$A$8:$A$215,0),MATCH(AN$48,SAM!$B$7:$HC$7,0)),0)</f>
        <v>8.5352835918509218</v>
      </c>
      <c r="AO90" s="18">
        <f>_xlfn.IFNA(INDEX(SAM!$B$8:$HC$215,MATCH($AL90,SAM!$A$8:$A$215,0),MATCH(AO$48,SAM!$B$7:$HC$7,0)),0)</f>
        <v>17.971151212945671</v>
      </c>
      <c r="AP90" s="18">
        <f>_xlfn.IFNA(INDEX(SAM!$B$8:$HC$215,MATCH($AL90,SAM!$A$8:$A$215,0),MATCH(AP$48,SAM!$B$7:$HC$7,0)),0)</f>
        <v>44.493358664873398</v>
      </c>
      <c r="AQ90" s="18">
        <f>_xlfn.IFNA(INDEX(SAM!$B$8:$HC$215,MATCH($AL90,SAM!$A$8:$A$215,0),MATCH(AQ$48,SAM!$B$7:$HC$7,0)),0)</f>
        <v>104.80842115276053</v>
      </c>
      <c r="AR90" s="18">
        <f>_xlfn.IFNA(INDEX(SAM!$B$8:$HC$215,MATCH($AL90,SAM!$A$8:$A$215,0),MATCH(AR$48,SAM!$B$7:$HC$7,0)),0)</f>
        <v>0.48846280590650631</v>
      </c>
      <c r="AS90" s="18">
        <f>_xlfn.IFNA(INDEX(SAM!$B$8:$HC$215,MATCH($AL90,SAM!$A$8:$A$215,0),MATCH(AS$48,SAM!$B$7:$HC$7,0)),0)</f>
        <v>1.4014005233445366</v>
      </c>
      <c r="AT90" s="18">
        <f>_xlfn.IFNA(INDEX(SAM!$B$8:$HC$215,MATCH($AL90,SAM!$A$8:$A$215,0),MATCH(AT$48,SAM!$B$7:$HC$7,0)),0)</f>
        <v>2.9514903804168813</v>
      </c>
      <c r="AU90" s="18">
        <f>_xlfn.IFNA(INDEX(SAM!$B$8:$HC$215,MATCH($AL90,SAM!$A$8:$A$215,0),MATCH(AU$48,SAM!$B$7:$HC$7,0)),0)</f>
        <v>4.9814850383625267</v>
      </c>
      <c r="AV90" s="18">
        <f>_xlfn.IFNA(INDEX(SAM!$B$8:$HC$215,MATCH($AL90,SAM!$A$8:$A$215,0),MATCH(AV$48,SAM!$B$7:$HC$7,0)),0)</f>
        <v>16.451995040093603</v>
      </c>
      <c r="AW90" s="18">
        <f>_xlfn.IFNA(INDEX(SAM!$B$8:$HC$215,MATCH($AL90,SAM!$A$8:$A$215,0),MATCH(AW$48,SAM!$B$7:$HC$7,0)),0)</f>
        <v>1.3419290265182162</v>
      </c>
      <c r="AX90" s="18">
        <f>_xlfn.IFNA(INDEX(SAM!$B$8:$HC$215,MATCH($AL90,SAM!$A$8:$A$215,0),MATCH(AX$48,SAM!$B$7:$HC$7,0)),0)</f>
        <v>4.2824182221783236</v>
      </c>
      <c r="AY90" s="18">
        <f>_xlfn.IFNA(INDEX(SAM!$B$8:$HC$215,MATCH($AL90,SAM!$A$8:$A$215,0),MATCH(AY$48,SAM!$B$7:$HC$7,0)),0)</f>
        <v>8.4734591707336033</v>
      </c>
      <c r="AZ90" s="18">
        <f>_xlfn.IFNA(INDEX(SAM!$B$8:$HC$215,MATCH($AL90,SAM!$A$8:$A$215,0),MATCH(AZ$48,SAM!$B$7:$HC$7,0)),0)</f>
        <v>35.702107867392542</v>
      </c>
      <c r="BA90" s="18">
        <f>_xlfn.IFNA(INDEX(SAM!$B$8:$HC$215,MATCH($AL90,SAM!$A$8:$A$215,0),MATCH(BA$48,SAM!$B$7:$HC$7,0)),0)</f>
        <v>639.260900383852</v>
      </c>
      <c r="BB90" s="18"/>
      <c r="BC90" t="str">
        <f t="shared" si="155"/>
        <v>atran</v>
      </c>
      <c r="BD90" s="18">
        <f>_xlfn.IFNA(INDEX(SAM!$B$8:$HC$215,MATCH($BC90,SAM!$A$8:$A$215,0),MATCH(BD$48,SAM!$B$7:$HC$7,0)),0)</f>
        <v>0</v>
      </c>
      <c r="BE90" s="18">
        <f>_xlfn.IFNA(INDEX(SAM!$B$8:$HC$215,MATCH($BC90,SAM!$A$8:$A$215,0),MATCH(BE$48,SAM!$B$7:$HC$7,0)),0)</f>
        <v>0</v>
      </c>
      <c r="BF90" s="18">
        <f>_xlfn.IFNA(INDEX(SAM!$B$8:$HC$215,MATCH($BC90,SAM!$A$8:$A$215,0),MATCH(BF$48,SAM!$B$7:$HC$7,0)),0)</f>
        <v>0</v>
      </c>
      <c r="BG90" s="18">
        <f>_xlfn.IFNA(INDEX(SAM!$B$8:$HC$215,MATCH($BC90,SAM!$A$8:$A$215,0),MATCH(BG$48,SAM!$B$7:$HC$7,0)),0)</f>
        <v>0</v>
      </c>
      <c r="BH90" s="18">
        <f>_xlfn.IFNA(INDEX(SAM!$B$8:$HC$215,MATCH($BC90,SAM!$A$8:$A$215,0),MATCH(BH$48,SAM!$B$7:$HC$7,0)),0)</f>
        <v>0</v>
      </c>
      <c r="BI90" s="18">
        <f>_xlfn.IFNA(INDEX(SAM!$B$8:$HC$215,MATCH($BC90,SAM!$A$8:$A$215,0),MATCH(BI$48,SAM!$B$7:$HC$7,0)),0)</f>
        <v>0</v>
      </c>
      <c r="BJ90" s="18">
        <f>_xlfn.IFNA(INDEX(SAM!$B$8:$HC$215,MATCH($BC90,SAM!$A$8:$A$215,0),MATCH(BJ$48,SAM!$B$7:$HC$7,0)),0)</f>
        <v>0</v>
      </c>
      <c r="BK90" s="18">
        <f>_xlfn.IFNA(INDEX(SAM!$B$8:$HC$215,MATCH($BC90,SAM!$A$8:$A$215,0),MATCH(BK$48,SAM!$B$7:$HC$7,0)),0)</f>
        <v>0</v>
      </c>
      <c r="BL90" s="18">
        <f>_xlfn.IFNA(INDEX(SAM!$B$8:$HC$215,MATCH($BC90,SAM!$A$8:$A$215,0),MATCH(BL$48,SAM!$B$7:$HC$7,0)),0)</f>
        <v>0</v>
      </c>
      <c r="BM90" s="18">
        <f>_xlfn.IFNA(INDEX(SAM!$B$8:$HC$215,MATCH($BC90,SAM!$A$8:$A$215,0),MATCH(BM$48,SAM!$B$7:$HC$7,0)),0)</f>
        <v>0</v>
      </c>
      <c r="BN90" s="18">
        <f>_xlfn.IFNA(INDEX(SAM!$B$8:$HC$215,MATCH($BC90,SAM!$A$8:$A$215,0),MATCH(BN$48,SAM!$B$7:$HC$7,0)),0)</f>
        <v>0</v>
      </c>
      <c r="BO90" s="18">
        <f>_xlfn.IFNA(INDEX(SAM!$B$8:$HC$215,MATCH($BC90,SAM!$A$8:$A$215,0),MATCH(BO$48,SAM!$B$7:$HC$7,0)),0)</f>
        <v>0</v>
      </c>
      <c r="BP90" s="18">
        <f>_xlfn.IFNA(INDEX(SAM!$B$8:$HC$215,MATCH($BC90,SAM!$A$8:$A$215,0),MATCH(BP$48,SAM!$B$7:$HC$7,0)),0)</f>
        <v>0</v>
      </c>
      <c r="BQ90" s="18">
        <f>_xlfn.IFNA(INDEX(SAM!$B$8:$HC$215,MATCH($BC90,SAM!$A$8:$A$215,0),MATCH(BQ$48,SAM!$B$7:$HC$7,0)),0)</f>
        <v>0</v>
      </c>
      <c r="BR90" s="18">
        <f>_xlfn.IFNA(INDEX(SAM!$B$8:$HC$215,MATCH($BC90,SAM!$A$8:$A$215,0),MATCH(BR$48,SAM!$B$7:$HC$7,0)),0)</f>
        <v>0</v>
      </c>
      <c r="BT90" t="str">
        <f t="shared" si="109"/>
        <v>ctran</v>
      </c>
      <c r="BU90" s="7">
        <f t="shared" si="110"/>
        <v>895.15914191254433</v>
      </c>
      <c r="BW90" s="51" t="s">
        <v>205</v>
      </c>
      <c r="BX90" s="43">
        <f t="shared" si="116"/>
        <v>1.3949692445438784</v>
      </c>
    </row>
    <row r="91" spans="1:76" x14ac:dyDescent="0.25">
      <c r="A91" s="26" t="str">
        <f t="shared" si="136"/>
        <v>other services</v>
      </c>
      <c r="B91" s="26" t="s">
        <v>50</v>
      </c>
      <c r="C91" s="45">
        <f t="shared" si="79"/>
        <v>0.82252061205595939</v>
      </c>
      <c r="D91" s="45">
        <f t="shared" si="80"/>
        <v>1.3553188031314949</v>
      </c>
      <c r="E91" s="45">
        <f t="shared" si="81"/>
        <v>1.8164436585785411</v>
      </c>
      <c r="F91" s="45">
        <f t="shared" si="82"/>
        <v>2.1234451731853916</v>
      </c>
      <c r="G91" s="45">
        <f t="shared" si="83"/>
        <v>2.3241986485388906</v>
      </c>
      <c r="H91" s="45">
        <f t="shared" si="84"/>
        <v>0.76632659807117987</v>
      </c>
      <c r="I91" s="45">
        <f t="shared" si="85"/>
        <v>1.4189029071530725</v>
      </c>
      <c r="J91" s="45">
        <f t="shared" si="86"/>
        <v>1.8494465637455566</v>
      </c>
      <c r="K91" s="45">
        <f t="shared" si="87"/>
        <v>1.9863837654637293</v>
      </c>
      <c r="L91" s="45">
        <f t="shared" si="88"/>
        <v>2.1755772205180777</v>
      </c>
      <c r="M91" s="45">
        <f t="shared" si="89"/>
        <v>1.4571906802798624</v>
      </c>
      <c r="N91" s="45">
        <f t="shared" si="90"/>
        <v>1.9116668958131886</v>
      </c>
      <c r="O91" s="45">
        <f t="shared" si="91"/>
        <v>2.346696046767486</v>
      </c>
      <c r="P91" s="45">
        <f t="shared" si="92"/>
        <v>3.1450786286630281</v>
      </c>
      <c r="Q91" s="45">
        <f t="shared" si="93"/>
        <v>2.717895330485693</v>
      </c>
      <c r="R91" s="45">
        <f t="shared" si="94"/>
        <v>2.2786358573124708</v>
      </c>
      <c r="S91" s="26"/>
      <c r="T91" s="26" t="str">
        <f t="shared" si="137"/>
        <v>comm</v>
      </c>
      <c r="U91" s="45">
        <f t="shared" si="138"/>
        <v>2.4183840085623522</v>
      </c>
      <c r="V91" s="45">
        <f t="shared" si="139"/>
        <v>5.9029363970035362</v>
      </c>
      <c r="W91" s="45">
        <f t="shared" si="140"/>
        <v>10.854397196826978</v>
      </c>
      <c r="X91" s="45">
        <f t="shared" si="141"/>
        <v>18.2475789223116</v>
      </c>
      <c r="Y91" s="45">
        <f t="shared" si="142"/>
        <v>22.113195023330345</v>
      </c>
      <c r="Z91" s="45">
        <f t="shared" si="143"/>
        <v>0.43386075089599224</v>
      </c>
      <c r="AA91" s="45">
        <f t="shared" si="144"/>
        <v>1.19782314963174</v>
      </c>
      <c r="AB91" s="45">
        <f t="shared" si="145"/>
        <v>1.8916186780758202</v>
      </c>
      <c r="AC91" s="45">
        <f t="shared" si="146"/>
        <v>2.5975904996350145</v>
      </c>
      <c r="AD91" s="45">
        <f t="shared" si="147"/>
        <v>3.6363315134853678</v>
      </c>
      <c r="AE91" s="45">
        <f t="shared" si="148"/>
        <v>0.42566920342122061</v>
      </c>
      <c r="AF91" s="45">
        <f t="shared" si="149"/>
        <v>1.1645507786506464</v>
      </c>
      <c r="AG91" s="45">
        <f t="shared" si="150"/>
        <v>2.4427853487798226</v>
      </c>
      <c r="AH91" s="45">
        <f t="shared" si="151"/>
        <v>6.9593059176223839</v>
      </c>
      <c r="AI91" s="45">
        <f t="shared" si="152"/>
        <v>80.532812264442157</v>
      </c>
      <c r="AJ91" s="45">
        <f t="shared" si="153"/>
        <v>160.818839652675</v>
      </c>
      <c r="AK91" s="26"/>
      <c r="AL91" s="26" t="str">
        <f t="shared" si="154"/>
        <v>ccomm</v>
      </c>
      <c r="AM91" s="45">
        <f>_xlfn.IFNA(INDEX(SAM!$B$8:$HC$215,MATCH($AL91,SAM!$A$8:$A$215,0),MATCH(AM$48,SAM!$B$7:$HC$7,0)),0)</f>
        <v>2.4183840085623522</v>
      </c>
      <c r="AN91" s="45">
        <f>_xlfn.IFNA(INDEX(SAM!$B$8:$HC$215,MATCH($AL91,SAM!$A$8:$A$215,0),MATCH(AN$48,SAM!$B$7:$HC$7,0)),0)</f>
        <v>5.9029363970035362</v>
      </c>
      <c r="AO91" s="45">
        <f>_xlfn.IFNA(INDEX(SAM!$B$8:$HC$215,MATCH($AL91,SAM!$A$8:$A$215,0),MATCH(AO$48,SAM!$B$7:$HC$7,0)),0)</f>
        <v>10.854397196826978</v>
      </c>
      <c r="AP91" s="45">
        <f>_xlfn.IFNA(INDEX(SAM!$B$8:$HC$215,MATCH($AL91,SAM!$A$8:$A$215,0),MATCH(AP$48,SAM!$B$7:$HC$7,0)),0)</f>
        <v>18.2475789223116</v>
      </c>
      <c r="AQ91" s="45">
        <f>_xlfn.IFNA(INDEX(SAM!$B$8:$HC$215,MATCH($AL91,SAM!$A$8:$A$215,0),MATCH(AQ$48,SAM!$B$7:$HC$7,0)),0)</f>
        <v>22.113195023330345</v>
      </c>
      <c r="AR91" s="45">
        <f>_xlfn.IFNA(INDEX(SAM!$B$8:$HC$215,MATCH($AL91,SAM!$A$8:$A$215,0),MATCH(AR$48,SAM!$B$7:$HC$7,0)),0)</f>
        <v>0.43386075089599224</v>
      </c>
      <c r="AS91" s="45">
        <f>_xlfn.IFNA(INDEX(SAM!$B$8:$HC$215,MATCH($AL91,SAM!$A$8:$A$215,0),MATCH(AS$48,SAM!$B$7:$HC$7,0)),0)</f>
        <v>1.19782314963174</v>
      </c>
      <c r="AT91" s="45">
        <f>_xlfn.IFNA(INDEX(SAM!$B$8:$HC$215,MATCH($AL91,SAM!$A$8:$A$215,0),MATCH(AT$48,SAM!$B$7:$HC$7,0)),0)</f>
        <v>1.8916186780758202</v>
      </c>
      <c r="AU91" s="45">
        <f>_xlfn.IFNA(INDEX(SAM!$B$8:$HC$215,MATCH($AL91,SAM!$A$8:$A$215,0),MATCH(AU$48,SAM!$B$7:$HC$7,0)),0)</f>
        <v>2.5975904996350145</v>
      </c>
      <c r="AV91" s="45">
        <f>_xlfn.IFNA(INDEX(SAM!$B$8:$HC$215,MATCH($AL91,SAM!$A$8:$A$215,0),MATCH(AV$48,SAM!$B$7:$HC$7,0)),0)</f>
        <v>3.6363315134853678</v>
      </c>
      <c r="AW91" s="45">
        <f>_xlfn.IFNA(INDEX(SAM!$B$8:$HC$215,MATCH($AL91,SAM!$A$8:$A$215,0),MATCH(AW$48,SAM!$B$7:$HC$7,0)),0)</f>
        <v>0.42566920342122061</v>
      </c>
      <c r="AX91" s="45">
        <f>_xlfn.IFNA(INDEX(SAM!$B$8:$HC$215,MATCH($AL91,SAM!$A$8:$A$215,0),MATCH(AX$48,SAM!$B$7:$HC$7,0)),0)</f>
        <v>1.1645507786506464</v>
      </c>
      <c r="AY91" s="45">
        <f>_xlfn.IFNA(INDEX(SAM!$B$8:$HC$215,MATCH($AL91,SAM!$A$8:$A$215,0),MATCH(AY$48,SAM!$B$7:$HC$7,0)),0)</f>
        <v>2.4427853487798226</v>
      </c>
      <c r="AZ91" s="45">
        <f>_xlfn.IFNA(INDEX(SAM!$B$8:$HC$215,MATCH($AL91,SAM!$A$8:$A$215,0),MATCH(AZ$48,SAM!$B$7:$HC$7,0)),0)</f>
        <v>6.9593059176223839</v>
      </c>
      <c r="BA91" s="45">
        <f>_xlfn.IFNA(INDEX(SAM!$B$8:$HC$215,MATCH($AL91,SAM!$A$8:$A$215,0),MATCH(BA$48,SAM!$B$7:$HC$7,0)),0)</f>
        <v>80.532812264442157</v>
      </c>
      <c r="BB91" s="45"/>
      <c r="BC91" s="26" t="str">
        <f t="shared" si="155"/>
        <v>acomm</v>
      </c>
      <c r="BD91" s="45">
        <f>_xlfn.IFNA(INDEX(SAM!$B$8:$HC$215,MATCH($BC91,SAM!$A$8:$A$215,0),MATCH(BD$48,SAM!$B$7:$HC$7,0)),0)</f>
        <v>0</v>
      </c>
      <c r="BE91" s="45">
        <f>_xlfn.IFNA(INDEX(SAM!$B$8:$HC$215,MATCH($BC91,SAM!$A$8:$A$215,0),MATCH(BE$48,SAM!$B$7:$HC$7,0)),0)</f>
        <v>0</v>
      </c>
      <c r="BF91" s="45">
        <f>_xlfn.IFNA(INDEX(SAM!$B$8:$HC$215,MATCH($BC91,SAM!$A$8:$A$215,0),MATCH(BF$48,SAM!$B$7:$HC$7,0)),0)</f>
        <v>0</v>
      </c>
      <c r="BG91" s="45">
        <f>_xlfn.IFNA(INDEX(SAM!$B$8:$HC$215,MATCH($BC91,SAM!$A$8:$A$215,0),MATCH(BG$48,SAM!$B$7:$HC$7,0)),0)</f>
        <v>0</v>
      </c>
      <c r="BH91" s="45">
        <f>_xlfn.IFNA(INDEX(SAM!$B$8:$HC$215,MATCH($BC91,SAM!$A$8:$A$215,0),MATCH(BH$48,SAM!$B$7:$HC$7,0)),0)</f>
        <v>0</v>
      </c>
      <c r="BI91" s="45">
        <f>_xlfn.IFNA(INDEX(SAM!$B$8:$HC$215,MATCH($BC91,SAM!$A$8:$A$215,0),MATCH(BI$48,SAM!$B$7:$HC$7,0)),0)</f>
        <v>0</v>
      </c>
      <c r="BJ91" s="45">
        <f>_xlfn.IFNA(INDEX(SAM!$B$8:$HC$215,MATCH($BC91,SAM!$A$8:$A$215,0),MATCH(BJ$48,SAM!$B$7:$HC$7,0)),0)</f>
        <v>0</v>
      </c>
      <c r="BK91" s="45">
        <f>_xlfn.IFNA(INDEX(SAM!$B$8:$HC$215,MATCH($BC91,SAM!$A$8:$A$215,0),MATCH(BK$48,SAM!$B$7:$HC$7,0)),0)</f>
        <v>0</v>
      </c>
      <c r="BL91" s="45">
        <f>_xlfn.IFNA(INDEX(SAM!$B$8:$HC$215,MATCH($BC91,SAM!$A$8:$A$215,0),MATCH(BL$48,SAM!$B$7:$HC$7,0)),0)</f>
        <v>0</v>
      </c>
      <c r="BM91" s="45">
        <f>_xlfn.IFNA(INDEX(SAM!$B$8:$HC$215,MATCH($BC91,SAM!$A$8:$A$215,0),MATCH(BM$48,SAM!$B$7:$HC$7,0)),0)</f>
        <v>0</v>
      </c>
      <c r="BN91" s="45">
        <f>_xlfn.IFNA(INDEX(SAM!$B$8:$HC$215,MATCH($BC91,SAM!$A$8:$A$215,0),MATCH(BN$48,SAM!$B$7:$HC$7,0)),0)</f>
        <v>0</v>
      </c>
      <c r="BO91" s="45">
        <f>_xlfn.IFNA(INDEX(SAM!$B$8:$HC$215,MATCH($BC91,SAM!$A$8:$A$215,0),MATCH(BO$48,SAM!$B$7:$HC$7,0)),0)</f>
        <v>0</v>
      </c>
      <c r="BP91" s="45">
        <f>_xlfn.IFNA(INDEX(SAM!$B$8:$HC$215,MATCH($BC91,SAM!$A$8:$A$215,0),MATCH(BP$48,SAM!$B$7:$HC$7,0)),0)</f>
        <v>0</v>
      </c>
      <c r="BQ91" s="45">
        <f>_xlfn.IFNA(INDEX(SAM!$B$8:$HC$215,MATCH($BC91,SAM!$A$8:$A$215,0),MATCH(BQ$48,SAM!$B$7:$HC$7,0)),0)</f>
        <v>0</v>
      </c>
      <c r="BR91" s="45">
        <f>_xlfn.IFNA(INDEX(SAM!$B$8:$HC$215,MATCH($BC91,SAM!$A$8:$A$215,0),MATCH(BR$48,SAM!$B$7:$HC$7,0)),0)</f>
        <v>0</v>
      </c>
      <c r="BT91" t="str">
        <f t="shared" si="109"/>
        <v>ccomm</v>
      </c>
      <c r="BU91" s="7">
        <f t="shared" si="110"/>
        <v>160.818839652675</v>
      </c>
      <c r="BW91" s="51" t="s">
        <v>206</v>
      </c>
      <c r="BX91" s="43">
        <f t="shared" si="116"/>
        <v>0.74950731321406161</v>
      </c>
    </row>
    <row r="92" spans="1:76" x14ac:dyDescent="0.25">
      <c r="A92" t="str">
        <f t="shared" si="136"/>
        <v>other services</v>
      </c>
      <c r="B92" t="s">
        <v>51</v>
      </c>
      <c r="C92" s="18">
        <f t="shared" si="79"/>
        <v>5.0901191425153751</v>
      </c>
      <c r="D92" s="18">
        <f t="shared" si="80"/>
        <v>4.3417413126287308</v>
      </c>
      <c r="E92" s="18">
        <f t="shared" si="81"/>
        <v>3.7924330613864394</v>
      </c>
      <c r="F92" s="18">
        <f t="shared" si="82"/>
        <v>2.8793658295005442</v>
      </c>
      <c r="G92" s="18">
        <f t="shared" si="83"/>
        <v>1.9918654920895802</v>
      </c>
      <c r="H92" s="18">
        <f t="shared" si="84"/>
        <v>4.7182745912902613</v>
      </c>
      <c r="I92" s="18">
        <f t="shared" si="85"/>
        <v>4.4180720414139092</v>
      </c>
      <c r="J92" s="18">
        <f t="shared" si="86"/>
        <v>3.7917205786875643</v>
      </c>
      <c r="K92" s="18">
        <f t="shared" si="87"/>
        <v>2.7308275698693238</v>
      </c>
      <c r="L92" s="18">
        <f t="shared" si="88"/>
        <v>1.5650545880161602</v>
      </c>
      <c r="M92" s="18">
        <f t="shared" si="89"/>
        <v>3.7476841691945171</v>
      </c>
      <c r="N92" s="18">
        <f t="shared" si="90"/>
        <v>3.3916508116480792</v>
      </c>
      <c r="O92" s="18">
        <f t="shared" si="91"/>
        <v>3.1822585476909255</v>
      </c>
      <c r="P92" s="18">
        <f t="shared" si="92"/>
        <v>2.2756638252674146</v>
      </c>
      <c r="Q92" s="18">
        <f t="shared" si="93"/>
        <v>1.7605228867873177</v>
      </c>
      <c r="R92" s="18">
        <f t="shared" si="94"/>
        <v>2.5557025672083657</v>
      </c>
      <c r="T92" t="str">
        <f t="shared" si="137"/>
        <v>fsrv</v>
      </c>
      <c r="U92" s="18">
        <f t="shared" si="138"/>
        <v>14.966023410850166</v>
      </c>
      <c r="V92" s="18">
        <f t="shared" si="139"/>
        <v>18.909958868329436</v>
      </c>
      <c r="W92" s="18">
        <f t="shared" si="140"/>
        <v>22.662180902918994</v>
      </c>
      <c r="X92" s="18">
        <f t="shared" si="141"/>
        <v>24.743495091611276</v>
      </c>
      <c r="Y92" s="18">
        <f t="shared" si="142"/>
        <v>18.951267403286991</v>
      </c>
      <c r="Z92" s="18">
        <f t="shared" si="143"/>
        <v>2.6712816209995784</v>
      </c>
      <c r="AA92" s="18">
        <f t="shared" si="144"/>
        <v>3.7296906936109528</v>
      </c>
      <c r="AB92" s="18">
        <f t="shared" si="145"/>
        <v>3.8781815107779622</v>
      </c>
      <c r="AC92" s="18">
        <f t="shared" si="146"/>
        <v>3.5710983320375194</v>
      </c>
      <c r="AD92" s="18">
        <f t="shared" si="147"/>
        <v>2.6158838514464642</v>
      </c>
      <c r="AE92" s="18">
        <f t="shared" si="148"/>
        <v>1.0947597706766605</v>
      </c>
      <c r="AF92" s="18">
        <f t="shared" si="149"/>
        <v>2.0661285720155318</v>
      </c>
      <c r="AG92" s="18">
        <f t="shared" si="150"/>
        <v>3.3125613208564655</v>
      </c>
      <c r="AH92" s="18">
        <f t="shared" si="151"/>
        <v>5.0354991386765517</v>
      </c>
      <c r="AI92" s="18">
        <f t="shared" si="152"/>
        <v>52.165312452838457</v>
      </c>
      <c r="AJ92" s="18">
        <f t="shared" si="153"/>
        <v>180.37332294093301</v>
      </c>
      <c r="AL92" t="str">
        <f t="shared" si="154"/>
        <v>cfsrv</v>
      </c>
      <c r="AM92" s="18">
        <f>_xlfn.IFNA(INDEX(SAM!$B$8:$HC$215,MATCH($AL92,SAM!$A$8:$A$215,0),MATCH(AM$48,SAM!$B$7:$HC$7,0)),0)</f>
        <v>14.966023410850166</v>
      </c>
      <c r="AN92" s="18">
        <f>_xlfn.IFNA(INDEX(SAM!$B$8:$HC$215,MATCH($AL92,SAM!$A$8:$A$215,0),MATCH(AN$48,SAM!$B$7:$HC$7,0)),0)</f>
        <v>18.909958868329436</v>
      </c>
      <c r="AO92" s="18">
        <f>_xlfn.IFNA(INDEX(SAM!$B$8:$HC$215,MATCH($AL92,SAM!$A$8:$A$215,0),MATCH(AO$48,SAM!$B$7:$HC$7,0)),0)</f>
        <v>22.662180902918994</v>
      </c>
      <c r="AP92" s="18">
        <f>_xlfn.IFNA(INDEX(SAM!$B$8:$HC$215,MATCH($AL92,SAM!$A$8:$A$215,0),MATCH(AP$48,SAM!$B$7:$HC$7,0)),0)</f>
        <v>24.743495091611276</v>
      </c>
      <c r="AQ92" s="18">
        <f>_xlfn.IFNA(INDEX(SAM!$B$8:$HC$215,MATCH($AL92,SAM!$A$8:$A$215,0),MATCH(AQ$48,SAM!$B$7:$HC$7,0)),0)</f>
        <v>18.951267403286991</v>
      </c>
      <c r="AR92" s="18">
        <f>_xlfn.IFNA(INDEX(SAM!$B$8:$HC$215,MATCH($AL92,SAM!$A$8:$A$215,0),MATCH(AR$48,SAM!$B$7:$HC$7,0)),0)</f>
        <v>2.6712816209995784</v>
      </c>
      <c r="AS92" s="18">
        <f>_xlfn.IFNA(INDEX(SAM!$B$8:$HC$215,MATCH($AL92,SAM!$A$8:$A$215,0),MATCH(AS$48,SAM!$B$7:$HC$7,0)),0)</f>
        <v>3.7296906936109528</v>
      </c>
      <c r="AT92" s="18">
        <f>_xlfn.IFNA(INDEX(SAM!$B$8:$HC$215,MATCH($AL92,SAM!$A$8:$A$215,0),MATCH(AT$48,SAM!$B$7:$HC$7,0)),0)</f>
        <v>3.8781815107779622</v>
      </c>
      <c r="AU92" s="18">
        <f>_xlfn.IFNA(INDEX(SAM!$B$8:$HC$215,MATCH($AL92,SAM!$A$8:$A$215,0),MATCH(AU$48,SAM!$B$7:$HC$7,0)),0)</f>
        <v>3.5710983320375194</v>
      </c>
      <c r="AV92" s="18">
        <f>_xlfn.IFNA(INDEX(SAM!$B$8:$HC$215,MATCH($AL92,SAM!$A$8:$A$215,0),MATCH(AV$48,SAM!$B$7:$HC$7,0)),0)</f>
        <v>2.6158838514464642</v>
      </c>
      <c r="AW92" s="18">
        <f>_xlfn.IFNA(INDEX(SAM!$B$8:$HC$215,MATCH($AL92,SAM!$A$8:$A$215,0),MATCH(AW$48,SAM!$B$7:$HC$7,0)),0)</f>
        <v>1.0947597706766605</v>
      </c>
      <c r="AX92" s="18">
        <f>_xlfn.IFNA(INDEX(SAM!$B$8:$HC$215,MATCH($AL92,SAM!$A$8:$A$215,0),MATCH(AX$48,SAM!$B$7:$HC$7,0)),0)</f>
        <v>2.0661285720155318</v>
      </c>
      <c r="AY92" s="18">
        <f>_xlfn.IFNA(INDEX(SAM!$B$8:$HC$215,MATCH($AL92,SAM!$A$8:$A$215,0),MATCH(AY$48,SAM!$B$7:$HC$7,0)),0)</f>
        <v>3.3125613208564655</v>
      </c>
      <c r="AZ92" s="18">
        <f>_xlfn.IFNA(INDEX(SAM!$B$8:$HC$215,MATCH($AL92,SAM!$A$8:$A$215,0),MATCH(AZ$48,SAM!$B$7:$HC$7,0)),0)</f>
        <v>5.0354991386765517</v>
      </c>
      <c r="BA92" s="18">
        <f>_xlfn.IFNA(INDEX(SAM!$B$8:$HC$215,MATCH($AL92,SAM!$A$8:$A$215,0),MATCH(BA$48,SAM!$B$7:$HC$7,0)),0)</f>
        <v>52.165312452838457</v>
      </c>
      <c r="BB92" s="18"/>
      <c r="BC92" t="str">
        <f t="shared" si="155"/>
        <v>afsrv</v>
      </c>
      <c r="BD92" s="18">
        <f>_xlfn.IFNA(INDEX(SAM!$B$8:$HC$215,MATCH($BC92,SAM!$A$8:$A$215,0),MATCH(BD$48,SAM!$B$7:$HC$7,0)),0)</f>
        <v>0</v>
      </c>
      <c r="BE92" s="18">
        <f>_xlfn.IFNA(INDEX(SAM!$B$8:$HC$215,MATCH($BC92,SAM!$A$8:$A$215,0),MATCH(BE$48,SAM!$B$7:$HC$7,0)),0)</f>
        <v>0</v>
      </c>
      <c r="BF92" s="18">
        <f>_xlfn.IFNA(INDEX(SAM!$B$8:$HC$215,MATCH($BC92,SAM!$A$8:$A$215,0),MATCH(BF$48,SAM!$B$7:$HC$7,0)),0)</f>
        <v>0</v>
      </c>
      <c r="BG92" s="18">
        <f>_xlfn.IFNA(INDEX(SAM!$B$8:$HC$215,MATCH($BC92,SAM!$A$8:$A$215,0),MATCH(BG$48,SAM!$B$7:$HC$7,0)),0)</f>
        <v>0</v>
      </c>
      <c r="BH92" s="18">
        <f>_xlfn.IFNA(INDEX(SAM!$B$8:$HC$215,MATCH($BC92,SAM!$A$8:$A$215,0),MATCH(BH$48,SAM!$B$7:$HC$7,0)),0)</f>
        <v>0</v>
      </c>
      <c r="BI92" s="18">
        <f>_xlfn.IFNA(INDEX(SAM!$B$8:$HC$215,MATCH($BC92,SAM!$A$8:$A$215,0),MATCH(BI$48,SAM!$B$7:$HC$7,0)),0)</f>
        <v>0</v>
      </c>
      <c r="BJ92" s="18">
        <f>_xlfn.IFNA(INDEX(SAM!$B$8:$HC$215,MATCH($BC92,SAM!$A$8:$A$215,0),MATCH(BJ$48,SAM!$B$7:$HC$7,0)),0)</f>
        <v>0</v>
      </c>
      <c r="BK92" s="18">
        <f>_xlfn.IFNA(INDEX(SAM!$B$8:$HC$215,MATCH($BC92,SAM!$A$8:$A$215,0),MATCH(BK$48,SAM!$B$7:$HC$7,0)),0)</f>
        <v>0</v>
      </c>
      <c r="BL92" s="18">
        <f>_xlfn.IFNA(INDEX(SAM!$B$8:$HC$215,MATCH($BC92,SAM!$A$8:$A$215,0),MATCH(BL$48,SAM!$B$7:$HC$7,0)),0)</f>
        <v>0</v>
      </c>
      <c r="BM92" s="18">
        <f>_xlfn.IFNA(INDEX(SAM!$B$8:$HC$215,MATCH($BC92,SAM!$A$8:$A$215,0),MATCH(BM$48,SAM!$B$7:$HC$7,0)),0)</f>
        <v>0</v>
      </c>
      <c r="BN92" s="18">
        <f>_xlfn.IFNA(INDEX(SAM!$B$8:$HC$215,MATCH($BC92,SAM!$A$8:$A$215,0),MATCH(BN$48,SAM!$B$7:$HC$7,0)),0)</f>
        <v>0</v>
      </c>
      <c r="BO92" s="18">
        <f>_xlfn.IFNA(INDEX(SAM!$B$8:$HC$215,MATCH($BC92,SAM!$A$8:$A$215,0),MATCH(BO$48,SAM!$B$7:$HC$7,0)),0)</f>
        <v>0</v>
      </c>
      <c r="BP92" s="18">
        <f>_xlfn.IFNA(INDEX(SAM!$B$8:$HC$215,MATCH($BC92,SAM!$A$8:$A$215,0),MATCH(BP$48,SAM!$B$7:$HC$7,0)),0)</f>
        <v>0</v>
      </c>
      <c r="BQ92" s="18">
        <f>_xlfn.IFNA(INDEX(SAM!$B$8:$HC$215,MATCH($BC92,SAM!$A$8:$A$215,0),MATCH(BQ$48,SAM!$B$7:$HC$7,0)),0)</f>
        <v>0</v>
      </c>
      <c r="BR92" s="18">
        <f>_xlfn.IFNA(INDEX(SAM!$B$8:$HC$215,MATCH($BC92,SAM!$A$8:$A$215,0),MATCH(BR$48,SAM!$B$7:$HC$7,0)),0)</f>
        <v>0</v>
      </c>
      <c r="BT92" t="str">
        <f t="shared" si="109"/>
        <v>cfsrv</v>
      </c>
      <c r="BU92" s="7">
        <f t="shared" si="110"/>
        <v>180.37332294093301</v>
      </c>
      <c r="BW92" s="51" t="s">
        <v>207</v>
      </c>
      <c r="BX92" s="43">
        <f t="shared" si="116"/>
        <v>2.4341639864593305</v>
      </c>
    </row>
    <row r="93" spans="1:76" x14ac:dyDescent="0.25">
      <c r="A93" t="str">
        <f t="shared" si="136"/>
        <v>other services</v>
      </c>
      <c r="B93" t="s">
        <v>53</v>
      </c>
      <c r="C93" s="18">
        <f t="shared" si="79"/>
        <v>1.0450237150072119</v>
      </c>
      <c r="D93" s="18">
        <f t="shared" si="80"/>
        <v>1.1849162363165178</v>
      </c>
      <c r="E93" s="18">
        <f t="shared" si="81"/>
        <v>1.0630033594515</v>
      </c>
      <c r="F93" s="18">
        <f t="shared" si="82"/>
        <v>1.1603291494324648</v>
      </c>
      <c r="G93" s="18">
        <f t="shared" si="83"/>
        <v>1.1688024939458523</v>
      </c>
      <c r="H93" s="18">
        <f t="shared" si="84"/>
        <v>1.0090350180921037</v>
      </c>
      <c r="I93" s="18">
        <f t="shared" si="85"/>
        <v>1.2657411781388246</v>
      </c>
      <c r="J93" s="18">
        <f t="shared" si="86"/>
        <v>1.0873285687395144</v>
      </c>
      <c r="K93" s="18">
        <f t="shared" si="87"/>
        <v>1.1665792193902396</v>
      </c>
      <c r="L93" s="18">
        <f t="shared" si="88"/>
        <v>1.0391306234973732</v>
      </c>
      <c r="M93" s="18">
        <f t="shared" si="89"/>
        <v>2.1306337701002072</v>
      </c>
      <c r="N93" s="18">
        <f t="shared" si="90"/>
        <v>2.4229665336650568</v>
      </c>
      <c r="O93" s="18">
        <f t="shared" si="91"/>
        <v>3.4112959272503676</v>
      </c>
      <c r="P93" s="18">
        <f t="shared" si="92"/>
        <v>2.5932462859349035</v>
      </c>
      <c r="Q93" s="18">
        <f t="shared" si="93"/>
        <v>1.5313083904138018</v>
      </c>
      <c r="R93" s="18">
        <f t="shared" si="94"/>
        <v>1.3949692445438784</v>
      </c>
      <c r="T93" t="str">
        <f t="shared" si="137"/>
        <v>bsrv</v>
      </c>
      <c r="U93" s="18">
        <f t="shared" si="138"/>
        <v>3.0725900407829805</v>
      </c>
      <c r="V93" s="18">
        <f t="shared" si="139"/>
        <v>5.1607674611997565</v>
      </c>
      <c r="W93" s="18">
        <f t="shared" si="140"/>
        <v>6.3521159219864245</v>
      </c>
      <c r="X93" s="18">
        <f t="shared" si="141"/>
        <v>9.9711534809093116</v>
      </c>
      <c r="Y93" s="18">
        <f t="shared" si="142"/>
        <v>11.120373686056311</v>
      </c>
      <c r="Z93" s="18">
        <f t="shared" si="143"/>
        <v>0.57127168981433196</v>
      </c>
      <c r="AA93" s="18">
        <f t="shared" si="144"/>
        <v>1.0685256031075807</v>
      </c>
      <c r="AB93" s="18">
        <f t="shared" si="145"/>
        <v>1.112122442547135</v>
      </c>
      <c r="AC93" s="18">
        <f t="shared" si="146"/>
        <v>1.525533560053177</v>
      </c>
      <c r="AD93" s="18">
        <f t="shared" si="147"/>
        <v>1.7368371930054405</v>
      </c>
      <c r="AE93" s="18">
        <f t="shared" si="148"/>
        <v>0.62239293180678512</v>
      </c>
      <c r="AF93" s="18">
        <f t="shared" si="149"/>
        <v>1.476024703678207</v>
      </c>
      <c r="AG93" s="18">
        <f t="shared" si="150"/>
        <v>3.5509770099617546</v>
      </c>
      <c r="AH93" s="18">
        <f t="shared" si="151"/>
        <v>5.738233079161807</v>
      </c>
      <c r="AI93" s="18">
        <f t="shared" si="152"/>
        <v>45.373554213407544</v>
      </c>
      <c r="AJ93" s="18">
        <f t="shared" si="153"/>
        <v>98.452473017478553</v>
      </c>
      <c r="AL93" t="str">
        <f t="shared" si="154"/>
        <v>cbsrv</v>
      </c>
      <c r="AM93" s="18">
        <f>_xlfn.IFNA(INDEX(SAM!$B$8:$HC$215,MATCH($AL93,SAM!$A$8:$A$215,0),MATCH(AM$48,SAM!$B$7:$HC$7,0)),0)</f>
        <v>3.0725900407829805</v>
      </c>
      <c r="AN93" s="18">
        <f>_xlfn.IFNA(INDEX(SAM!$B$8:$HC$215,MATCH($AL93,SAM!$A$8:$A$215,0),MATCH(AN$48,SAM!$B$7:$HC$7,0)),0)</f>
        <v>5.1607674611997565</v>
      </c>
      <c r="AO93" s="18">
        <f>_xlfn.IFNA(INDEX(SAM!$B$8:$HC$215,MATCH($AL93,SAM!$A$8:$A$215,0),MATCH(AO$48,SAM!$B$7:$HC$7,0)),0)</f>
        <v>6.3521159219864245</v>
      </c>
      <c r="AP93" s="18">
        <f>_xlfn.IFNA(INDEX(SAM!$B$8:$HC$215,MATCH($AL93,SAM!$A$8:$A$215,0),MATCH(AP$48,SAM!$B$7:$HC$7,0)),0)</f>
        <v>9.9711534809093116</v>
      </c>
      <c r="AQ93" s="18">
        <f>_xlfn.IFNA(INDEX(SAM!$B$8:$HC$215,MATCH($AL93,SAM!$A$8:$A$215,0),MATCH(AQ$48,SAM!$B$7:$HC$7,0)),0)</f>
        <v>11.120373686056311</v>
      </c>
      <c r="AR93" s="18">
        <f>_xlfn.IFNA(INDEX(SAM!$B$8:$HC$215,MATCH($AL93,SAM!$A$8:$A$215,0),MATCH(AR$48,SAM!$B$7:$HC$7,0)),0)</f>
        <v>0.57127168981433196</v>
      </c>
      <c r="AS93" s="18">
        <f>_xlfn.IFNA(INDEX(SAM!$B$8:$HC$215,MATCH($AL93,SAM!$A$8:$A$215,0),MATCH(AS$48,SAM!$B$7:$HC$7,0)),0)</f>
        <v>1.0685256031075807</v>
      </c>
      <c r="AT93" s="18">
        <f>_xlfn.IFNA(INDEX(SAM!$B$8:$HC$215,MATCH($AL93,SAM!$A$8:$A$215,0),MATCH(AT$48,SAM!$B$7:$HC$7,0)),0)</f>
        <v>1.112122442547135</v>
      </c>
      <c r="AU93" s="18">
        <f>_xlfn.IFNA(INDEX(SAM!$B$8:$HC$215,MATCH($AL93,SAM!$A$8:$A$215,0),MATCH(AU$48,SAM!$B$7:$HC$7,0)),0)</f>
        <v>1.525533560053177</v>
      </c>
      <c r="AV93" s="18">
        <f>_xlfn.IFNA(INDEX(SAM!$B$8:$HC$215,MATCH($AL93,SAM!$A$8:$A$215,0),MATCH(AV$48,SAM!$B$7:$HC$7,0)),0)</f>
        <v>1.7368371930054405</v>
      </c>
      <c r="AW93" s="18">
        <f>_xlfn.IFNA(INDEX(SAM!$B$8:$HC$215,MATCH($AL93,SAM!$A$8:$A$215,0),MATCH(AW$48,SAM!$B$7:$HC$7,0)),0)</f>
        <v>0.62239293180678512</v>
      </c>
      <c r="AX93" s="18">
        <f>_xlfn.IFNA(INDEX(SAM!$B$8:$HC$215,MATCH($AL93,SAM!$A$8:$A$215,0),MATCH(AX$48,SAM!$B$7:$HC$7,0)),0)</f>
        <v>1.476024703678207</v>
      </c>
      <c r="AY93" s="18">
        <f>_xlfn.IFNA(INDEX(SAM!$B$8:$HC$215,MATCH($AL93,SAM!$A$8:$A$215,0),MATCH(AY$48,SAM!$B$7:$HC$7,0)),0)</f>
        <v>3.5509770099617546</v>
      </c>
      <c r="AZ93" s="18">
        <f>_xlfn.IFNA(INDEX(SAM!$B$8:$HC$215,MATCH($AL93,SAM!$A$8:$A$215,0),MATCH(AZ$48,SAM!$B$7:$HC$7,0)),0)</f>
        <v>5.738233079161807</v>
      </c>
      <c r="BA93" s="18">
        <f>_xlfn.IFNA(INDEX(SAM!$B$8:$HC$215,MATCH($AL93,SAM!$A$8:$A$215,0),MATCH(BA$48,SAM!$B$7:$HC$7,0)),0)</f>
        <v>45.373554213407544</v>
      </c>
      <c r="BB93" s="18"/>
      <c r="BC93" t="str">
        <f t="shared" si="155"/>
        <v>absrv</v>
      </c>
      <c r="BD93" s="18">
        <f>_xlfn.IFNA(INDEX(SAM!$B$8:$HC$215,MATCH($BC93,SAM!$A$8:$A$215,0),MATCH(BD$48,SAM!$B$7:$HC$7,0)),0)</f>
        <v>0</v>
      </c>
      <c r="BE93" s="18">
        <f>_xlfn.IFNA(INDEX(SAM!$B$8:$HC$215,MATCH($BC93,SAM!$A$8:$A$215,0),MATCH(BE$48,SAM!$B$7:$HC$7,0)),0)</f>
        <v>0</v>
      </c>
      <c r="BF93" s="18">
        <f>_xlfn.IFNA(INDEX(SAM!$B$8:$HC$215,MATCH($BC93,SAM!$A$8:$A$215,0),MATCH(BF$48,SAM!$B$7:$HC$7,0)),0)</f>
        <v>0</v>
      </c>
      <c r="BG93" s="18">
        <f>_xlfn.IFNA(INDEX(SAM!$B$8:$HC$215,MATCH($BC93,SAM!$A$8:$A$215,0),MATCH(BG$48,SAM!$B$7:$HC$7,0)),0)</f>
        <v>0</v>
      </c>
      <c r="BH93" s="18">
        <f>_xlfn.IFNA(INDEX(SAM!$B$8:$HC$215,MATCH($BC93,SAM!$A$8:$A$215,0),MATCH(BH$48,SAM!$B$7:$HC$7,0)),0)</f>
        <v>0</v>
      </c>
      <c r="BI93" s="18">
        <f>_xlfn.IFNA(INDEX(SAM!$B$8:$HC$215,MATCH($BC93,SAM!$A$8:$A$215,0),MATCH(BI$48,SAM!$B$7:$HC$7,0)),0)</f>
        <v>0</v>
      </c>
      <c r="BJ93" s="18">
        <f>_xlfn.IFNA(INDEX(SAM!$B$8:$HC$215,MATCH($BC93,SAM!$A$8:$A$215,0),MATCH(BJ$48,SAM!$B$7:$HC$7,0)),0)</f>
        <v>0</v>
      </c>
      <c r="BK93" s="18">
        <f>_xlfn.IFNA(INDEX(SAM!$B$8:$HC$215,MATCH($BC93,SAM!$A$8:$A$215,0),MATCH(BK$48,SAM!$B$7:$HC$7,0)),0)</f>
        <v>0</v>
      </c>
      <c r="BL93" s="18">
        <f>_xlfn.IFNA(INDEX(SAM!$B$8:$HC$215,MATCH($BC93,SAM!$A$8:$A$215,0),MATCH(BL$48,SAM!$B$7:$HC$7,0)),0)</f>
        <v>0</v>
      </c>
      <c r="BM93" s="18">
        <f>_xlfn.IFNA(INDEX(SAM!$B$8:$HC$215,MATCH($BC93,SAM!$A$8:$A$215,0),MATCH(BM$48,SAM!$B$7:$HC$7,0)),0)</f>
        <v>0</v>
      </c>
      <c r="BN93" s="18">
        <f>_xlfn.IFNA(INDEX(SAM!$B$8:$HC$215,MATCH($BC93,SAM!$A$8:$A$215,0),MATCH(BN$48,SAM!$B$7:$HC$7,0)),0)</f>
        <v>0</v>
      </c>
      <c r="BO93" s="18">
        <f>_xlfn.IFNA(INDEX(SAM!$B$8:$HC$215,MATCH($BC93,SAM!$A$8:$A$215,0),MATCH(BO$48,SAM!$B$7:$HC$7,0)),0)</f>
        <v>0</v>
      </c>
      <c r="BP93" s="18">
        <f>_xlfn.IFNA(INDEX(SAM!$B$8:$HC$215,MATCH($BC93,SAM!$A$8:$A$215,0),MATCH(BP$48,SAM!$B$7:$HC$7,0)),0)</f>
        <v>0</v>
      </c>
      <c r="BQ93" s="18">
        <f>_xlfn.IFNA(INDEX(SAM!$B$8:$HC$215,MATCH($BC93,SAM!$A$8:$A$215,0),MATCH(BQ$48,SAM!$B$7:$HC$7,0)),0)</f>
        <v>0</v>
      </c>
      <c r="BR93" s="18">
        <f>_xlfn.IFNA(INDEX(SAM!$B$8:$HC$215,MATCH($BC93,SAM!$A$8:$A$215,0),MATCH(BR$48,SAM!$B$7:$HC$7,0)),0)</f>
        <v>0</v>
      </c>
      <c r="BT93" t="str">
        <f t="shared" si="109"/>
        <v>cbsrv</v>
      </c>
      <c r="BU93" s="7">
        <f t="shared" si="110"/>
        <v>98.452473017478553</v>
      </c>
      <c r="BW93" s="51" t="s">
        <v>208</v>
      </c>
      <c r="BX93" s="43">
        <f t="shared" si="116"/>
        <v>1.3031373254421663</v>
      </c>
    </row>
    <row r="94" spans="1:76" x14ac:dyDescent="0.25">
      <c r="A94" s="26" t="str">
        <f t="shared" si="136"/>
        <v>other services</v>
      </c>
      <c r="B94" s="26" t="s">
        <v>57</v>
      </c>
      <c r="C94" s="45">
        <f t="shared" si="79"/>
        <v>4.149489476865555</v>
      </c>
      <c r="D94" s="45">
        <f t="shared" si="80"/>
        <v>4.5903970599526422</v>
      </c>
      <c r="E94" s="45">
        <f t="shared" si="81"/>
        <v>4.545070997256774</v>
      </c>
      <c r="F94" s="45">
        <f t="shared" si="82"/>
        <v>6.0549566820564875</v>
      </c>
      <c r="G94" s="45">
        <f t="shared" si="83"/>
        <v>6.7140639671721027</v>
      </c>
      <c r="H94" s="45">
        <f t="shared" si="84"/>
        <v>4.4629858688322681</v>
      </c>
      <c r="I94" s="45">
        <f t="shared" si="85"/>
        <v>4.8820993635050947</v>
      </c>
      <c r="J94" s="45">
        <f t="shared" si="86"/>
        <v>4.6880380844919953</v>
      </c>
      <c r="K94" s="45">
        <f t="shared" si="87"/>
        <v>5.6069684071925829</v>
      </c>
      <c r="L94" s="45">
        <f t="shared" si="88"/>
        <v>8.6303125373469118</v>
      </c>
      <c r="M94" s="45">
        <f t="shared" si="89"/>
        <v>3.9787422381118271</v>
      </c>
      <c r="N94" s="45">
        <f t="shared" si="90"/>
        <v>4.1564173884252558</v>
      </c>
      <c r="O94" s="45">
        <f t="shared" si="91"/>
        <v>5.3486946490866645</v>
      </c>
      <c r="P94" s="45">
        <f t="shared" si="92"/>
        <v>4.8155196919440533</v>
      </c>
      <c r="Q94" s="45">
        <f t="shared" si="93"/>
        <v>11.385993094076243</v>
      </c>
      <c r="R94" s="45">
        <f t="shared" si="94"/>
        <v>8.0161864163498731</v>
      </c>
      <c r="S94" s="26"/>
      <c r="T94" s="26" t="str">
        <f t="shared" si="137"/>
        <v>osrv</v>
      </c>
      <c r="U94" s="45">
        <f t="shared" si="138"/>
        <v>12.200373884206922</v>
      </c>
      <c r="V94" s="45">
        <f t="shared" si="139"/>
        <v>19.992950602680828</v>
      </c>
      <c r="W94" s="45">
        <f t="shared" si="140"/>
        <v>27.159667550938451</v>
      </c>
      <c r="X94" s="45">
        <f t="shared" si="141"/>
        <v>52.032565437637203</v>
      </c>
      <c r="Y94" s="45">
        <f t="shared" si="142"/>
        <v>63.879826278415216</v>
      </c>
      <c r="Z94" s="45">
        <f t="shared" si="143"/>
        <v>2.5267482626381668</v>
      </c>
      <c r="AA94" s="45">
        <f t="shared" si="144"/>
        <v>4.1214177565836154</v>
      </c>
      <c r="AB94" s="45">
        <f t="shared" si="145"/>
        <v>4.7949373493636598</v>
      </c>
      <c r="AC94" s="45">
        <f t="shared" si="146"/>
        <v>7.332222564191647</v>
      </c>
      <c r="AD94" s="45">
        <f t="shared" si="147"/>
        <v>14.424988989041344</v>
      </c>
      <c r="AE94" s="45">
        <f t="shared" si="148"/>
        <v>1.1622556073376438</v>
      </c>
      <c r="AF94" s="45">
        <f t="shared" si="149"/>
        <v>2.532009690960682</v>
      </c>
      <c r="AG94" s="45">
        <f t="shared" si="150"/>
        <v>5.5677056864196892</v>
      </c>
      <c r="AH94" s="45">
        <f t="shared" si="151"/>
        <v>10.655592004330776</v>
      </c>
      <c r="AI94" s="45">
        <f t="shared" si="152"/>
        <v>337.37356770307156</v>
      </c>
      <c r="AJ94" s="45">
        <f t="shared" si="153"/>
        <v>565.75682936781732</v>
      </c>
      <c r="AK94" s="26"/>
      <c r="AL94" s="26" t="str">
        <f t="shared" si="154"/>
        <v>cosrv</v>
      </c>
      <c r="AM94" s="45">
        <f>_xlfn.IFNA(INDEX(SAM!$B$8:$HC$215,MATCH($AL94,SAM!$A$8:$A$215,0),MATCH(AM$48,SAM!$B$7:$HC$7,0)),0)</f>
        <v>12.200373884206922</v>
      </c>
      <c r="AN94" s="45">
        <f>_xlfn.IFNA(INDEX(SAM!$B$8:$HC$215,MATCH($AL94,SAM!$A$8:$A$215,0),MATCH(AN$48,SAM!$B$7:$HC$7,0)),0)</f>
        <v>19.992950602680828</v>
      </c>
      <c r="AO94" s="45">
        <f>_xlfn.IFNA(INDEX(SAM!$B$8:$HC$215,MATCH($AL94,SAM!$A$8:$A$215,0),MATCH(AO$48,SAM!$B$7:$HC$7,0)),0)</f>
        <v>27.159667550938451</v>
      </c>
      <c r="AP94" s="45">
        <f>_xlfn.IFNA(INDEX(SAM!$B$8:$HC$215,MATCH($AL94,SAM!$A$8:$A$215,0),MATCH(AP$48,SAM!$B$7:$HC$7,0)),0)</f>
        <v>52.032565437637203</v>
      </c>
      <c r="AQ94" s="45">
        <f>_xlfn.IFNA(INDEX(SAM!$B$8:$HC$215,MATCH($AL94,SAM!$A$8:$A$215,0),MATCH(AQ$48,SAM!$B$7:$HC$7,0)),0)</f>
        <v>63.879826278415216</v>
      </c>
      <c r="AR94" s="45">
        <f>_xlfn.IFNA(INDEX(SAM!$B$8:$HC$215,MATCH($AL94,SAM!$A$8:$A$215,0),MATCH(AR$48,SAM!$B$7:$HC$7,0)),0)</f>
        <v>2.5267482626381668</v>
      </c>
      <c r="AS94" s="45">
        <f>_xlfn.IFNA(INDEX(SAM!$B$8:$HC$215,MATCH($AL94,SAM!$A$8:$A$215,0),MATCH(AS$48,SAM!$B$7:$HC$7,0)),0)</f>
        <v>4.1214177565836154</v>
      </c>
      <c r="AT94" s="45">
        <f>_xlfn.IFNA(INDEX(SAM!$B$8:$HC$215,MATCH($AL94,SAM!$A$8:$A$215,0),MATCH(AT$48,SAM!$B$7:$HC$7,0)),0)</f>
        <v>4.7949373493636598</v>
      </c>
      <c r="AU94" s="45">
        <f>_xlfn.IFNA(INDEX(SAM!$B$8:$HC$215,MATCH($AL94,SAM!$A$8:$A$215,0),MATCH(AU$48,SAM!$B$7:$HC$7,0)),0)</f>
        <v>7.332222564191647</v>
      </c>
      <c r="AV94" s="45">
        <f>_xlfn.IFNA(INDEX(SAM!$B$8:$HC$215,MATCH($AL94,SAM!$A$8:$A$215,0),MATCH(AV$48,SAM!$B$7:$HC$7,0)),0)</f>
        <v>14.424988989041344</v>
      </c>
      <c r="AW94" s="45">
        <f>_xlfn.IFNA(INDEX(SAM!$B$8:$HC$215,MATCH($AL94,SAM!$A$8:$A$215,0),MATCH(AW$48,SAM!$B$7:$HC$7,0)),0)</f>
        <v>1.1622556073376438</v>
      </c>
      <c r="AX94" s="45">
        <f>_xlfn.IFNA(INDEX(SAM!$B$8:$HC$215,MATCH($AL94,SAM!$A$8:$A$215,0),MATCH(AX$48,SAM!$B$7:$HC$7,0)),0)</f>
        <v>2.532009690960682</v>
      </c>
      <c r="AY94" s="45">
        <f>_xlfn.IFNA(INDEX(SAM!$B$8:$HC$215,MATCH($AL94,SAM!$A$8:$A$215,0),MATCH(AY$48,SAM!$B$7:$HC$7,0)),0)</f>
        <v>5.5677056864196892</v>
      </c>
      <c r="AZ94" s="45">
        <f>_xlfn.IFNA(INDEX(SAM!$B$8:$HC$215,MATCH($AL94,SAM!$A$8:$A$215,0),MATCH(AZ$48,SAM!$B$7:$HC$7,0)),0)</f>
        <v>10.655592004330776</v>
      </c>
      <c r="BA94" s="45">
        <f>_xlfn.IFNA(INDEX(SAM!$B$8:$HC$215,MATCH($AL94,SAM!$A$8:$A$215,0),MATCH(BA$48,SAM!$B$7:$HC$7,0)),0)</f>
        <v>337.37356770307156</v>
      </c>
      <c r="BB94" s="26"/>
      <c r="BC94" s="26" t="str">
        <f t="shared" si="155"/>
        <v>aosrv</v>
      </c>
      <c r="BD94" s="45">
        <f>_xlfn.IFNA(INDEX(SAM!$B$8:$HC$215,MATCH($BC94,SAM!$A$8:$A$215,0),MATCH(BD$48,SAM!$B$7:$HC$7,0)),0)</f>
        <v>0</v>
      </c>
      <c r="BE94" s="45">
        <f>_xlfn.IFNA(INDEX(SAM!$B$8:$HC$215,MATCH($BC94,SAM!$A$8:$A$215,0),MATCH(BE$48,SAM!$B$7:$HC$7,0)),0)</f>
        <v>0</v>
      </c>
      <c r="BF94" s="45">
        <f>_xlfn.IFNA(INDEX(SAM!$B$8:$HC$215,MATCH($BC94,SAM!$A$8:$A$215,0),MATCH(BF$48,SAM!$B$7:$HC$7,0)),0)</f>
        <v>0</v>
      </c>
      <c r="BG94" s="45">
        <f>_xlfn.IFNA(INDEX(SAM!$B$8:$HC$215,MATCH($BC94,SAM!$A$8:$A$215,0),MATCH(BG$48,SAM!$B$7:$HC$7,0)),0)</f>
        <v>0</v>
      </c>
      <c r="BH94" s="45">
        <f>_xlfn.IFNA(INDEX(SAM!$B$8:$HC$215,MATCH($BC94,SAM!$A$8:$A$215,0),MATCH(BH$48,SAM!$B$7:$HC$7,0)),0)</f>
        <v>0</v>
      </c>
      <c r="BI94" s="45">
        <f>_xlfn.IFNA(INDEX(SAM!$B$8:$HC$215,MATCH($BC94,SAM!$A$8:$A$215,0),MATCH(BI$48,SAM!$B$7:$HC$7,0)),0)</f>
        <v>0</v>
      </c>
      <c r="BJ94" s="45">
        <f>_xlfn.IFNA(INDEX(SAM!$B$8:$HC$215,MATCH($BC94,SAM!$A$8:$A$215,0),MATCH(BJ$48,SAM!$B$7:$HC$7,0)),0)</f>
        <v>0</v>
      </c>
      <c r="BK94" s="45">
        <f>_xlfn.IFNA(INDEX(SAM!$B$8:$HC$215,MATCH($BC94,SAM!$A$8:$A$215,0),MATCH(BK$48,SAM!$B$7:$HC$7,0)),0)</f>
        <v>0</v>
      </c>
      <c r="BL94" s="45">
        <f>_xlfn.IFNA(INDEX(SAM!$B$8:$HC$215,MATCH($BC94,SAM!$A$8:$A$215,0),MATCH(BL$48,SAM!$B$7:$HC$7,0)),0)</f>
        <v>0</v>
      </c>
      <c r="BM94" s="45">
        <f>_xlfn.IFNA(INDEX(SAM!$B$8:$HC$215,MATCH($BC94,SAM!$A$8:$A$215,0),MATCH(BM$48,SAM!$B$7:$HC$7,0)),0)</f>
        <v>0</v>
      </c>
      <c r="BN94" s="45">
        <f>_xlfn.IFNA(INDEX(SAM!$B$8:$HC$215,MATCH($BC94,SAM!$A$8:$A$215,0),MATCH(BN$48,SAM!$B$7:$HC$7,0)),0)</f>
        <v>0</v>
      </c>
      <c r="BO94" s="45">
        <f>_xlfn.IFNA(INDEX(SAM!$B$8:$HC$215,MATCH($BC94,SAM!$A$8:$A$215,0),MATCH(BO$48,SAM!$B$7:$HC$7,0)),0)</f>
        <v>0</v>
      </c>
      <c r="BP94" s="45">
        <f>_xlfn.IFNA(INDEX(SAM!$B$8:$HC$215,MATCH($BC94,SAM!$A$8:$A$215,0),MATCH(BP$48,SAM!$B$7:$HC$7,0)),0)</f>
        <v>0</v>
      </c>
      <c r="BQ94" s="45">
        <f>_xlfn.IFNA(INDEX(SAM!$B$8:$HC$215,MATCH($BC94,SAM!$A$8:$A$215,0),MATCH(BQ$48,SAM!$B$7:$HC$7,0)),0)</f>
        <v>0</v>
      </c>
      <c r="BR94" s="45">
        <f>_xlfn.IFNA(INDEX(SAM!$B$8:$HC$215,MATCH($BC94,SAM!$A$8:$A$215,0),MATCH(BR$48,SAM!$B$7:$HC$7,0)),0)</f>
        <v>0</v>
      </c>
      <c r="BT94" t="str">
        <f t="shared" si="109"/>
        <v>cosrv</v>
      </c>
      <c r="BU94" s="7">
        <f t="shared" si="110"/>
        <v>565.75682936781732</v>
      </c>
      <c r="BW94" s="51" t="s">
        <v>209</v>
      </c>
      <c r="BX94" s="43">
        <f t="shared" si="116"/>
        <v>8.0161864163498731</v>
      </c>
    </row>
    <row r="95" spans="1:76" x14ac:dyDescent="0.25">
      <c r="A95" s="1"/>
      <c r="B95" s="1" t="s">
        <v>127</v>
      </c>
      <c r="C95" s="33">
        <f t="shared" ref="C95:R95" si="156">SUM(C49:C94)</f>
        <v>100.00000000000001</v>
      </c>
      <c r="D95" s="33">
        <f t="shared" si="156"/>
        <v>100</v>
      </c>
      <c r="E95" s="33">
        <f t="shared" si="156"/>
        <v>100.00000000000001</v>
      </c>
      <c r="F95" s="33">
        <f t="shared" si="156"/>
        <v>99.999999999999972</v>
      </c>
      <c r="G95" s="33">
        <f t="shared" si="156"/>
        <v>100.00000000000001</v>
      </c>
      <c r="H95" s="33">
        <f t="shared" si="156"/>
        <v>100</v>
      </c>
      <c r="I95" s="33">
        <f t="shared" si="156"/>
        <v>100</v>
      </c>
      <c r="J95" s="33">
        <f t="shared" si="156"/>
        <v>99.999999999999972</v>
      </c>
      <c r="K95" s="33">
        <f t="shared" si="156"/>
        <v>100</v>
      </c>
      <c r="L95" s="33">
        <f t="shared" si="156"/>
        <v>100</v>
      </c>
      <c r="M95" s="33">
        <f t="shared" si="156"/>
        <v>100</v>
      </c>
      <c r="N95" s="33">
        <f t="shared" si="156"/>
        <v>100.00000000000003</v>
      </c>
      <c r="O95" s="33">
        <f t="shared" si="156"/>
        <v>100.00000000000001</v>
      </c>
      <c r="P95" s="33">
        <f t="shared" si="156"/>
        <v>99.999999999999957</v>
      </c>
      <c r="Q95" s="33">
        <f t="shared" si="156"/>
        <v>100</v>
      </c>
      <c r="R95" s="33">
        <f t="shared" si="156"/>
        <v>100</v>
      </c>
      <c r="T95" s="1" t="str">
        <f t="shared" si="137"/>
        <v>Total</v>
      </c>
      <c r="U95" s="33">
        <f t="shared" ref="U95:AJ95" si="157">SUM(U49:U94)</f>
        <v>294.02108264708386</v>
      </c>
      <c r="V95" s="33">
        <f t="shared" si="157"/>
        <v>435.53858939790905</v>
      </c>
      <c r="W95" s="33">
        <f t="shared" si="157"/>
        <v>597.56310885640642</v>
      </c>
      <c r="X95" s="33">
        <f t="shared" si="157"/>
        <v>859.3383597909575</v>
      </c>
      <c r="Y95" s="33">
        <f t="shared" si="157"/>
        <v>951.43309016343437</v>
      </c>
      <c r="Z95" s="33">
        <f t="shared" si="157"/>
        <v>56.615645599148749</v>
      </c>
      <c r="AA95" s="33">
        <f t="shared" si="157"/>
        <v>84.41896507457912</v>
      </c>
      <c r="AB95" s="33">
        <f t="shared" si="157"/>
        <v>102.28025589692385</v>
      </c>
      <c r="AC95" s="33">
        <f t="shared" si="157"/>
        <v>130.76982126002207</v>
      </c>
      <c r="AD95" s="33">
        <f t="shared" si="157"/>
        <v>167.14329784255764</v>
      </c>
      <c r="AE95" s="33">
        <f t="shared" si="157"/>
        <v>29.211633671680374</v>
      </c>
      <c r="AF95" s="33">
        <f t="shared" si="157"/>
        <v>60.918080508752418</v>
      </c>
      <c r="AG95" s="33">
        <f t="shared" si="157"/>
        <v>104.09466330949408</v>
      </c>
      <c r="AH95" s="33">
        <f t="shared" si="157"/>
        <v>221.2760550466995</v>
      </c>
      <c r="AI95" s="33">
        <f t="shared" si="157"/>
        <v>2963.0578985560414</v>
      </c>
      <c r="AJ95" s="33">
        <f t="shared" si="157"/>
        <v>7057.6805476216905</v>
      </c>
      <c r="BT95" s="1" t="s">
        <v>126</v>
      </c>
      <c r="BU95" s="33">
        <f>SUM(BU49:BU94)</f>
        <v>7057.6805476216905</v>
      </c>
    </row>
    <row r="97" spans="1:70" s="34" customFormat="1" x14ac:dyDescent="0.25"/>
    <row r="98" spans="1:70" x14ac:dyDescent="0.25">
      <c r="A98" t="s">
        <v>640</v>
      </c>
    </row>
    <row r="99" spans="1:70" x14ac:dyDescent="0.25">
      <c r="A99" t="s">
        <v>639</v>
      </c>
      <c r="S99" s="1" t="s">
        <v>674</v>
      </c>
    </row>
    <row r="100" spans="1:70" x14ac:dyDescent="0.25">
      <c r="C100" s="181" t="s">
        <v>606</v>
      </c>
      <c r="D100" s="181"/>
      <c r="E100" s="181"/>
      <c r="F100" s="181"/>
      <c r="G100" s="182"/>
      <c r="H100" s="180" t="s">
        <v>607</v>
      </c>
      <c r="I100" s="181"/>
      <c r="J100" s="181"/>
      <c r="K100" s="181"/>
      <c r="L100" s="182"/>
      <c r="M100" s="181" t="s">
        <v>468</v>
      </c>
      <c r="N100" s="181"/>
      <c r="O100" s="181"/>
      <c r="P100" s="181"/>
      <c r="Q100" s="182"/>
      <c r="T100" s="181" t="s">
        <v>606</v>
      </c>
      <c r="U100" s="181"/>
      <c r="V100" s="181"/>
      <c r="W100" s="181"/>
      <c r="X100" s="182"/>
      <c r="Y100" s="180" t="s">
        <v>607</v>
      </c>
      <c r="Z100" s="181"/>
      <c r="AA100" s="181"/>
      <c r="AB100" s="181"/>
      <c r="AC100" s="182"/>
      <c r="AD100" s="181" t="s">
        <v>468</v>
      </c>
      <c r="AE100" s="181"/>
      <c r="AF100" s="181"/>
      <c r="AG100" s="181"/>
      <c r="AH100" s="182"/>
    </row>
    <row r="101" spans="1:70" x14ac:dyDescent="0.25">
      <c r="A101" s="85"/>
      <c r="B101" s="39"/>
      <c r="C101" s="35" t="s">
        <v>217</v>
      </c>
      <c r="D101" s="35" t="s">
        <v>218</v>
      </c>
      <c r="E101" s="35" t="s">
        <v>219</v>
      </c>
      <c r="F101" s="35" t="s">
        <v>220</v>
      </c>
      <c r="G101" s="36" t="s">
        <v>221</v>
      </c>
      <c r="H101" s="37" t="s">
        <v>595</v>
      </c>
      <c r="I101" s="35" t="s">
        <v>596</v>
      </c>
      <c r="J101" s="35" t="s">
        <v>597</v>
      </c>
      <c r="K101" s="35" t="s">
        <v>598</v>
      </c>
      <c r="L101" s="36" t="s">
        <v>599</v>
      </c>
      <c r="M101" s="35" t="s">
        <v>222</v>
      </c>
      <c r="N101" s="35" t="s">
        <v>223</v>
      </c>
      <c r="O101" s="35" t="s">
        <v>224</v>
      </c>
      <c r="P101" s="35" t="s">
        <v>225</v>
      </c>
      <c r="Q101" s="36" t="s">
        <v>226</v>
      </c>
      <c r="R101" s="178" t="s">
        <v>671</v>
      </c>
      <c r="S101" s="179"/>
      <c r="T101" s="35" t="s">
        <v>217</v>
      </c>
      <c r="U101" s="35" t="s">
        <v>218</v>
      </c>
      <c r="V101" s="35" t="s">
        <v>219</v>
      </c>
      <c r="W101" s="35" t="s">
        <v>220</v>
      </c>
      <c r="X101" s="36" t="s">
        <v>221</v>
      </c>
      <c r="Y101" s="37" t="s">
        <v>595</v>
      </c>
      <c r="Z101" s="35" t="s">
        <v>596</v>
      </c>
      <c r="AA101" s="35" t="s">
        <v>597</v>
      </c>
      <c r="AB101" s="35" t="s">
        <v>598</v>
      </c>
      <c r="AC101" s="36" t="s">
        <v>599</v>
      </c>
      <c r="AD101" s="35" t="s">
        <v>222</v>
      </c>
      <c r="AE101" s="35" t="s">
        <v>223</v>
      </c>
      <c r="AF101" s="35" t="s">
        <v>224</v>
      </c>
      <c r="AG101" s="35" t="s">
        <v>225</v>
      </c>
      <c r="AH101" s="36" t="s">
        <v>226</v>
      </c>
    </row>
    <row r="102" spans="1:70" x14ac:dyDescent="0.25">
      <c r="A102" s="91" t="str">
        <f>S102</f>
        <v>given</v>
      </c>
      <c r="B102" s="92" t="s">
        <v>616</v>
      </c>
      <c r="C102" s="93">
        <f t="shared" ref="C102:C114" si="158">IF(C19&gt;0,C19*T102,"")</f>
        <v>2.9237118452757036</v>
      </c>
      <c r="D102" s="93">
        <f t="shared" ref="D102:D114" si="159">IF(D19&gt;0,D19*U102,"")</f>
        <v>2.9066317094267369</v>
      </c>
      <c r="E102" s="93">
        <f t="shared" ref="E102:E114" si="160">IF(E19&gt;0,E19*V102,"")</f>
        <v>2.5631405809705363</v>
      </c>
      <c r="F102" s="93">
        <f t="shared" ref="F102:F114" si="161">IF(F19&gt;0,F19*W102,"")</f>
        <v>2.2125708238546897</v>
      </c>
      <c r="G102" s="94">
        <f t="shared" ref="G102:G114" si="162">IF(G19&gt;0,G19*X102,"")</f>
        <v>1.6096970792730176</v>
      </c>
      <c r="H102" s="95">
        <f t="shared" ref="H102:H114" si="163">IF(H19&gt;0,H19*Y102,"")</f>
        <v>3.2260531758929583</v>
      </c>
      <c r="I102" s="93">
        <f t="shared" ref="I102:I114" si="164">IF(I19&gt;0,I19*Z102,"")</f>
        <v>2.5463966608014368</v>
      </c>
      <c r="J102" s="93">
        <f t="shared" ref="J102:J114" si="165">IF(J19&gt;0,J19*AA102,"")</f>
        <v>2.8674237562994866</v>
      </c>
      <c r="K102" s="93">
        <f t="shared" ref="K102:K114" si="166">IF(K19&gt;0,K19*AB102,"")</f>
        <v>2.3624785607509464</v>
      </c>
      <c r="L102" s="94">
        <f t="shared" ref="L102:L114" si="167">IF(L19&gt;0,L19*AC102,"")</f>
        <v>1.6188606438429085</v>
      </c>
      <c r="M102" s="93">
        <f t="shared" ref="M102:M114" si="168">IF(M19&gt;0,M19*AD102,"")</f>
        <v>2.2999856588972327</v>
      </c>
      <c r="N102" s="93">
        <f t="shared" ref="N102:N114" si="169">IF(N19&gt;0,N19*AE102,"")</f>
        <v>2.3074503985641122</v>
      </c>
      <c r="O102" s="93">
        <f t="shared" ref="O102:O114" si="170">IF(O19&gt;0,O19*AF102,"")</f>
        <v>1.8584591389493021</v>
      </c>
      <c r="P102" s="93">
        <f t="shared" ref="P102:P114" si="171">IF(P19&gt;0,P19*AG102,"")</f>
        <v>1.8068774988263856</v>
      </c>
      <c r="Q102" s="94">
        <f t="shared" ref="Q102:Q114" si="172">IF(Q19&gt;0,Q19*AH102,"")</f>
        <v>0.6493554573278526</v>
      </c>
      <c r="R102" s="112" t="s">
        <v>616</v>
      </c>
      <c r="S102" s="106" t="s">
        <v>657</v>
      </c>
      <c r="T102" s="63">
        <v>0.5</v>
      </c>
      <c r="U102" s="63">
        <f>T102</f>
        <v>0.5</v>
      </c>
      <c r="V102" s="63">
        <f t="shared" ref="V102:AH102" si="173">U102</f>
        <v>0.5</v>
      </c>
      <c r="W102" s="63">
        <f t="shared" si="173"/>
        <v>0.5</v>
      </c>
      <c r="X102" s="64">
        <f t="shared" si="173"/>
        <v>0.5</v>
      </c>
      <c r="Y102" s="65">
        <f t="shared" si="173"/>
        <v>0.5</v>
      </c>
      <c r="Z102" s="63">
        <f t="shared" si="173"/>
        <v>0.5</v>
      </c>
      <c r="AA102" s="63">
        <f t="shared" si="173"/>
        <v>0.5</v>
      </c>
      <c r="AB102" s="63">
        <f t="shared" si="173"/>
        <v>0.5</v>
      </c>
      <c r="AC102" s="64">
        <f t="shared" si="173"/>
        <v>0.5</v>
      </c>
      <c r="AD102" s="63">
        <f t="shared" si="173"/>
        <v>0.5</v>
      </c>
      <c r="AE102" s="63">
        <f t="shared" si="173"/>
        <v>0.5</v>
      </c>
      <c r="AF102" s="63">
        <f t="shared" si="173"/>
        <v>0.5</v>
      </c>
      <c r="AG102" s="63">
        <f t="shared" si="173"/>
        <v>0.5</v>
      </c>
      <c r="AH102" s="64">
        <f t="shared" si="173"/>
        <v>0.5</v>
      </c>
    </row>
    <row r="103" spans="1:70" x14ac:dyDescent="0.25">
      <c r="A103" s="91" t="str">
        <f t="shared" ref="A103:A122" si="174">S103</f>
        <v>given</v>
      </c>
      <c r="B103" s="92" t="s">
        <v>618</v>
      </c>
      <c r="C103" s="93">
        <f t="shared" si="158"/>
        <v>7.6645686827521704</v>
      </c>
      <c r="D103" s="93">
        <f t="shared" si="159"/>
        <v>7.7060071919481237</v>
      </c>
      <c r="E103" s="93">
        <f t="shared" si="160"/>
        <v>7.0217753542210231</v>
      </c>
      <c r="F103" s="93">
        <f t="shared" si="161"/>
        <v>5.5270609948470781</v>
      </c>
      <c r="G103" s="94">
        <f t="shared" si="162"/>
        <v>2.6644349010471551</v>
      </c>
      <c r="H103" s="95">
        <f t="shared" si="163"/>
        <v>8.338342673513905</v>
      </c>
      <c r="I103" s="93">
        <f t="shared" si="164"/>
        <v>7.7387857082092841</v>
      </c>
      <c r="J103" s="93">
        <f t="shared" si="165"/>
        <v>7.0580556857392516</v>
      </c>
      <c r="K103" s="93">
        <f t="shared" si="166"/>
        <v>5.8629149224141059</v>
      </c>
      <c r="L103" s="94">
        <f t="shared" si="167"/>
        <v>2.7231796856093324</v>
      </c>
      <c r="M103" s="93">
        <f t="shared" si="168"/>
        <v>8.1405265063832708</v>
      </c>
      <c r="N103" s="93">
        <f t="shared" si="169"/>
        <v>6.9842949745356568</v>
      </c>
      <c r="O103" s="93">
        <f t="shared" si="170"/>
        <v>4.8779405213148728</v>
      </c>
      <c r="P103" s="93">
        <f t="shared" si="171"/>
        <v>3.0359002577700278</v>
      </c>
      <c r="Q103" s="94">
        <f t="shared" si="172"/>
        <v>0.57922182869757577</v>
      </c>
      <c r="R103" s="112" t="s">
        <v>618</v>
      </c>
      <c r="S103" s="106" t="s">
        <v>657</v>
      </c>
      <c r="T103" s="63">
        <v>0.5</v>
      </c>
      <c r="U103" s="63">
        <f t="shared" ref="U103:AH103" si="175">T103</f>
        <v>0.5</v>
      </c>
      <c r="V103" s="63">
        <f t="shared" si="175"/>
        <v>0.5</v>
      </c>
      <c r="W103" s="63">
        <f t="shared" si="175"/>
        <v>0.5</v>
      </c>
      <c r="X103" s="64">
        <f t="shared" si="175"/>
        <v>0.5</v>
      </c>
      <c r="Y103" s="65">
        <f t="shared" si="175"/>
        <v>0.5</v>
      </c>
      <c r="Z103" s="63">
        <f t="shared" si="175"/>
        <v>0.5</v>
      </c>
      <c r="AA103" s="63">
        <f t="shared" si="175"/>
        <v>0.5</v>
      </c>
      <c r="AB103" s="63">
        <f t="shared" si="175"/>
        <v>0.5</v>
      </c>
      <c r="AC103" s="64">
        <f t="shared" si="175"/>
        <v>0.5</v>
      </c>
      <c r="AD103" s="63">
        <f t="shared" si="175"/>
        <v>0.5</v>
      </c>
      <c r="AE103" s="63">
        <f t="shared" si="175"/>
        <v>0.5</v>
      </c>
      <c r="AF103" s="63">
        <f t="shared" si="175"/>
        <v>0.5</v>
      </c>
      <c r="AG103" s="63">
        <f t="shared" si="175"/>
        <v>0.5</v>
      </c>
      <c r="AH103" s="64">
        <f t="shared" si="175"/>
        <v>0.5</v>
      </c>
    </row>
    <row r="104" spans="1:70" x14ac:dyDescent="0.25">
      <c r="A104" s="91" t="str">
        <f t="shared" si="174"/>
        <v>given</v>
      </c>
      <c r="B104" s="92" t="s">
        <v>617</v>
      </c>
      <c r="C104" s="93">
        <f t="shared" si="158"/>
        <v>2.14985592454418</v>
      </c>
      <c r="D104" s="93">
        <f t="shared" si="159"/>
        <v>2.1470131769935876</v>
      </c>
      <c r="E104" s="93">
        <f t="shared" si="160"/>
        <v>1.9608971501376722</v>
      </c>
      <c r="F104" s="93">
        <f t="shared" si="161"/>
        <v>1.5172797310325112</v>
      </c>
      <c r="G104" s="94">
        <f t="shared" si="162"/>
        <v>0.8944166285976739</v>
      </c>
      <c r="H104" s="95">
        <f t="shared" si="163"/>
        <v>2.4760763557499308</v>
      </c>
      <c r="I104" s="93">
        <f t="shared" si="164"/>
        <v>2.1091606300396371</v>
      </c>
      <c r="J104" s="93">
        <f t="shared" si="165"/>
        <v>2.0205898482333344</v>
      </c>
      <c r="K104" s="93">
        <f t="shared" si="166"/>
        <v>1.4318760388512726</v>
      </c>
      <c r="L104" s="94">
        <f t="shared" si="167"/>
        <v>0.94278277676502575</v>
      </c>
      <c r="M104" s="93">
        <f t="shared" si="168"/>
        <v>1.8595631141119726</v>
      </c>
      <c r="N104" s="93">
        <f t="shared" si="169"/>
        <v>1.7191481754645126</v>
      </c>
      <c r="O104" s="93">
        <f t="shared" si="170"/>
        <v>1.4904395681743932</v>
      </c>
      <c r="P104" s="93">
        <f t="shared" si="171"/>
        <v>1.1696166689968301</v>
      </c>
      <c r="Q104" s="94">
        <f t="shared" si="172"/>
        <v>0.33328290773689057</v>
      </c>
      <c r="R104" s="112" t="s">
        <v>617</v>
      </c>
      <c r="S104" s="106" t="s">
        <v>657</v>
      </c>
      <c r="T104" s="63">
        <v>0.8</v>
      </c>
      <c r="U104" s="63">
        <f t="shared" ref="U104:AH104" si="176">T104</f>
        <v>0.8</v>
      </c>
      <c r="V104" s="63">
        <f t="shared" si="176"/>
        <v>0.8</v>
      </c>
      <c r="W104" s="63">
        <f t="shared" si="176"/>
        <v>0.8</v>
      </c>
      <c r="X104" s="64">
        <f t="shared" si="176"/>
        <v>0.8</v>
      </c>
      <c r="Y104" s="65">
        <f t="shared" si="176"/>
        <v>0.8</v>
      </c>
      <c r="Z104" s="63">
        <f t="shared" si="176"/>
        <v>0.8</v>
      </c>
      <c r="AA104" s="63">
        <f t="shared" si="176"/>
        <v>0.8</v>
      </c>
      <c r="AB104" s="63">
        <f t="shared" si="176"/>
        <v>0.8</v>
      </c>
      <c r="AC104" s="64">
        <f t="shared" si="176"/>
        <v>0.8</v>
      </c>
      <c r="AD104" s="63">
        <f t="shared" si="176"/>
        <v>0.8</v>
      </c>
      <c r="AE104" s="63">
        <f t="shared" si="176"/>
        <v>0.8</v>
      </c>
      <c r="AF104" s="63">
        <f t="shared" si="176"/>
        <v>0.8</v>
      </c>
      <c r="AG104" s="63">
        <f t="shared" si="176"/>
        <v>0.8</v>
      </c>
      <c r="AH104" s="64">
        <f t="shared" si="176"/>
        <v>0.8</v>
      </c>
    </row>
    <row r="105" spans="1:70" x14ac:dyDescent="0.25">
      <c r="A105" s="91" t="str">
        <f t="shared" si="174"/>
        <v>given</v>
      </c>
      <c r="B105" s="92" t="s">
        <v>715</v>
      </c>
      <c r="C105" s="93">
        <f t="shared" si="158"/>
        <v>1.5400544048836862</v>
      </c>
      <c r="D105" s="93">
        <f t="shared" si="159"/>
        <v>1.2759418132649349</v>
      </c>
      <c r="E105" s="93">
        <f t="shared" si="160"/>
        <v>1.0236519134872817</v>
      </c>
      <c r="F105" s="93">
        <f t="shared" si="161"/>
        <v>0.7359217654887481</v>
      </c>
      <c r="G105" s="94">
        <f t="shared" si="162"/>
        <v>0.49678165991482337</v>
      </c>
      <c r="H105" s="95">
        <f t="shared" si="163"/>
        <v>1.7185360800469232</v>
      </c>
      <c r="I105" s="93">
        <f t="shared" si="164"/>
        <v>1.1503156866223501</v>
      </c>
      <c r="J105" s="93">
        <f t="shared" si="165"/>
        <v>1.020251617496859</v>
      </c>
      <c r="K105" s="93">
        <f t="shared" si="166"/>
        <v>0.73382882867359722</v>
      </c>
      <c r="L105" s="94">
        <f t="shared" si="167"/>
        <v>0.58430521561105786</v>
      </c>
      <c r="M105" s="93">
        <f t="shared" si="168"/>
        <v>1.3656975993345173</v>
      </c>
      <c r="N105" s="93">
        <f t="shared" si="169"/>
        <v>1.3842373248285702</v>
      </c>
      <c r="O105" s="93">
        <f t="shared" si="170"/>
        <v>1.0440617579822473</v>
      </c>
      <c r="P105" s="93">
        <f t="shared" si="171"/>
        <v>0.89006313704232132</v>
      </c>
      <c r="Q105" s="94">
        <f t="shared" si="172"/>
        <v>0.31800879399371129</v>
      </c>
      <c r="R105" s="112" t="s">
        <v>715</v>
      </c>
      <c r="S105" s="106" t="s">
        <v>657</v>
      </c>
      <c r="T105" s="63">
        <v>0.8</v>
      </c>
      <c r="U105" s="63">
        <f t="shared" ref="U105:AH105" si="177">T105</f>
        <v>0.8</v>
      </c>
      <c r="V105" s="63">
        <f t="shared" si="177"/>
        <v>0.8</v>
      </c>
      <c r="W105" s="63">
        <f t="shared" si="177"/>
        <v>0.8</v>
      </c>
      <c r="X105" s="64">
        <f t="shared" si="177"/>
        <v>0.8</v>
      </c>
      <c r="Y105" s="65">
        <f t="shared" si="177"/>
        <v>0.8</v>
      </c>
      <c r="Z105" s="63">
        <f t="shared" si="177"/>
        <v>0.8</v>
      </c>
      <c r="AA105" s="63">
        <f t="shared" si="177"/>
        <v>0.8</v>
      </c>
      <c r="AB105" s="63">
        <f t="shared" si="177"/>
        <v>0.8</v>
      </c>
      <c r="AC105" s="64">
        <f t="shared" si="177"/>
        <v>0.8</v>
      </c>
      <c r="AD105" s="63">
        <f t="shared" si="177"/>
        <v>0.8</v>
      </c>
      <c r="AE105" s="63">
        <f t="shared" si="177"/>
        <v>0.8</v>
      </c>
      <c r="AF105" s="63">
        <f t="shared" si="177"/>
        <v>0.8</v>
      </c>
      <c r="AG105" s="63">
        <f t="shared" si="177"/>
        <v>0.8</v>
      </c>
      <c r="AH105" s="64">
        <f t="shared" si="177"/>
        <v>0.8</v>
      </c>
    </row>
    <row r="106" spans="1:70" x14ac:dyDescent="0.25">
      <c r="A106" s="91" t="str">
        <f t="shared" si="174"/>
        <v>given</v>
      </c>
      <c r="B106" s="92" t="s">
        <v>620</v>
      </c>
      <c r="C106" s="93">
        <f t="shared" si="158"/>
        <v>3.1989321106137618</v>
      </c>
      <c r="D106" s="93">
        <f t="shared" si="159"/>
        <v>3.9385624125962075</v>
      </c>
      <c r="E106" s="93">
        <f t="shared" si="160"/>
        <v>4.3178534352514326</v>
      </c>
      <c r="F106" s="93">
        <f t="shared" si="161"/>
        <v>4.6776131712859144</v>
      </c>
      <c r="G106" s="94">
        <f t="shared" si="162"/>
        <v>3.8492137759942251</v>
      </c>
      <c r="H106" s="95">
        <f t="shared" si="163"/>
        <v>2.880669584431522</v>
      </c>
      <c r="I106" s="93">
        <f t="shared" si="164"/>
        <v>4.0827756426967445</v>
      </c>
      <c r="J106" s="93">
        <f t="shared" si="165"/>
        <v>4.2551143370317197</v>
      </c>
      <c r="K106" s="93">
        <f t="shared" si="166"/>
        <v>4.3498693895965754</v>
      </c>
      <c r="L106" s="94">
        <f t="shared" si="167"/>
        <v>3.9321084116734375</v>
      </c>
      <c r="M106" s="93">
        <f t="shared" si="168"/>
        <v>3.2993421172899828</v>
      </c>
      <c r="N106" s="93">
        <f t="shared" si="169"/>
        <v>3.0831764104491439</v>
      </c>
      <c r="O106" s="93">
        <f t="shared" si="170"/>
        <v>3.5323130525759026</v>
      </c>
      <c r="P106" s="93">
        <f t="shared" si="171"/>
        <v>3.8211489141111952</v>
      </c>
      <c r="Q106" s="94">
        <f t="shared" si="172"/>
        <v>2.8392741602610303</v>
      </c>
      <c r="R106" s="112" t="s">
        <v>620</v>
      </c>
      <c r="S106" s="106" t="s">
        <v>657</v>
      </c>
      <c r="T106" s="63">
        <v>0.9</v>
      </c>
      <c r="U106" s="63">
        <f t="shared" ref="U106:AH106" si="178">T106</f>
        <v>0.9</v>
      </c>
      <c r="V106" s="63">
        <f t="shared" si="178"/>
        <v>0.9</v>
      </c>
      <c r="W106" s="63">
        <f t="shared" si="178"/>
        <v>0.9</v>
      </c>
      <c r="X106" s="64">
        <f t="shared" si="178"/>
        <v>0.9</v>
      </c>
      <c r="Y106" s="65">
        <f t="shared" si="178"/>
        <v>0.9</v>
      </c>
      <c r="Z106" s="63">
        <f t="shared" si="178"/>
        <v>0.9</v>
      </c>
      <c r="AA106" s="63">
        <f t="shared" si="178"/>
        <v>0.9</v>
      </c>
      <c r="AB106" s="63">
        <f t="shared" si="178"/>
        <v>0.9</v>
      </c>
      <c r="AC106" s="64">
        <f t="shared" si="178"/>
        <v>0.9</v>
      </c>
      <c r="AD106" s="63">
        <f t="shared" si="178"/>
        <v>0.9</v>
      </c>
      <c r="AE106" s="63">
        <f t="shared" si="178"/>
        <v>0.9</v>
      </c>
      <c r="AF106" s="63">
        <f t="shared" si="178"/>
        <v>0.9</v>
      </c>
      <c r="AG106" s="63">
        <f t="shared" si="178"/>
        <v>0.9</v>
      </c>
      <c r="AH106" s="64">
        <f t="shared" si="178"/>
        <v>0.9</v>
      </c>
    </row>
    <row r="107" spans="1:70" x14ac:dyDescent="0.25">
      <c r="A107" s="91" t="str">
        <f t="shared" si="174"/>
        <v>given</v>
      </c>
      <c r="B107" s="92" t="s">
        <v>621</v>
      </c>
      <c r="C107" s="93">
        <f t="shared" si="158"/>
        <v>1.7488961128782161</v>
      </c>
      <c r="D107" s="93">
        <f t="shared" si="159"/>
        <v>2.1384998404109563</v>
      </c>
      <c r="E107" s="93">
        <f t="shared" si="160"/>
        <v>2.5346603661996738</v>
      </c>
      <c r="F107" s="93">
        <f t="shared" si="161"/>
        <v>3.1797568606118642</v>
      </c>
      <c r="G107" s="94">
        <f t="shared" si="162"/>
        <v>4.1944609750065087</v>
      </c>
      <c r="H107" s="95">
        <f t="shared" si="163"/>
        <v>2.367604495248834</v>
      </c>
      <c r="I107" s="93">
        <f t="shared" si="164"/>
        <v>1.9930892326781264</v>
      </c>
      <c r="J107" s="93">
        <f t="shared" si="165"/>
        <v>2.6363190245725248</v>
      </c>
      <c r="K107" s="93">
        <f t="shared" si="166"/>
        <v>3.2149523941445</v>
      </c>
      <c r="L107" s="94">
        <f t="shared" si="167"/>
        <v>4.206498437314325</v>
      </c>
      <c r="M107" s="93">
        <f t="shared" si="168"/>
        <v>1.7941358876665479</v>
      </c>
      <c r="N107" s="93">
        <f t="shared" si="169"/>
        <v>2.3657471210853491</v>
      </c>
      <c r="O107" s="93">
        <f t="shared" si="170"/>
        <v>2.8888538400930601</v>
      </c>
      <c r="P107" s="93">
        <f t="shared" si="171"/>
        <v>3.1284219969010958</v>
      </c>
      <c r="Q107" s="94">
        <f t="shared" si="172"/>
        <v>2.6480380110426869</v>
      </c>
      <c r="R107" s="112" t="s">
        <v>621</v>
      </c>
      <c r="S107" s="106" t="s">
        <v>657</v>
      </c>
      <c r="T107" s="63">
        <v>0.9</v>
      </c>
      <c r="U107" s="63">
        <f t="shared" ref="U107:AH107" si="179">T107</f>
        <v>0.9</v>
      </c>
      <c r="V107" s="63">
        <f t="shared" si="179"/>
        <v>0.9</v>
      </c>
      <c r="W107" s="63">
        <f t="shared" si="179"/>
        <v>0.9</v>
      </c>
      <c r="X107" s="64">
        <f t="shared" si="179"/>
        <v>0.9</v>
      </c>
      <c r="Y107" s="65">
        <f t="shared" si="179"/>
        <v>0.9</v>
      </c>
      <c r="Z107" s="63">
        <f t="shared" si="179"/>
        <v>0.9</v>
      </c>
      <c r="AA107" s="63">
        <f t="shared" si="179"/>
        <v>0.9</v>
      </c>
      <c r="AB107" s="63">
        <f t="shared" si="179"/>
        <v>0.9</v>
      </c>
      <c r="AC107" s="64">
        <f t="shared" si="179"/>
        <v>0.9</v>
      </c>
      <c r="AD107" s="63">
        <f t="shared" si="179"/>
        <v>0.9</v>
      </c>
      <c r="AE107" s="63">
        <f t="shared" si="179"/>
        <v>0.9</v>
      </c>
      <c r="AF107" s="63">
        <f t="shared" si="179"/>
        <v>0.9</v>
      </c>
      <c r="AG107" s="63">
        <f t="shared" si="179"/>
        <v>0.9</v>
      </c>
      <c r="AH107" s="64">
        <f t="shared" si="179"/>
        <v>0.9</v>
      </c>
    </row>
    <row r="108" spans="1:70" x14ac:dyDescent="0.25">
      <c r="A108" s="91" t="str">
        <f t="shared" si="174"/>
        <v>given</v>
      </c>
      <c r="B108" s="92" t="s">
        <v>622</v>
      </c>
      <c r="C108" s="93">
        <f t="shared" si="158"/>
        <v>0.36756777599974588</v>
      </c>
      <c r="D108" s="93">
        <f t="shared" si="159"/>
        <v>0.97986863691449289</v>
      </c>
      <c r="E108" s="93">
        <f t="shared" si="160"/>
        <v>1.2522259277852854</v>
      </c>
      <c r="F108" s="93">
        <f t="shared" si="161"/>
        <v>2.0678421649804557</v>
      </c>
      <c r="G108" s="94">
        <f t="shared" si="162"/>
        <v>2.3180483176178748</v>
      </c>
      <c r="H108" s="95">
        <f t="shared" si="163"/>
        <v>0.463574660778028</v>
      </c>
      <c r="I108" s="93">
        <f t="shared" si="164"/>
        <v>0.93490679806131249</v>
      </c>
      <c r="J108" s="93">
        <f t="shared" si="165"/>
        <v>1.2648067386982227</v>
      </c>
      <c r="K108" s="93">
        <f t="shared" si="166"/>
        <v>1.9378884227995845</v>
      </c>
      <c r="L108" s="94">
        <f t="shared" si="167"/>
        <v>1.9143874145640583</v>
      </c>
      <c r="M108" s="93">
        <f t="shared" si="168"/>
        <v>0.47055783679956087</v>
      </c>
      <c r="N108" s="93">
        <f t="shared" si="169"/>
        <v>0.73387218512963925</v>
      </c>
      <c r="O108" s="93">
        <f t="shared" si="170"/>
        <v>1.1802572510536788</v>
      </c>
      <c r="P108" s="93">
        <f t="shared" si="171"/>
        <v>1.4044979781433584</v>
      </c>
      <c r="Q108" s="94">
        <f t="shared" si="172"/>
        <v>1.3655077200216033</v>
      </c>
      <c r="R108" s="112" t="s">
        <v>622</v>
      </c>
      <c r="S108" s="106" t="s">
        <v>657</v>
      </c>
      <c r="T108" s="63">
        <v>0.8</v>
      </c>
      <c r="U108" s="63">
        <f t="shared" ref="U108:AH108" si="180">T108</f>
        <v>0.8</v>
      </c>
      <c r="V108" s="63">
        <f t="shared" si="180"/>
        <v>0.8</v>
      </c>
      <c r="W108" s="63">
        <f t="shared" si="180"/>
        <v>0.8</v>
      </c>
      <c r="X108" s="64">
        <f t="shared" si="180"/>
        <v>0.8</v>
      </c>
      <c r="Y108" s="65">
        <f t="shared" si="180"/>
        <v>0.8</v>
      </c>
      <c r="Z108" s="63">
        <f t="shared" si="180"/>
        <v>0.8</v>
      </c>
      <c r="AA108" s="63">
        <f t="shared" si="180"/>
        <v>0.8</v>
      </c>
      <c r="AB108" s="63">
        <f t="shared" si="180"/>
        <v>0.8</v>
      </c>
      <c r="AC108" s="64">
        <f t="shared" si="180"/>
        <v>0.8</v>
      </c>
      <c r="AD108" s="63">
        <f t="shared" si="180"/>
        <v>0.8</v>
      </c>
      <c r="AE108" s="63">
        <f t="shared" si="180"/>
        <v>0.8</v>
      </c>
      <c r="AF108" s="63">
        <f t="shared" si="180"/>
        <v>0.8</v>
      </c>
      <c r="AG108" s="63">
        <f t="shared" si="180"/>
        <v>0.8</v>
      </c>
      <c r="AH108" s="64">
        <f t="shared" si="180"/>
        <v>0.8</v>
      </c>
    </row>
    <row r="109" spans="1:70" x14ac:dyDescent="0.25">
      <c r="A109" s="91" t="str">
        <f t="shared" si="174"/>
        <v>given</v>
      </c>
      <c r="B109" s="92" t="s">
        <v>623</v>
      </c>
      <c r="C109" s="93">
        <f t="shared" si="158"/>
        <v>1.1236128935437382</v>
      </c>
      <c r="D109" s="93">
        <f t="shared" si="159"/>
        <v>1.3960407799245704</v>
      </c>
      <c r="E109" s="93">
        <f t="shared" si="160"/>
        <v>1.4852894927176665</v>
      </c>
      <c r="F109" s="93">
        <f t="shared" si="161"/>
        <v>1.6924849937329385</v>
      </c>
      <c r="G109" s="94">
        <f t="shared" si="162"/>
        <v>1.5287319606886254</v>
      </c>
      <c r="H109" s="95">
        <f t="shared" si="163"/>
        <v>1.3418755179487285</v>
      </c>
      <c r="I109" s="93">
        <f t="shared" si="164"/>
        <v>1.5924391476642616</v>
      </c>
      <c r="J109" s="93">
        <f t="shared" si="165"/>
        <v>1.4262004406200082</v>
      </c>
      <c r="K109" s="93">
        <f t="shared" si="166"/>
        <v>1.6801550149077764</v>
      </c>
      <c r="L109" s="94">
        <f t="shared" si="167"/>
        <v>1.6702580329312331</v>
      </c>
      <c r="M109" s="93">
        <f t="shared" si="168"/>
        <v>1.7327042374853894</v>
      </c>
      <c r="N109" s="93">
        <f t="shared" si="169"/>
        <v>1.9313035867582453</v>
      </c>
      <c r="O109" s="93">
        <f t="shared" si="170"/>
        <v>2.0316004077795151</v>
      </c>
      <c r="P109" s="93">
        <f t="shared" si="171"/>
        <v>1.8177887325766946</v>
      </c>
      <c r="Q109" s="94">
        <f t="shared" si="172"/>
        <v>1.0713343679941256</v>
      </c>
      <c r="R109" s="112" t="s">
        <v>623</v>
      </c>
      <c r="S109" s="106" t="s">
        <v>657</v>
      </c>
      <c r="T109" s="63">
        <v>0.8</v>
      </c>
      <c r="U109" s="63">
        <f t="shared" ref="U109:AH109" si="181">T109</f>
        <v>0.8</v>
      </c>
      <c r="V109" s="63">
        <f t="shared" si="181"/>
        <v>0.8</v>
      </c>
      <c r="W109" s="63">
        <f t="shared" si="181"/>
        <v>0.8</v>
      </c>
      <c r="X109" s="64">
        <f t="shared" si="181"/>
        <v>0.8</v>
      </c>
      <c r="Y109" s="65">
        <f t="shared" si="181"/>
        <v>0.8</v>
      </c>
      <c r="Z109" s="63">
        <f t="shared" si="181"/>
        <v>0.8</v>
      </c>
      <c r="AA109" s="63">
        <f t="shared" si="181"/>
        <v>0.8</v>
      </c>
      <c r="AB109" s="63">
        <f t="shared" si="181"/>
        <v>0.8</v>
      </c>
      <c r="AC109" s="64">
        <f t="shared" si="181"/>
        <v>0.8</v>
      </c>
      <c r="AD109" s="63">
        <f t="shared" si="181"/>
        <v>0.8</v>
      </c>
      <c r="AE109" s="63">
        <f t="shared" si="181"/>
        <v>0.8</v>
      </c>
      <c r="AF109" s="63">
        <f t="shared" si="181"/>
        <v>0.8</v>
      </c>
      <c r="AG109" s="63">
        <f t="shared" si="181"/>
        <v>0.8</v>
      </c>
      <c r="AH109" s="64">
        <f t="shared" si="181"/>
        <v>0.8</v>
      </c>
    </row>
    <row r="110" spans="1:70" x14ac:dyDescent="0.25">
      <c r="A110" s="96" t="str">
        <f t="shared" si="174"/>
        <v>given</v>
      </c>
      <c r="B110" s="97" t="s">
        <v>624</v>
      </c>
      <c r="C110" s="98">
        <f t="shared" si="158"/>
        <v>9.682858072394513</v>
      </c>
      <c r="D110" s="98">
        <f t="shared" si="159"/>
        <v>11.095020488895818</v>
      </c>
      <c r="E110" s="98">
        <f t="shared" si="160"/>
        <v>13.635024983174674</v>
      </c>
      <c r="F110" s="98">
        <f t="shared" si="161"/>
        <v>17.083970376236529</v>
      </c>
      <c r="G110" s="99">
        <f t="shared" si="162"/>
        <v>18.820169858215035</v>
      </c>
      <c r="H110" s="100">
        <f t="shared" si="163"/>
        <v>10.786027355748891</v>
      </c>
      <c r="I110" s="98">
        <f t="shared" si="164"/>
        <v>13.833677431121551</v>
      </c>
      <c r="J110" s="98">
        <f t="shared" si="165"/>
        <v>17.346351006832808</v>
      </c>
      <c r="K110" s="98">
        <f t="shared" si="166"/>
        <v>16.963247122168085</v>
      </c>
      <c r="L110" s="99">
        <f t="shared" si="167"/>
        <v>17.816205419816576</v>
      </c>
      <c r="M110" s="98">
        <f t="shared" si="168"/>
        <v>8.532612689025953</v>
      </c>
      <c r="N110" s="98">
        <f t="shared" si="169"/>
        <v>11.537742844925663</v>
      </c>
      <c r="O110" s="98">
        <f t="shared" si="170"/>
        <v>12.030054510848624</v>
      </c>
      <c r="P110" s="98">
        <f t="shared" si="171"/>
        <v>11.583148381668233</v>
      </c>
      <c r="Q110" s="99">
        <f t="shared" si="172"/>
        <v>11.74008919635979</v>
      </c>
      <c r="R110" s="113" t="s">
        <v>624</v>
      </c>
      <c r="S110" s="107" t="s">
        <v>657</v>
      </c>
      <c r="T110" s="118">
        <v>1.5</v>
      </c>
      <c r="U110" s="118">
        <f t="shared" ref="U110:AH110" si="182">T110</f>
        <v>1.5</v>
      </c>
      <c r="V110" s="118">
        <f t="shared" si="182"/>
        <v>1.5</v>
      </c>
      <c r="W110" s="118">
        <f t="shared" si="182"/>
        <v>1.5</v>
      </c>
      <c r="X110" s="119">
        <f t="shared" si="182"/>
        <v>1.5</v>
      </c>
      <c r="Y110" s="120">
        <f t="shared" si="182"/>
        <v>1.5</v>
      </c>
      <c r="Z110" s="118">
        <f t="shared" si="182"/>
        <v>1.5</v>
      </c>
      <c r="AA110" s="118">
        <f t="shared" si="182"/>
        <v>1.5</v>
      </c>
      <c r="AB110" s="118">
        <f t="shared" si="182"/>
        <v>1.5</v>
      </c>
      <c r="AC110" s="119">
        <f t="shared" si="182"/>
        <v>1.5</v>
      </c>
      <c r="AD110" s="118">
        <f t="shared" si="182"/>
        <v>1.5</v>
      </c>
      <c r="AE110" s="118">
        <f t="shared" si="182"/>
        <v>1.5</v>
      </c>
      <c r="AF110" s="118">
        <f t="shared" si="182"/>
        <v>1.5</v>
      </c>
      <c r="AG110" s="118">
        <f t="shared" si="182"/>
        <v>1.5</v>
      </c>
      <c r="AH110" s="119">
        <f t="shared" si="182"/>
        <v>1.5</v>
      </c>
    </row>
    <row r="111" spans="1:70" x14ac:dyDescent="0.25">
      <c r="A111" s="96" t="str">
        <f t="shared" si="174"/>
        <v>given</v>
      </c>
      <c r="B111" s="97" t="s">
        <v>626</v>
      </c>
      <c r="C111" s="98">
        <f t="shared" si="158"/>
        <v>4.4733670280021407</v>
      </c>
      <c r="D111" s="98">
        <f t="shared" si="159"/>
        <v>5.0890490379952782</v>
      </c>
      <c r="E111" s="98">
        <f t="shared" si="160"/>
        <v>5.4129345339309385</v>
      </c>
      <c r="F111" s="98">
        <f t="shared" si="161"/>
        <v>5.3812777433053336</v>
      </c>
      <c r="G111" s="99">
        <f t="shared" si="162"/>
        <v>5.5308897069336904</v>
      </c>
      <c r="H111" s="100">
        <f t="shared" si="163"/>
        <v>5.3625083421140429</v>
      </c>
      <c r="I111" s="98">
        <f t="shared" si="164"/>
        <v>5.3354419657385037</v>
      </c>
      <c r="J111" s="98">
        <f t="shared" si="165"/>
        <v>5.4188606963113841</v>
      </c>
      <c r="K111" s="98">
        <f t="shared" si="166"/>
        <v>5.6210893034771123</v>
      </c>
      <c r="L111" s="99">
        <f t="shared" si="167"/>
        <v>5.4043208818488893</v>
      </c>
      <c r="M111" s="98">
        <f t="shared" si="168"/>
        <v>4.2012992727706644</v>
      </c>
      <c r="N111" s="98">
        <f t="shared" si="169"/>
        <v>4.42328131983151</v>
      </c>
      <c r="O111" s="98">
        <f t="shared" si="170"/>
        <v>5.0664665502806114</v>
      </c>
      <c r="P111" s="98">
        <f t="shared" si="171"/>
        <v>5.2494459612313999</v>
      </c>
      <c r="Q111" s="99">
        <f t="shared" si="172"/>
        <v>4.819414066020542</v>
      </c>
      <c r="R111" s="113" t="s">
        <v>626</v>
      </c>
      <c r="S111" s="107" t="s">
        <v>657</v>
      </c>
      <c r="T111" s="118">
        <v>1</v>
      </c>
      <c r="U111" s="118">
        <f t="shared" ref="U111:AH111" si="183">T111</f>
        <v>1</v>
      </c>
      <c r="V111" s="118">
        <f t="shared" si="183"/>
        <v>1</v>
      </c>
      <c r="W111" s="118">
        <f t="shared" si="183"/>
        <v>1</v>
      </c>
      <c r="X111" s="119">
        <f t="shared" si="183"/>
        <v>1</v>
      </c>
      <c r="Y111" s="120">
        <f t="shared" si="183"/>
        <v>1</v>
      </c>
      <c r="Z111" s="118">
        <f t="shared" si="183"/>
        <v>1</v>
      </c>
      <c r="AA111" s="118">
        <f t="shared" si="183"/>
        <v>1</v>
      </c>
      <c r="AB111" s="118">
        <f t="shared" si="183"/>
        <v>1</v>
      </c>
      <c r="AC111" s="119">
        <f t="shared" si="183"/>
        <v>1</v>
      </c>
      <c r="AD111" s="118">
        <f t="shared" si="183"/>
        <v>1</v>
      </c>
      <c r="AE111" s="118">
        <f t="shared" si="183"/>
        <v>1</v>
      </c>
      <c r="AF111" s="118">
        <f t="shared" si="183"/>
        <v>1</v>
      </c>
      <c r="AG111" s="118">
        <f t="shared" si="183"/>
        <v>1</v>
      </c>
      <c r="AH111" s="119">
        <f t="shared" si="183"/>
        <v>1</v>
      </c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</row>
    <row r="112" spans="1:70" x14ac:dyDescent="0.25">
      <c r="A112" s="96" t="str">
        <f t="shared" si="174"/>
        <v>given</v>
      </c>
      <c r="B112" s="97" t="s">
        <v>629</v>
      </c>
      <c r="C112" s="98">
        <f t="shared" si="158"/>
        <v>0.11269720680569342</v>
      </c>
      <c r="D112" s="98">
        <f t="shared" si="159"/>
        <v>0.1506405679996265</v>
      </c>
      <c r="E112" s="98">
        <f t="shared" si="160"/>
        <v>0.19010829415849495</v>
      </c>
      <c r="F112" s="98">
        <f t="shared" si="161"/>
        <v>0.23118632823198801</v>
      </c>
      <c r="G112" s="99">
        <f t="shared" si="162"/>
        <v>0.37166245367376843</v>
      </c>
      <c r="H112" s="100">
        <f t="shared" si="163"/>
        <v>9.9453316603828515E-2</v>
      </c>
      <c r="I112" s="98">
        <f t="shared" si="164"/>
        <v>0.16845650418123981</v>
      </c>
      <c r="J112" s="98">
        <f t="shared" si="165"/>
        <v>0.19589508404731343</v>
      </c>
      <c r="K112" s="98">
        <f t="shared" si="166"/>
        <v>0.23201240599941708</v>
      </c>
      <c r="L112" s="99">
        <f t="shared" si="167"/>
        <v>0.36788498138325304</v>
      </c>
      <c r="M112" s="98">
        <f t="shared" si="168"/>
        <v>0.32909475093354512</v>
      </c>
      <c r="N112" s="98">
        <f t="shared" si="169"/>
        <v>0.69894835770073749</v>
      </c>
      <c r="O112" s="98">
        <f t="shared" si="170"/>
        <v>0.72381027178373436</v>
      </c>
      <c r="P112" s="98">
        <f t="shared" si="171"/>
        <v>0.80714545133022852</v>
      </c>
      <c r="Q112" s="99">
        <f t="shared" si="172"/>
        <v>0.62827834993805809</v>
      </c>
      <c r="R112" s="113" t="s">
        <v>629</v>
      </c>
      <c r="S112" s="107" t="s">
        <v>657</v>
      </c>
      <c r="T112" s="118">
        <v>1</v>
      </c>
      <c r="U112" s="118">
        <f t="shared" ref="U112:AH112" si="184">T112</f>
        <v>1</v>
      </c>
      <c r="V112" s="118">
        <f t="shared" si="184"/>
        <v>1</v>
      </c>
      <c r="W112" s="118">
        <f t="shared" si="184"/>
        <v>1</v>
      </c>
      <c r="X112" s="119">
        <f t="shared" si="184"/>
        <v>1</v>
      </c>
      <c r="Y112" s="120">
        <f t="shared" si="184"/>
        <v>1</v>
      </c>
      <c r="Z112" s="118">
        <f t="shared" si="184"/>
        <v>1</v>
      </c>
      <c r="AA112" s="118">
        <f t="shared" si="184"/>
        <v>1</v>
      </c>
      <c r="AB112" s="118">
        <f t="shared" si="184"/>
        <v>1</v>
      </c>
      <c r="AC112" s="119">
        <f t="shared" si="184"/>
        <v>1</v>
      </c>
      <c r="AD112" s="118">
        <f t="shared" si="184"/>
        <v>1</v>
      </c>
      <c r="AE112" s="118">
        <f t="shared" si="184"/>
        <v>1</v>
      </c>
      <c r="AF112" s="118">
        <f t="shared" si="184"/>
        <v>1</v>
      </c>
      <c r="AG112" s="118">
        <f t="shared" si="184"/>
        <v>1</v>
      </c>
      <c r="AH112" s="119">
        <f t="shared" si="184"/>
        <v>1</v>
      </c>
    </row>
    <row r="113" spans="1:34" x14ac:dyDescent="0.25">
      <c r="A113" s="101" t="str">
        <f t="shared" si="174"/>
        <v>given</v>
      </c>
      <c r="B113" s="102" t="s">
        <v>633</v>
      </c>
      <c r="C113" s="103">
        <f t="shared" si="158"/>
        <v>3.3363575611600695</v>
      </c>
      <c r="D113" s="103">
        <f t="shared" si="159"/>
        <v>2.9278100552747639</v>
      </c>
      <c r="E113" s="103">
        <f t="shared" si="160"/>
        <v>2.7917639857432857</v>
      </c>
      <c r="F113" s="103">
        <f t="shared" si="161"/>
        <v>2.8875637329723105</v>
      </c>
      <c r="G113" s="104">
        <f t="shared" si="162"/>
        <v>3.1781296196128404</v>
      </c>
      <c r="H113" s="105">
        <f t="shared" si="163"/>
        <v>3.5616244317376187</v>
      </c>
      <c r="I113" s="103">
        <f t="shared" si="164"/>
        <v>3.1881947136957258</v>
      </c>
      <c r="J113" s="103">
        <f t="shared" si="165"/>
        <v>3.1145947421522062</v>
      </c>
      <c r="K113" s="103">
        <f t="shared" si="166"/>
        <v>2.9790831487017231</v>
      </c>
      <c r="L113" s="104">
        <f t="shared" si="167"/>
        <v>3.6312165282559246</v>
      </c>
      <c r="M113" s="103">
        <f t="shared" si="168"/>
        <v>5.770918794982328</v>
      </c>
      <c r="N113" s="103">
        <f t="shared" si="169"/>
        <v>6.8145379546718026</v>
      </c>
      <c r="O113" s="103">
        <f t="shared" si="170"/>
        <v>7.2190999786036061</v>
      </c>
      <c r="P113" s="103">
        <f t="shared" si="171"/>
        <v>7.63579361409968</v>
      </c>
      <c r="Q113" s="104">
        <f t="shared" si="172"/>
        <v>8.2775972535350579</v>
      </c>
      <c r="R113" s="114" t="s">
        <v>633</v>
      </c>
      <c r="S113" s="108" t="s">
        <v>657</v>
      </c>
      <c r="T113" s="59">
        <v>0.8</v>
      </c>
      <c r="U113" s="59">
        <f t="shared" ref="U113:AH113" si="185">T113</f>
        <v>0.8</v>
      </c>
      <c r="V113" s="59">
        <f t="shared" si="185"/>
        <v>0.8</v>
      </c>
      <c r="W113" s="59">
        <f t="shared" si="185"/>
        <v>0.8</v>
      </c>
      <c r="X113" s="61">
        <f t="shared" si="185"/>
        <v>0.8</v>
      </c>
      <c r="Y113" s="62">
        <f t="shared" si="185"/>
        <v>0.8</v>
      </c>
      <c r="Z113" s="59">
        <f t="shared" si="185"/>
        <v>0.8</v>
      </c>
      <c r="AA113" s="59">
        <f t="shared" si="185"/>
        <v>0.8</v>
      </c>
      <c r="AB113" s="59">
        <f t="shared" si="185"/>
        <v>0.8</v>
      </c>
      <c r="AC113" s="61">
        <f t="shared" si="185"/>
        <v>0.8</v>
      </c>
      <c r="AD113" s="59">
        <f t="shared" si="185"/>
        <v>0.8</v>
      </c>
      <c r="AE113" s="59">
        <f t="shared" si="185"/>
        <v>0.8</v>
      </c>
      <c r="AF113" s="59">
        <f t="shared" si="185"/>
        <v>0.8</v>
      </c>
      <c r="AG113" s="59">
        <f t="shared" si="185"/>
        <v>0.8</v>
      </c>
      <c r="AH113" s="61">
        <f t="shared" si="185"/>
        <v>0.8</v>
      </c>
    </row>
    <row r="114" spans="1:34" x14ac:dyDescent="0.25">
      <c r="A114" s="101" t="str">
        <f t="shared" si="174"/>
        <v>given</v>
      </c>
      <c r="B114" s="102" t="s">
        <v>634</v>
      </c>
      <c r="C114" s="103">
        <f t="shared" si="158"/>
        <v>3.3034492237731286</v>
      </c>
      <c r="D114" s="103">
        <f t="shared" si="159"/>
        <v>2.9859635810794947</v>
      </c>
      <c r="E114" s="103">
        <f t="shared" si="160"/>
        <v>3.1352720873476931</v>
      </c>
      <c r="F114" s="103">
        <f t="shared" si="161"/>
        <v>3.2908969096120302</v>
      </c>
      <c r="G114" s="104">
        <f t="shared" si="162"/>
        <v>4.6220248153559034</v>
      </c>
      <c r="H114" s="105">
        <f t="shared" si="163"/>
        <v>3.0223849319007128</v>
      </c>
      <c r="I114" s="103">
        <f t="shared" si="164"/>
        <v>2.9427427684409393</v>
      </c>
      <c r="J114" s="103">
        <f t="shared" si="165"/>
        <v>3.0357532608792797</v>
      </c>
      <c r="K114" s="103">
        <f t="shared" si="166"/>
        <v>4.6881007498615928</v>
      </c>
      <c r="L114" s="104">
        <f t="shared" si="167"/>
        <v>3.8778048521309634</v>
      </c>
      <c r="M114" s="103">
        <f t="shared" si="168"/>
        <v>3.7455955342117786</v>
      </c>
      <c r="N114" s="103">
        <f t="shared" si="169"/>
        <v>4.1306184152523384</v>
      </c>
      <c r="O114" s="103">
        <f t="shared" si="170"/>
        <v>3.5530906773793838</v>
      </c>
      <c r="P114" s="103">
        <f t="shared" si="171"/>
        <v>4.0607707057377826</v>
      </c>
      <c r="Q114" s="104">
        <f t="shared" si="172"/>
        <v>5.6276024327147081</v>
      </c>
      <c r="R114" s="114" t="s">
        <v>634</v>
      </c>
      <c r="S114" s="108" t="s">
        <v>657</v>
      </c>
      <c r="T114" s="59">
        <v>1</v>
      </c>
      <c r="U114" s="59">
        <f t="shared" ref="U114:AH114" si="186">T114</f>
        <v>1</v>
      </c>
      <c r="V114" s="59">
        <f t="shared" si="186"/>
        <v>1</v>
      </c>
      <c r="W114" s="59">
        <f t="shared" si="186"/>
        <v>1</v>
      </c>
      <c r="X114" s="61">
        <f t="shared" si="186"/>
        <v>1</v>
      </c>
      <c r="Y114" s="62">
        <f t="shared" si="186"/>
        <v>1</v>
      </c>
      <c r="Z114" s="59">
        <f t="shared" si="186"/>
        <v>1</v>
      </c>
      <c r="AA114" s="59">
        <f t="shared" si="186"/>
        <v>1</v>
      </c>
      <c r="AB114" s="59">
        <f t="shared" si="186"/>
        <v>1</v>
      </c>
      <c r="AC114" s="61">
        <f t="shared" si="186"/>
        <v>1</v>
      </c>
      <c r="AD114" s="59">
        <f t="shared" si="186"/>
        <v>1</v>
      </c>
      <c r="AE114" s="59">
        <f t="shared" si="186"/>
        <v>1</v>
      </c>
      <c r="AF114" s="59">
        <f t="shared" si="186"/>
        <v>1</v>
      </c>
      <c r="AG114" s="59">
        <f t="shared" si="186"/>
        <v>1</v>
      </c>
      <c r="AH114" s="61">
        <f t="shared" si="186"/>
        <v>1</v>
      </c>
    </row>
    <row r="115" spans="1:34" x14ac:dyDescent="0.25">
      <c r="A115" s="96"/>
      <c r="B115" s="97"/>
      <c r="C115" s="98"/>
      <c r="D115" s="98"/>
      <c r="E115" s="98"/>
      <c r="F115" s="98"/>
      <c r="G115" s="99"/>
      <c r="H115" s="100"/>
      <c r="I115" s="98"/>
      <c r="J115" s="98"/>
      <c r="K115" s="98"/>
      <c r="L115" s="99"/>
      <c r="M115" s="98"/>
      <c r="N115" s="98"/>
      <c r="O115" s="98"/>
      <c r="P115" s="98"/>
      <c r="Q115" s="99"/>
      <c r="R115" s="170" t="s">
        <v>662</v>
      </c>
      <c r="S115" s="171"/>
      <c r="T115" s="81">
        <f>(100-
SUMPRODUCT(C19:C31,T102:T114)
)
/
SUMIF($A$19:$A$38,"residual",C$19:C$38)</f>
        <v>1.2077155199250216</v>
      </c>
      <c r="U115" s="81">
        <f t="shared" ref="U115:AH115" si="187">(100-SUMPRODUCT(D19:D31,U102:U114))/SUM(D32:D38)</f>
        <v>1.2147904969162069</v>
      </c>
      <c r="V115" s="81">
        <f t="shared" si="187"/>
        <v>1.1772184720461318</v>
      </c>
      <c r="W115" s="81">
        <f t="shared" si="187"/>
        <v>1.1159148133561756</v>
      </c>
      <c r="X115" s="82">
        <f t="shared" si="187"/>
        <v>1.0204099142159762</v>
      </c>
      <c r="Y115" s="83">
        <f t="shared" si="187"/>
        <v>1.2520605429502178</v>
      </c>
      <c r="Z115" s="81">
        <f t="shared" si="187"/>
        <v>1.1962239761879154</v>
      </c>
      <c r="AA115" s="81">
        <f t="shared" si="187"/>
        <v>1.1727521671956587</v>
      </c>
      <c r="AB115" s="81">
        <f t="shared" si="187"/>
        <v>1.1323142191801947</v>
      </c>
      <c r="AC115" s="82">
        <f t="shared" si="187"/>
        <v>1.0299764477266513</v>
      </c>
      <c r="AD115" s="81">
        <f t="shared" si="187"/>
        <v>1.240947448307449</v>
      </c>
      <c r="AE115" s="81">
        <f t="shared" si="187"/>
        <v>1.2154449207357383</v>
      </c>
      <c r="AF115" s="81">
        <f t="shared" si="187"/>
        <v>1.1458067995756112</v>
      </c>
      <c r="AG115" s="81">
        <f t="shared" si="187"/>
        <v>1.1025251819978714</v>
      </c>
      <c r="AH115" s="81">
        <f t="shared" si="187"/>
        <v>1.0131366537431494</v>
      </c>
    </row>
    <row r="116" spans="1:34" x14ac:dyDescent="0.25">
      <c r="A116" s="85" t="str">
        <f t="shared" si="174"/>
        <v>residual</v>
      </c>
      <c r="B116" s="39" t="s">
        <v>625</v>
      </c>
      <c r="C116" s="52">
        <f t="shared" ref="C116:Q122" si="188">IF(C32&gt;0,C32*T116,"")</f>
        <v>32.939266255854008</v>
      </c>
      <c r="D116" s="52">
        <f t="shared" si="188"/>
        <v>25.887264262061599</v>
      </c>
      <c r="E116" s="52">
        <f t="shared" si="188"/>
        <v>19.94609816556332</v>
      </c>
      <c r="F116" s="52">
        <f t="shared" si="188"/>
        <v>13.200012241729006</v>
      </c>
      <c r="G116" s="53">
        <f t="shared" si="188"/>
        <v>6.0097578282535853</v>
      </c>
      <c r="H116" s="54">
        <f t="shared" si="188"/>
        <v>27.502566099629735</v>
      </c>
      <c r="I116" s="52">
        <f t="shared" si="188"/>
        <v>21.393134673884344</v>
      </c>
      <c r="J116" s="52">
        <f t="shared" si="188"/>
        <v>15.748759770034665</v>
      </c>
      <c r="K116" s="52">
        <f t="shared" si="188"/>
        <v>12.920181178732589</v>
      </c>
      <c r="L116" s="53">
        <f t="shared" si="188"/>
        <v>5.3254167286832086</v>
      </c>
      <c r="M116" s="52">
        <f t="shared" si="188"/>
        <v>25.999345855369214</v>
      </c>
      <c r="N116" s="52">
        <f t="shared" si="188"/>
        <v>16.695499651019091</v>
      </c>
      <c r="O116" s="52">
        <f t="shared" si="188"/>
        <v>13.771488229660703</v>
      </c>
      <c r="P116" s="52">
        <f t="shared" si="188"/>
        <v>7.9135929062049337</v>
      </c>
      <c r="Q116" s="53">
        <f t="shared" si="188"/>
        <v>0.67440676328406768</v>
      </c>
      <c r="R116" s="115" t="s">
        <v>625</v>
      </c>
      <c r="S116" s="109" t="s">
        <v>660</v>
      </c>
      <c r="T116" s="52">
        <f t="shared" ref="T116:AH116" si="189">T115</f>
        <v>1.2077155199250216</v>
      </c>
      <c r="U116" s="52">
        <f t="shared" si="189"/>
        <v>1.2147904969162069</v>
      </c>
      <c r="V116" s="52">
        <f t="shared" si="189"/>
        <v>1.1772184720461318</v>
      </c>
      <c r="W116" s="52">
        <f t="shared" si="189"/>
        <v>1.1159148133561756</v>
      </c>
      <c r="X116" s="53">
        <f t="shared" si="189"/>
        <v>1.0204099142159762</v>
      </c>
      <c r="Y116" s="54">
        <f t="shared" si="189"/>
        <v>1.2520605429502178</v>
      </c>
      <c r="Z116" s="52">
        <f t="shared" si="189"/>
        <v>1.1962239761879154</v>
      </c>
      <c r="AA116" s="52">
        <f t="shared" si="189"/>
        <v>1.1727521671956587</v>
      </c>
      <c r="AB116" s="52">
        <f t="shared" si="189"/>
        <v>1.1323142191801947</v>
      </c>
      <c r="AC116" s="53">
        <f t="shared" si="189"/>
        <v>1.0299764477266513</v>
      </c>
      <c r="AD116" s="52">
        <f t="shared" si="189"/>
        <v>1.240947448307449</v>
      </c>
      <c r="AE116" s="52">
        <f t="shared" si="189"/>
        <v>1.2154449207357383</v>
      </c>
      <c r="AF116" s="52">
        <f t="shared" si="189"/>
        <v>1.1458067995756112</v>
      </c>
      <c r="AG116" s="52">
        <f t="shared" si="189"/>
        <v>1.1025251819978714</v>
      </c>
      <c r="AH116" s="53">
        <f t="shared" si="189"/>
        <v>1.0131366537431494</v>
      </c>
    </row>
    <row r="117" spans="1:34" x14ac:dyDescent="0.25">
      <c r="A117" s="90" t="str">
        <f t="shared" si="174"/>
        <v>residual</v>
      </c>
      <c r="B117" s="49" t="s">
        <v>627</v>
      </c>
      <c r="C117" s="55" t="str">
        <f t="shared" si="188"/>
        <v/>
      </c>
      <c r="D117" s="55" t="str">
        <f t="shared" si="188"/>
        <v/>
      </c>
      <c r="E117" s="55" t="str">
        <f t="shared" si="188"/>
        <v/>
      </c>
      <c r="F117" s="55" t="str">
        <f t="shared" si="188"/>
        <v/>
      </c>
      <c r="G117" s="56" t="str">
        <f t="shared" si="188"/>
        <v/>
      </c>
      <c r="H117" s="57" t="str">
        <f t="shared" si="188"/>
        <v/>
      </c>
      <c r="I117" s="55" t="str">
        <f t="shared" si="188"/>
        <v/>
      </c>
      <c r="J117" s="55" t="str">
        <f t="shared" si="188"/>
        <v/>
      </c>
      <c r="K117" s="55" t="str">
        <f t="shared" si="188"/>
        <v/>
      </c>
      <c r="L117" s="56" t="str">
        <f t="shared" si="188"/>
        <v/>
      </c>
      <c r="M117" s="55" t="str">
        <f t="shared" si="188"/>
        <v/>
      </c>
      <c r="N117" s="55" t="str">
        <f t="shared" si="188"/>
        <v/>
      </c>
      <c r="O117" s="55" t="str">
        <f t="shared" si="188"/>
        <v/>
      </c>
      <c r="P117" s="55" t="str">
        <f t="shared" si="188"/>
        <v/>
      </c>
      <c r="Q117" s="56" t="str">
        <f t="shared" si="188"/>
        <v/>
      </c>
      <c r="R117" s="116" t="s">
        <v>627</v>
      </c>
      <c r="S117" s="110" t="s">
        <v>660</v>
      </c>
      <c r="T117" s="55" t="str">
        <f t="shared" ref="T117:AH122" si="190">IF(C33&gt;0,T$116,"")</f>
        <v/>
      </c>
      <c r="U117" s="55" t="str">
        <f t="shared" si="190"/>
        <v/>
      </c>
      <c r="V117" s="55" t="str">
        <f t="shared" si="190"/>
        <v/>
      </c>
      <c r="W117" s="55" t="str">
        <f t="shared" si="190"/>
        <v/>
      </c>
      <c r="X117" s="56" t="str">
        <f t="shared" si="190"/>
        <v/>
      </c>
      <c r="Y117" s="57" t="str">
        <f t="shared" si="190"/>
        <v/>
      </c>
      <c r="Z117" s="55" t="str">
        <f t="shared" si="190"/>
        <v/>
      </c>
      <c r="AA117" s="55" t="str">
        <f t="shared" si="190"/>
        <v/>
      </c>
      <c r="AB117" s="55" t="str">
        <f t="shared" si="190"/>
        <v/>
      </c>
      <c r="AC117" s="56" t="str">
        <f t="shared" si="190"/>
        <v/>
      </c>
      <c r="AD117" s="55" t="str">
        <f t="shared" si="190"/>
        <v/>
      </c>
      <c r="AE117" s="55" t="str">
        <f t="shared" si="190"/>
        <v/>
      </c>
      <c r="AF117" s="55" t="str">
        <f t="shared" si="190"/>
        <v/>
      </c>
      <c r="AG117" s="55" t="str">
        <f t="shared" si="190"/>
        <v/>
      </c>
      <c r="AH117" s="56" t="str">
        <f t="shared" si="190"/>
        <v/>
      </c>
    </row>
    <row r="118" spans="1:34" x14ac:dyDescent="0.25">
      <c r="A118" s="84" t="str">
        <f t="shared" si="174"/>
        <v>residual</v>
      </c>
      <c r="B118" s="40" t="s">
        <v>628</v>
      </c>
      <c r="C118" s="43">
        <f t="shared" si="188"/>
        <v>5.9471528455776124</v>
      </c>
      <c r="D118" s="43">
        <f t="shared" si="188"/>
        <v>6.5605226397628336</v>
      </c>
      <c r="E118" s="43">
        <f t="shared" si="188"/>
        <v>7.4617449479728251</v>
      </c>
      <c r="F118" s="43">
        <f t="shared" si="188"/>
        <v>7.4121441212931751</v>
      </c>
      <c r="G118" s="50">
        <f t="shared" si="188"/>
        <v>8.5826661127414852</v>
      </c>
      <c r="H118" s="51">
        <f t="shared" si="188"/>
        <v>6.6704880682180816</v>
      </c>
      <c r="I118" s="43">
        <f t="shared" si="188"/>
        <v>7.4802632785030259</v>
      </c>
      <c r="J118" s="43">
        <f t="shared" si="188"/>
        <v>6.8392927610730982</v>
      </c>
      <c r="K118" s="43">
        <f t="shared" si="188"/>
        <v>7.6044151677345848</v>
      </c>
      <c r="L118" s="50">
        <f t="shared" si="188"/>
        <v>9.0862101926131604</v>
      </c>
      <c r="M118" s="43">
        <f t="shared" si="188"/>
        <v>7.2666085856350682</v>
      </c>
      <c r="N118" s="43">
        <f t="shared" si="188"/>
        <v>6.217115740368091</v>
      </c>
      <c r="O118" s="43">
        <f t="shared" si="188"/>
        <v>7.5257172782578925</v>
      </c>
      <c r="P118" s="43">
        <f t="shared" si="188"/>
        <v>6.8904613247541731</v>
      </c>
      <c r="Q118" s="50">
        <f t="shared" si="188"/>
        <v>9.8302362430616093</v>
      </c>
      <c r="R118" s="117" t="s">
        <v>628</v>
      </c>
      <c r="S118" s="111" t="s">
        <v>660</v>
      </c>
      <c r="T118" s="43">
        <f t="shared" si="190"/>
        <v>1.2077155199250216</v>
      </c>
      <c r="U118" s="43">
        <f t="shared" si="190"/>
        <v>1.2147904969162069</v>
      </c>
      <c r="V118" s="43">
        <f t="shared" si="190"/>
        <v>1.1772184720461318</v>
      </c>
      <c r="W118" s="43">
        <f t="shared" si="190"/>
        <v>1.1159148133561756</v>
      </c>
      <c r="X118" s="50">
        <f t="shared" si="190"/>
        <v>1.0204099142159762</v>
      </c>
      <c r="Y118" s="51">
        <f t="shared" si="190"/>
        <v>1.2520605429502178</v>
      </c>
      <c r="Z118" s="43">
        <f t="shared" si="190"/>
        <v>1.1962239761879154</v>
      </c>
      <c r="AA118" s="43">
        <f t="shared" si="190"/>
        <v>1.1727521671956587</v>
      </c>
      <c r="AB118" s="43">
        <f t="shared" si="190"/>
        <v>1.1323142191801947</v>
      </c>
      <c r="AC118" s="50">
        <f t="shared" si="190"/>
        <v>1.0299764477266513</v>
      </c>
      <c r="AD118" s="43">
        <f t="shared" si="190"/>
        <v>1.240947448307449</v>
      </c>
      <c r="AE118" s="43">
        <f t="shared" si="190"/>
        <v>1.2154449207357383</v>
      </c>
      <c r="AF118" s="43">
        <f t="shared" si="190"/>
        <v>1.1458067995756112</v>
      </c>
      <c r="AG118" s="43">
        <f t="shared" si="190"/>
        <v>1.1025251819978714</v>
      </c>
      <c r="AH118" s="50">
        <f t="shared" si="190"/>
        <v>1.0131366537431494</v>
      </c>
    </row>
    <row r="119" spans="1:34" x14ac:dyDescent="0.25">
      <c r="A119" s="90" t="str">
        <f t="shared" si="174"/>
        <v>residual</v>
      </c>
      <c r="B119" s="49" t="s">
        <v>630</v>
      </c>
      <c r="C119" s="55">
        <f t="shared" si="188"/>
        <v>0.61461309503108597</v>
      </c>
      <c r="D119" s="55">
        <f t="shared" si="188"/>
        <v>0.83608927621388962</v>
      </c>
      <c r="E119" s="55">
        <f t="shared" si="188"/>
        <v>1.0172759053231026</v>
      </c>
      <c r="F119" s="55">
        <f t="shared" si="188"/>
        <v>1.390546452085643</v>
      </c>
      <c r="G119" s="56">
        <f t="shared" si="188"/>
        <v>1.9905007772368608</v>
      </c>
      <c r="H119" s="57">
        <f t="shared" si="188"/>
        <v>0.61894379341423922</v>
      </c>
      <c r="I119" s="55">
        <f t="shared" si="188"/>
        <v>0.92030297000112171</v>
      </c>
      <c r="J119" s="55">
        <f t="shared" si="188"/>
        <v>1.2940821409274663</v>
      </c>
      <c r="K119" s="55">
        <f t="shared" si="188"/>
        <v>1.6551751287775449</v>
      </c>
      <c r="L119" s="56">
        <f t="shared" si="188"/>
        <v>1.4693307805624189</v>
      </c>
      <c r="M119" s="55">
        <f t="shared" si="188"/>
        <v>0.53063905346588081</v>
      </c>
      <c r="N119" s="55">
        <f t="shared" si="188"/>
        <v>0.46685596521898071</v>
      </c>
      <c r="O119" s="55">
        <f t="shared" si="188"/>
        <v>0.908261678052668</v>
      </c>
      <c r="P119" s="55">
        <f t="shared" si="188"/>
        <v>0.60537900776940068</v>
      </c>
      <c r="Q119" s="56">
        <f t="shared" si="188"/>
        <v>0.94360907618280043</v>
      </c>
      <c r="R119" s="116" t="s">
        <v>630</v>
      </c>
      <c r="S119" s="110" t="s">
        <v>660</v>
      </c>
      <c r="T119" s="55">
        <f t="shared" si="190"/>
        <v>1.2077155199250216</v>
      </c>
      <c r="U119" s="55">
        <f t="shared" si="190"/>
        <v>1.2147904969162069</v>
      </c>
      <c r="V119" s="55">
        <f t="shared" si="190"/>
        <v>1.1772184720461318</v>
      </c>
      <c r="W119" s="55">
        <f t="shared" si="190"/>
        <v>1.1159148133561756</v>
      </c>
      <c r="X119" s="56">
        <f t="shared" si="190"/>
        <v>1.0204099142159762</v>
      </c>
      <c r="Y119" s="57">
        <f t="shared" si="190"/>
        <v>1.2520605429502178</v>
      </c>
      <c r="Z119" s="55">
        <f t="shared" si="190"/>
        <v>1.1962239761879154</v>
      </c>
      <c r="AA119" s="55">
        <f t="shared" si="190"/>
        <v>1.1727521671956587</v>
      </c>
      <c r="AB119" s="55">
        <f t="shared" si="190"/>
        <v>1.1323142191801947</v>
      </c>
      <c r="AC119" s="56">
        <f t="shared" si="190"/>
        <v>1.0299764477266513</v>
      </c>
      <c r="AD119" s="55">
        <f t="shared" si="190"/>
        <v>1.240947448307449</v>
      </c>
      <c r="AE119" s="55">
        <f t="shared" si="190"/>
        <v>1.2154449207357383</v>
      </c>
      <c r="AF119" s="55">
        <f t="shared" si="190"/>
        <v>1.1458067995756112</v>
      </c>
      <c r="AG119" s="55">
        <f t="shared" si="190"/>
        <v>1.1025251819978714</v>
      </c>
      <c r="AH119" s="56">
        <f t="shared" si="190"/>
        <v>1.0131366537431494</v>
      </c>
    </row>
    <row r="120" spans="1:34" x14ac:dyDescent="0.25">
      <c r="A120" s="90" t="str">
        <f t="shared" si="174"/>
        <v>residual</v>
      </c>
      <c r="B120" s="49" t="s">
        <v>631</v>
      </c>
      <c r="C120" s="55">
        <f t="shared" si="188"/>
        <v>3.5284400071384936</v>
      </c>
      <c r="D120" s="55">
        <f t="shared" si="188"/>
        <v>5.2010936794514038</v>
      </c>
      <c r="E120" s="55">
        <f t="shared" si="188"/>
        <v>6.7454124480319733</v>
      </c>
      <c r="F120" s="55">
        <f t="shared" si="188"/>
        <v>7.0511781929763817</v>
      </c>
      <c r="G120" s="56">
        <f t="shared" si="188"/>
        <v>7.6769054466850655</v>
      </c>
      <c r="H120" s="57">
        <f t="shared" si="188"/>
        <v>4.6546362151617284</v>
      </c>
      <c r="I120" s="55">
        <f t="shared" si="188"/>
        <v>6.0145254930405656</v>
      </c>
      <c r="J120" s="55">
        <f t="shared" si="188"/>
        <v>7.2859965852381672</v>
      </c>
      <c r="K120" s="55">
        <f t="shared" si="188"/>
        <v>7.827597625122638</v>
      </c>
      <c r="L120" s="56">
        <f t="shared" si="188"/>
        <v>10.590473039914055</v>
      </c>
      <c r="M120" s="55">
        <f t="shared" si="188"/>
        <v>2.6444389440904534</v>
      </c>
      <c r="N120" s="55">
        <f t="shared" si="188"/>
        <v>5.0944958252045591</v>
      </c>
      <c r="O120" s="55">
        <f t="shared" si="188"/>
        <v>3.7622818609199449</v>
      </c>
      <c r="P120" s="55">
        <f t="shared" si="188"/>
        <v>5.9423190885863697</v>
      </c>
      <c r="Q120" s="56">
        <f t="shared" si="188"/>
        <v>6.148447470551865</v>
      </c>
      <c r="R120" s="116" t="s">
        <v>631</v>
      </c>
      <c r="S120" s="110" t="s">
        <v>660</v>
      </c>
      <c r="T120" s="55">
        <f t="shared" si="190"/>
        <v>1.2077155199250216</v>
      </c>
      <c r="U120" s="55">
        <f t="shared" si="190"/>
        <v>1.2147904969162069</v>
      </c>
      <c r="V120" s="55">
        <f t="shared" si="190"/>
        <v>1.1772184720461318</v>
      </c>
      <c r="W120" s="55">
        <f t="shared" si="190"/>
        <v>1.1159148133561756</v>
      </c>
      <c r="X120" s="56">
        <f t="shared" si="190"/>
        <v>1.0204099142159762</v>
      </c>
      <c r="Y120" s="57">
        <f t="shared" si="190"/>
        <v>1.2520605429502178</v>
      </c>
      <c r="Z120" s="55">
        <f t="shared" si="190"/>
        <v>1.1962239761879154</v>
      </c>
      <c r="AA120" s="55">
        <f t="shared" si="190"/>
        <v>1.1727521671956587</v>
      </c>
      <c r="AB120" s="55">
        <f t="shared" si="190"/>
        <v>1.1323142191801947</v>
      </c>
      <c r="AC120" s="56">
        <f t="shared" si="190"/>
        <v>1.0299764477266513</v>
      </c>
      <c r="AD120" s="55">
        <f t="shared" si="190"/>
        <v>1.240947448307449</v>
      </c>
      <c r="AE120" s="55">
        <f t="shared" si="190"/>
        <v>1.2154449207357383</v>
      </c>
      <c r="AF120" s="55">
        <f t="shared" si="190"/>
        <v>1.1458067995756112</v>
      </c>
      <c r="AG120" s="55">
        <f t="shared" si="190"/>
        <v>1.1025251819978714</v>
      </c>
      <c r="AH120" s="56">
        <f t="shared" si="190"/>
        <v>1.0131366537431494</v>
      </c>
    </row>
    <row r="121" spans="1:34" x14ac:dyDescent="0.25">
      <c r="A121" s="90" t="str">
        <f t="shared" si="174"/>
        <v>residual</v>
      </c>
      <c r="B121" s="49" t="s">
        <v>632</v>
      </c>
      <c r="C121" s="55">
        <f t="shared" si="188"/>
        <v>2.9236888668087819</v>
      </c>
      <c r="D121" s="55">
        <f t="shared" si="188"/>
        <v>4.4878790541142148</v>
      </c>
      <c r="E121" s="55">
        <f t="shared" si="188"/>
        <v>6.4384194487953366</v>
      </c>
      <c r="F121" s="55">
        <f t="shared" si="188"/>
        <v>9.1959220715547065</v>
      </c>
      <c r="G121" s="56">
        <f t="shared" si="188"/>
        <v>15.585233697873601</v>
      </c>
      <c r="H121" s="57">
        <f t="shared" si="188"/>
        <v>2.1497680125837184</v>
      </c>
      <c r="I121" s="55">
        <f t="shared" si="188"/>
        <v>3.9361927324604697</v>
      </c>
      <c r="J121" s="55">
        <f t="shared" si="188"/>
        <v>5.9518302188291958</v>
      </c>
      <c r="K121" s="55">
        <f t="shared" si="188"/>
        <v>7.1731954179200326</v>
      </c>
      <c r="L121" s="56">
        <f t="shared" si="188"/>
        <v>13.267487893115824</v>
      </c>
      <c r="M121" s="55">
        <f t="shared" si="188"/>
        <v>7.784839886581004</v>
      </c>
      <c r="N121" s="55">
        <f t="shared" si="188"/>
        <v>11.292430227390041</v>
      </c>
      <c r="O121" s="55">
        <f t="shared" si="188"/>
        <v>12.85229317775274</v>
      </c>
      <c r="P121" s="55">
        <f t="shared" si="188"/>
        <v>21.560300642990324</v>
      </c>
      <c r="Q121" s="56">
        <f t="shared" si="188"/>
        <v>26.635654033530436</v>
      </c>
      <c r="R121" s="116" t="s">
        <v>632</v>
      </c>
      <c r="S121" s="110" t="s">
        <v>660</v>
      </c>
      <c r="T121" s="55">
        <f t="shared" si="190"/>
        <v>1.2077155199250216</v>
      </c>
      <c r="U121" s="55">
        <f t="shared" si="190"/>
        <v>1.2147904969162069</v>
      </c>
      <c r="V121" s="55">
        <f t="shared" si="190"/>
        <v>1.1772184720461318</v>
      </c>
      <c r="W121" s="55">
        <f t="shared" si="190"/>
        <v>1.1159148133561756</v>
      </c>
      <c r="X121" s="56">
        <f t="shared" si="190"/>
        <v>1.0204099142159762</v>
      </c>
      <c r="Y121" s="57">
        <f t="shared" si="190"/>
        <v>1.2520605429502178</v>
      </c>
      <c r="Z121" s="55">
        <f t="shared" si="190"/>
        <v>1.1962239761879154</v>
      </c>
      <c r="AA121" s="55">
        <f t="shared" si="190"/>
        <v>1.1727521671956587</v>
      </c>
      <c r="AB121" s="55">
        <f t="shared" si="190"/>
        <v>1.1323142191801947</v>
      </c>
      <c r="AC121" s="56">
        <f t="shared" si="190"/>
        <v>1.0299764477266513</v>
      </c>
      <c r="AD121" s="55">
        <f t="shared" si="190"/>
        <v>1.240947448307449</v>
      </c>
      <c r="AE121" s="55">
        <f t="shared" si="190"/>
        <v>1.2154449207357383</v>
      </c>
      <c r="AF121" s="55">
        <f t="shared" si="190"/>
        <v>1.1458067995756112</v>
      </c>
      <c r="AG121" s="55">
        <f t="shared" si="190"/>
        <v>1.1025251819978714</v>
      </c>
      <c r="AH121" s="56">
        <f t="shared" si="190"/>
        <v>1.0131366537431494</v>
      </c>
    </row>
    <row r="122" spans="1:34" x14ac:dyDescent="0.25">
      <c r="A122" s="85" t="str">
        <f t="shared" si="174"/>
        <v>residual</v>
      </c>
      <c r="B122" s="39" t="s">
        <v>635</v>
      </c>
      <c r="C122" s="52">
        <f t="shared" si="188"/>
        <v>12.420910086963264</v>
      </c>
      <c r="D122" s="52">
        <f t="shared" si="188"/>
        <v>12.290101795671472</v>
      </c>
      <c r="E122" s="52">
        <f t="shared" si="188"/>
        <v>11.066450979187787</v>
      </c>
      <c r="F122" s="52">
        <f t="shared" si="188"/>
        <v>11.264771324168702</v>
      </c>
      <c r="G122" s="53">
        <f t="shared" si="188"/>
        <v>10.076274385278259</v>
      </c>
      <c r="H122" s="54">
        <f t="shared" si="188"/>
        <v>12.758866889276563</v>
      </c>
      <c r="I122" s="52">
        <f t="shared" si="188"/>
        <v>12.639197962159365</v>
      </c>
      <c r="J122" s="52">
        <f t="shared" si="188"/>
        <v>11.21982228498301</v>
      </c>
      <c r="K122" s="52">
        <f t="shared" si="188"/>
        <v>10.761939179366323</v>
      </c>
      <c r="L122" s="53">
        <f t="shared" si="188"/>
        <v>11.571268083364341</v>
      </c>
      <c r="M122" s="52">
        <f t="shared" si="188"/>
        <v>12.232093674965631</v>
      </c>
      <c r="N122" s="52">
        <f t="shared" si="188"/>
        <v>12.119243521601954</v>
      </c>
      <c r="O122" s="52">
        <f t="shared" si="188"/>
        <v>13.683510248537118</v>
      </c>
      <c r="P122" s="52">
        <f t="shared" si="188"/>
        <v>10.677327731259565</v>
      </c>
      <c r="Q122" s="53">
        <f t="shared" si="188"/>
        <v>14.870641867745592</v>
      </c>
      <c r="R122" s="115" t="s">
        <v>635</v>
      </c>
      <c r="S122" s="109" t="s">
        <v>660</v>
      </c>
      <c r="T122" s="52">
        <f t="shared" si="190"/>
        <v>1.2077155199250216</v>
      </c>
      <c r="U122" s="52">
        <f t="shared" si="190"/>
        <v>1.2147904969162069</v>
      </c>
      <c r="V122" s="52">
        <f t="shared" si="190"/>
        <v>1.1772184720461318</v>
      </c>
      <c r="W122" s="52">
        <f t="shared" si="190"/>
        <v>1.1159148133561756</v>
      </c>
      <c r="X122" s="53">
        <f t="shared" si="190"/>
        <v>1.0204099142159762</v>
      </c>
      <c r="Y122" s="54">
        <f t="shared" si="190"/>
        <v>1.2520605429502178</v>
      </c>
      <c r="Z122" s="52">
        <f t="shared" si="190"/>
        <v>1.1962239761879154</v>
      </c>
      <c r="AA122" s="52">
        <f t="shared" si="190"/>
        <v>1.1727521671956587</v>
      </c>
      <c r="AB122" s="52">
        <f t="shared" si="190"/>
        <v>1.1323142191801947</v>
      </c>
      <c r="AC122" s="53">
        <f t="shared" si="190"/>
        <v>1.0299764477266513</v>
      </c>
      <c r="AD122" s="52">
        <f t="shared" si="190"/>
        <v>1.240947448307449</v>
      </c>
      <c r="AE122" s="52">
        <f t="shared" si="190"/>
        <v>1.2154449207357383</v>
      </c>
      <c r="AF122" s="52">
        <f t="shared" si="190"/>
        <v>1.1458067995756112</v>
      </c>
      <c r="AG122" s="52">
        <f t="shared" si="190"/>
        <v>1.1025251819978714</v>
      </c>
      <c r="AH122" s="53">
        <f t="shared" si="190"/>
        <v>1.0131366537431494</v>
      </c>
    </row>
    <row r="123" spans="1:34" x14ac:dyDescent="0.25">
      <c r="A123" s="162" t="s">
        <v>608</v>
      </c>
      <c r="B123" s="163"/>
      <c r="C123" s="129">
        <f t="shared" ref="C123:Q123" si="191">SUM(C102:C110)</f>
        <v>30.400057822885717</v>
      </c>
      <c r="D123" s="127">
        <f t="shared" si="191"/>
        <v>33.58358605037543</v>
      </c>
      <c r="E123" s="127">
        <f t="shared" si="191"/>
        <v>35.794519203945242</v>
      </c>
      <c r="F123" s="127">
        <f t="shared" si="191"/>
        <v>38.694500882070727</v>
      </c>
      <c r="G123" s="128">
        <f t="shared" si="191"/>
        <v>36.375955156354934</v>
      </c>
      <c r="H123" s="129">
        <f t="shared" si="191"/>
        <v>33.598759899359727</v>
      </c>
      <c r="I123" s="127">
        <f t="shared" si="191"/>
        <v>35.981546937894706</v>
      </c>
      <c r="J123" s="127">
        <f t="shared" si="191"/>
        <v>39.895112455524213</v>
      </c>
      <c r="K123" s="127">
        <f t="shared" si="191"/>
        <v>38.537210694306438</v>
      </c>
      <c r="L123" s="128">
        <f t="shared" si="191"/>
        <v>35.40858603812795</v>
      </c>
      <c r="M123" s="127">
        <f t="shared" si="191"/>
        <v>29.495125646994428</v>
      </c>
      <c r="N123" s="127">
        <f t="shared" si="191"/>
        <v>32.046973021740897</v>
      </c>
      <c r="O123" s="127">
        <f t="shared" si="191"/>
        <v>30.933980048771595</v>
      </c>
      <c r="P123" s="127">
        <f t="shared" si="191"/>
        <v>28.657463566036142</v>
      </c>
      <c r="Q123" s="128">
        <f t="shared" si="191"/>
        <v>21.544112443435267</v>
      </c>
    </row>
    <row r="124" spans="1:34" x14ac:dyDescent="0.25">
      <c r="A124" s="160" t="s">
        <v>638</v>
      </c>
      <c r="B124" s="161"/>
      <c r="C124" s="126">
        <f>SUM(C111:C122)</f>
        <v>69.599942177114286</v>
      </c>
      <c r="D124" s="124">
        <f t="shared" ref="D124:Q124" si="192">SUM(D111:D122)</f>
        <v>66.41641394962457</v>
      </c>
      <c r="E124" s="124">
        <f t="shared" si="192"/>
        <v>64.205480796054758</v>
      </c>
      <c r="F124" s="124">
        <f t="shared" si="192"/>
        <v>61.305499117929273</v>
      </c>
      <c r="G124" s="125">
        <f t="shared" si="192"/>
        <v>63.624044843645059</v>
      </c>
      <c r="H124" s="126">
        <f t="shared" si="192"/>
        <v>66.40124010064028</v>
      </c>
      <c r="I124" s="124">
        <f t="shared" si="192"/>
        <v>64.018453062105294</v>
      </c>
      <c r="J124" s="124">
        <f t="shared" si="192"/>
        <v>60.10488754447578</v>
      </c>
      <c r="K124" s="124">
        <f t="shared" si="192"/>
        <v>61.462789305693555</v>
      </c>
      <c r="L124" s="125">
        <f t="shared" si="192"/>
        <v>64.59141396187205</v>
      </c>
      <c r="M124" s="124">
        <f t="shared" si="192"/>
        <v>70.504874353005562</v>
      </c>
      <c r="N124" s="124">
        <f t="shared" si="192"/>
        <v>67.953026978259118</v>
      </c>
      <c r="O124" s="124">
        <f t="shared" si="192"/>
        <v>69.066019951228398</v>
      </c>
      <c r="P124" s="124">
        <f t="shared" si="192"/>
        <v>71.342536433963858</v>
      </c>
      <c r="Q124" s="125">
        <f t="shared" si="192"/>
        <v>78.455887556564733</v>
      </c>
    </row>
    <row r="125" spans="1:34" x14ac:dyDescent="0.25">
      <c r="A125" s="162" t="s">
        <v>672</v>
      </c>
      <c r="B125" s="163"/>
      <c r="C125" s="129">
        <f>SUM(C102:C114)</f>
        <v>41.625928842626749</v>
      </c>
      <c r="D125" s="127">
        <f t="shared" ref="D125:Q125" si="193">SUM(D102:D114)</f>
        <v>44.737049292724592</v>
      </c>
      <c r="E125" s="127">
        <f t="shared" si="193"/>
        <v>47.324598105125652</v>
      </c>
      <c r="F125" s="127">
        <f t="shared" si="193"/>
        <v>50.485425596192385</v>
      </c>
      <c r="G125" s="128">
        <f t="shared" si="193"/>
        <v>50.078661751931136</v>
      </c>
      <c r="H125" s="129">
        <f t="shared" si="193"/>
        <v>45.644730921715926</v>
      </c>
      <c r="I125" s="127">
        <f t="shared" si="193"/>
        <v>47.616382889951112</v>
      </c>
      <c r="J125" s="127">
        <f t="shared" si="193"/>
        <v>51.660216238914401</v>
      </c>
      <c r="K125" s="127">
        <f t="shared" si="193"/>
        <v>52.057496302346287</v>
      </c>
      <c r="L125" s="128">
        <f t="shared" si="193"/>
        <v>48.689813281746986</v>
      </c>
      <c r="M125" s="127">
        <f t="shared" si="193"/>
        <v>43.542033999892745</v>
      </c>
      <c r="N125" s="127">
        <f t="shared" si="193"/>
        <v>48.114359069197285</v>
      </c>
      <c r="O125" s="127">
        <f t="shared" si="193"/>
        <v>47.496447526818926</v>
      </c>
      <c r="P125" s="127">
        <f t="shared" si="193"/>
        <v>46.410619298435236</v>
      </c>
      <c r="Q125" s="128">
        <f t="shared" si="193"/>
        <v>40.897004545643632</v>
      </c>
      <c r="R125" s="60"/>
      <c r="S125" s="60"/>
      <c r="T125" s="60"/>
    </row>
    <row r="126" spans="1:34" x14ac:dyDescent="0.25">
      <c r="A126" s="160" t="s">
        <v>673</v>
      </c>
      <c r="B126" s="161"/>
      <c r="C126" s="126">
        <f>SUM(C116:C122)</f>
        <v>58.374071157373251</v>
      </c>
      <c r="D126" s="124">
        <f t="shared" ref="D126:Q126" si="194">SUM(D116:D122)</f>
        <v>55.262950707275408</v>
      </c>
      <c r="E126" s="124">
        <f t="shared" si="194"/>
        <v>52.675401894874341</v>
      </c>
      <c r="F126" s="124">
        <f t="shared" si="194"/>
        <v>49.514574403807615</v>
      </c>
      <c r="G126" s="125">
        <f t="shared" si="194"/>
        <v>49.921338248068857</v>
      </c>
      <c r="H126" s="126">
        <f t="shared" si="194"/>
        <v>54.355269078284067</v>
      </c>
      <c r="I126" s="124">
        <f t="shared" si="194"/>
        <v>52.383617110048895</v>
      </c>
      <c r="J126" s="124">
        <f t="shared" si="194"/>
        <v>48.339783761085599</v>
      </c>
      <c r="K126" s="124">
        <f t="shared" si="194"/>
        <v>47.942503697653713</v>
      </c>
      <c r="L126" s="125">
        <f t="shared" si="194"/>
        <v>51.310186718253007</v>
      </c>
      <c r="M126" s="124">
        <f t="shared" si="194"/>
        <v>56.457966000107255</v>
      </c>
      <c r="N126" s="124">
        <f t="shared" si="194"/>
        <v>51.885640930802715</v>
      </c>
      <c r="O126" s="124">
        <f t="shared" si="194"/>
        <v>52.503552473181067</v>
      </c>
      <c r="P126" s="124">
        <f t="shared" si="194"/>
        <v>53.589380701564764</v>
      </c>
      <c r="Q126" s="125">
        <f t="shared" si="194"/>
        <v>59.102995454356368</v>
      </c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1:34" x14ac:dyDescent="0.25">
      <c r="A127" s="164" t="s">
        <v>127</v>
      </c>
      <c r="B127" s="165"/>
      <c r="C127" s="123">
        <f t="shared" ref="C127:Q127" si="195">SUM(C102:C122)</f>
        <v>100.00000000000001</v>
      </c>
      <c r="D127" s="121">
        <f t="shared" si="195"/>
        <v>100.00000000000001</v>
      </c>
      <c r="E127" s="121">
        <f t="shared" si="195"/>
        <v>99.999999999999986</v>
      </c>
      <c r="F127" s="121">
        <f t="shared" si="195"/>
        <v>100</v>
      </c>
      <c r="G127" s="122">
        <f t="shared" si="195"/>
        <v>99.999999999999986</v>
      </c>
      <c r="H127" s="123">
        <f t="shared" si="195"/>
        <v>100</v>
      </c>
      <c r="I127" s="121">
        <f t="shared" si="195"/>
        <v>100</v>
      </c>
      <c r="J127" s="121">
        <f t="shared" si="195"/>
        <v>100.00000000000001</v>
      </c>
      <c r="K127" s="121">
        <f t="shared" si="195"/>
        <v>99.999999999999986</v>
      </c>
      <c r="L127" s="122">
        <f t="shared" si="195"/>
        <v>100</v>
      </c>
      <c r="M127" s="121">
        <f t="shared" si="195"/>
        <v>100</v>
      </c>
      <c r="N127" s="121">
        <f t="shared" si="195"/>
        <v>100</v>
      </c>
      <c r="O127" s="121">
        <f t="shared" si="195"/>
        <v>99.999999999999986</v>
      </c>
      <c r="P127" s="121">
        <f t="shared" si="195"/>
        <v>100</v>
      </c>
      <c r="Q127" s="122">
        <f t="shared" si="195"/>
        <v>100.00000000000001</v>
      </c>
      <c r="R127" s="60"/>
      <c r="S127" s="60"/>
      <c r="T127" s="60"/>
    </row>
    <row r="128" spans="1:34" x14ac:dyDescent="0.25">
      <c r="R128" s="60"/>
      <c r="S128" s="60"/>
      <c r="T128" s="60"/>
    </row>
    <row r="129" spans="1:34" x14ac:dyDescent="0.25">
      <c r="A129" t="s">
        <v>642</v>
      </c>
    </row>
    <row r="130" spans="1:34" x14ac:dyDescent="0.25">
      <c r="B130" t="s">
        <v>643</v>
      </c>
      <c r="S130" t="s">
        <v>644</v>
      </c>
    </row>
    <row r="131" spans="1:34" x14ac:dyDescent="0.25">
      <c r="B131" s="45"/>
      <c r="C131" s="45" t="s">
        <v>217</v>
      </c>
      <c r="D131" s="45" t="s">
        <v>218</v>
      </c>
      <c r="E131" s="45" t="s">
        <v>219</v>
      </c>
      <c r="F131" s="45" t="s">
        <v>220</v>
      </c>
      <c r="G131" s="45" t="s">
        <v>221</v>
      </c>
      <c r="H131" s="45" t="s">
        <v>595</v>
      </c>
      <c r="I131" s="45" t="s">
        <v>596</v>
      </c>
      <c r="J131" s="45" t="s">
        <v>597</v>
      </c>
      <c r="K131" s="45" t="s">
        <v>598</v>
      </c>
      <c r="L131" s="45" t="s">
        <v>599</v>
      </c>
      <c r="M131" s="45" t="s">
        <v>222</v>
      </c>
      <c r="N131" s="45" t="s">
        <v>223</v>
      </c>
      <c r="O131" s="45" t="s">
        <v>224</v>
      </c>
      <c r="P131" s="45" t="s">
        <v>225</v>
      </c>
      <c r="Q131" s="45" t="s">
        <v>226</v>
      </c>
      <c r="S131" s="45"/>
      <c r="T131" s="67" t="s">
        <v>217</v>
      </c>
      <c r="U131" s="67" t="s">
        <v>218</v>
      </c>
      <c r="V131" s="67" t="s">
        <v>219</v>
      </c>
      <c r="W131" s="67" t="s">
        <v>220</v>
      </c>
      <c r="X131" s="67" t="s">
        <v>221</v>
      </c>
      <c r="Y131" s="67" t="s">
        <v>595</v>
      </c>
      <c r="Z131" s="67" t="s">
        <v>596</v>
      </c>
      <c r="AA131" s="67" t="s">
        <v>597</v>
      </c>
      <c r="AB131" s="67" t="s">
        <v>598</v>
      </c>
      <c r="AC131" s="67" t="s">
        <v>599</v>
      </c>
      <c r="AD131" s="67" t="s">
        <v>222</v>
      </c>
      <c r="AE131" s="67" t="s">
        <v>223</v>
      </c>
      <c r="AF131" s="67" t="s">
        <v>224</v>
      </c>
      <c r="AG131" s="67" t="s">
        <v>225</v>
      </c>
      <c r="AH131" s="67" t="s">
        <v>226</v>
      </c>
    </row>
    <row r="132" spans="1:34" x14ac:dyDescent="0.25">
      <c r="B132" s="43" t="str">
        <f t="shared" ref="B132:B177" si="196">AL49</f>
        <v>ccere</v>
      </c>
      <c r="C132" s="43">
        <f t="shared" ref="C132:Q133" si="197">IF(AM49&gt;0,T$102,"")</f>
        <v>0.5</v>
      </c>
      <c r="D132" s="43">
        <f t="shared" si="197"/>
        <v>0.5</v>
      </c>
      <c r="E132" s="43">
        <f t="shared" si="197"/>
        <v>0.5</v>
      </c>
      <c r="F132" s="43">
        <f t="shared" si="197"/>
        <v>0.5</v>
      </c>
      <c r="G132" s="43">
        <f t="shared" si="197"/>
        <v>0.5</v>
      </c>
      <c r="H132" s="43">
        <f t="shared" si="197"/>
        <v>0.5</v>
      </c>
      <c r="I132" s="43">
        <f t="shared" si="197"/>
        <v>0.5</v>
      </c>
      <c r="J132" s="43">
        <f t="shared" si="197"/>
        <v>0.5</v>
      </c>
      <c r="K132" s="43">
        <f t="shared" si="197"/>
        <v>0.5</v>
      </c>
      <c r="L132" s="43">
        <f t="shared" si="197"/>
        <v>0.5</v>
      </c>
      <c r="M132" s="43">
        <f t="shared" si="197"/>
        <v>0.5</v>
      </c>
      <c r="N132" s="43">
        <f t="shared" si="197"/>
        <v>0.5</v>
      </c>
      <c r="O132" s="43">
        <f t="shared" si="197"/>
        <v>0.5</v>
      </c>
      <c r="P132" s="43">
        <f t="shared" si="197"/>
        <v>0.5</v>
      </c>
      <c r="Q132" s="43">
        <f t="shared" si="197"/>
        <v>0.5</v>
      </c>
      <c r="S132" s="43" t="str">
        <f t="shared" ref="S132:S177" si="198">BC49</f>
        <v>acere</v>
      </c>
      <c r="T132" s="43">
        <f t="shared" ref="T132:AH133" si="199">IF(BD49&gt;0,T$102,"")</f>
        <v>0.5</v>
      </c>
      <c r="U132" s="43">
        <f t="shared" si="199"/>
        <v>0.5</v>
      </c>
      <c r="V132" s="43">
        <f t="shared" si="199"/>
        <v>0.5</v>
      </c>
      <c r="W132" s="43">
        <f t="shared" si="199"/>
        <v>0.5</v>
      </c>
      <c r="X132" s="43">
        <f t="shared" si="199"/>
        <v>0.5</v>
      </c>
      <c r="Y132" s="43">
        <f t="shared" si="199"/>
        <v>0.5</v>
      </c>
      <c r="Z132" s="43">
        <f t="shared" si="199"/>
        <v>0.5</v>
      </c>
      <c r="AA132" s="43">
        <f t="shared" si="199"/>
        <v>0.5</v>
      </c>
      <c r="AB132" s="43">
        <f t="shared" si="199"/>
        <v>0.5</v>
      </c>
      <c r="AC132" s="43">
        <f t="shared" si="199"/>
        <v>0.5</v>
      </c>
      <c r="AD132" s="43">
        <f t="shared" si="199"/>
        <v>0.5</v>
      </c>
      <c r="AE132" s="43">
        <f t="shared" si="199"/>
        <v>0.5</v>
      </c>
      <c r="AF132" s="43">
        <f t="shared" si="199"/>
        <v>0.5</v>
      </c>
      <c r="AG132" s="43">
        <f t="shared" si="199"/>
        <v>0.5</v>
      </c>
      <c r="AH132" s="43">
        <f t="shared" si="199"/>
        <v>0.5</v>
      </c>
    </row>
    <row r="133" spans="1:34" x14ac:dyDescent="0.25">
      <c r="B133" s="52" t="str">
        <f t="shared" si="196"/>
        <v>cgmll</v>
      </c>
      <c r="C133" s="52">
        <f t="shared" si="197"/>
        <v>0.5</v>
      </c>
      <c r="D133" s="52">
        <f t="shared" si="197"/>
        <v>0.5</v>
      </c>
      <c r="E133" s="52">
        <f t="shared" si="197"/>
        <v>0.5</v>
      </c>
      <c r="F133" s="52">
        <f t="shared" si="197"/>
        <v>0.5</v>
      </c>
      <c r="G133" s="52">
        <f t="shared" si="197"/>
        <v>0.5</v>
      </c>
      <c r="H133" s="52">
        <f t="shared" si="197"/>
        <v>0.5</v>
      </c>
      <c r="I133" s="52">
        <f t="shared" si="197"/>
        <v>0.5</v>
      </c>
      <c r="J133" s="52">
        <f t="shared" si="197"/>
        <v>0.5</v>
      </c>
      <c r="K133" s="52">
        <f t="shared" si="197"/>
        <v>0.5</v>
      </c>
      <c r="L133" s="52">
        <f t="shared" si="197"/>
        <v>0.5</v>
      </c>
      <c r="M133" s="52">
        <f t="shared" si="197"/>
        <v>0.5</v>
      </c>
      <c r="N133" s="52">
        <f t="shared" si="197"/>
        <v>0.5</v>
      </c>
      <c r="O133" s="52">
        <f t="shared" si="197"/>
        <v>0.5</v>
      </c>
      <c r="P133" s="52">
        <f t="shared" si="197"/>
        <v>0.5</v>
      </c>
      <c r="Q133" s="52">
        <f t="shared" si="197"/>
        <v>0.5</v>
      </c>
      <c r="S133" s="52" t="str">
        <f t="shared" si="198"/>
        <v>agmll</v>
      </c>
      <c r="T133" s="52">
        <f t="shared" si="199"/>
        <v>0.5</v>
      </c>
      <c r="U133" s="52">
        <f t="shared" si="199"/>
        <v>0.5</v>
      </c>
      <c r="V133" s="52">
        <f t="shared" si="199"/>
        <v>0.5</v>
      </c>
      <c r="W133" s="52">
        <f t="shared" si="199"/>
        <v>0.5</v>
      </c>
      <c r="X133" s="52">
        <f t="shared" si="199"/>
        <v>0.5</v>
      </c>
      <c r="Y133" s="52">
        <f t="shared" si="199"/>
        <v>0.5</v>
      </c>
      <c r="Z133" s="52">
        <f t="shared" si="199"/>
        <v>0.5</v>
      </c>
      <c r="AA133" s="52">
        <f t="shared" si="199"/>
        <v>0.5</v>
      </c>
      <c r="AB133" s="52">
        <f t="shared" si="199"/>
        <v>0.5</v>
      </c>
      <c r="AC133" s="52">
        <f t="shared" si="199"/>
        <v>0.5</v>
      </c>
      <c r="AD133" s="52">
        <f t="shared" si="199"/>
        <v>0.5</v>
      </c>
      <c r="AE133" s="52">
        <f t="shared" si="199"/>
        <v>0.5</v>
      </c>
      <c r="AF133" s="52">
        <f t="shared" si="199"/>
        <v>0.5</v>
      </c>
      <c r="AG133" s="52">
        <f t="shared" si="199"/>
        <v>0.5</v>
      </c>
      <c r="AH133" s="52">
        <f t="shared" si="199"/>
        <v>0.5</v>
      </c>
    </row>
    <row r="134" spans="1:34" x14ac:dyDescent="0.25">
      <c r="B134" s="52" t="str">
        <f t="shared" si="196"/>
        <v>croot</v>
      </c>
      <c r="C134" s="52">
        <f t="shared" ref="C134:Q134" si="200">IF(AM51&gt;0,T$103,"")</f>
        <v>0.5</v>
      </c>
      <c r="D134" s="52">
        <f t="shared" si="200"/>
        <v>0.5</v>
      </c>
      <c r="E134" s="52">
        <f t="shared" si="200"/>
        <v>0.5</v>
      </c>
      <c r="F134" s="52">
        <f t="shared" si="200"/>
        <v>0.5</v>
      </c>
      <c r="G134" s="52">
        <f t="shared" si="200"/>
        <v>0.5</v>
      </c>
      <c r="H134" s="52">
        <f t="shared" si="200"/>
        <v>0.5</v>
      </c>
      <c r="I134" s="52">
        <f t="shared" si="200"/>
        <v>0.5</v>
      </c>
      <c r="J134" s="52">
        <f t="shared" si="200"/>
        <v>0.5</v>
      </c>
      <c r="K134" s="52">
        <f t="shared" si="200"/>
        <v>0.5</v>
      </c>
      <c r="L134" s="52">
        <f t="shared" si="200"/>
        <v>0.5</v>
      </c>
      <c r="M134" s="52">
        <f t="shared" si="200"/>
        <v>0.5</v>
      </c>
      <c r="N134" s="52">
        <f t="shared" si="200"/>
        <v>0.5</v>
      </c>
      <c r="O134" s="52">
        <f t="shared" si="200"/>
        <v>0.5</v>
      </c>
      <c r="P134" s="52">
        <f t="shared" si="200"/>
        <v>0.5</v>
      </c>
      <c r="Q134" s="52">
        <f t="shared" si="200"/>
        <v>0.5</v>
      </c>
      <c r="S134" s="52" t="str">
        <f t="shared" si="198"/>
        <v>aroot</v>
      </c>
      <c r="T134" s="52">
        <f t="shared" ref="T134:AH134" si="201">IF(BD51&gt;0,T$103,"")</f>
        <v>0.5</v>
      </c>
      <c r="U134" s="52">
        <f t="shared" si="201"/>
        <v>0.5</v>
      </c>
      <c r="V134" s="52">
        <f t="shared" si="201"/>
        <v>0.5</v>
      </c>
      <c r="W134" s="52">
        <f t="shared" si="201"/>
        <v>0.5</v>
      </c>
      <c r="X134" s="52">
        <f t="shared" si="201"/>
        <v>0.5</v>
      </c>
      <c r="Y134" s="52">
        <f t="shared" si="201"/>
        <v>0.5</v>
      </c>
      <c r="Z134" s="52">
        <f t="shared" si="201"/>
        <v>0.5</v>
      </c>
      <c r="AA134" s="52">
        <f t="shared" si="201"/>
        <v>0.5</v>
      </c>
      <c r="AB134" s="52">
        <f t="shared" si="201"/>
        <v>0.5</v>
      </c>
      <c r="AC134" s="52">
        <f t="shared" si="201"/>
        <v>0.5</v>
      </c>
      <c r="AD134" s="52">
        <f t="shared" si="201"/>
        <v>0.5</v>
      </c>
      <c r="AE134" s="52">
        <f t="shared" si="201"/>
        <v>0.5</v>
      </c>
      <c r="AF134" s="52">
        <f t="shared" si="201"/>
        <v>0.5</v>
      </c>
      <c r="AG134" s="52">
        <f t="shared" si="201"/>
        <v>0.5</v>
      </c>
      <c r="AH134" s="52">
        <f t="shared" si="201"/>
        <v>0.5</v>
      </c>
    </row>
    <row r="135" spans="1:34" x14ac:dyDescent="0.25">
      <c r="B135" s="55" t="str">
        <f t="shared" si="196"/>
        <v>cpuls</v>
      </c>
      <c r="C135" s="55">
        <f t="shared" ref="C135:Q135" si="202">IF(AM52&gt;0,T$104,"")</f>
        <v>0.8</v>
      </c>
      <c r="D135" s="55">
        <f t="shared" si="202"/>
        <v>0.8</v>
      </c>
      <c r="E135" s="55">
        <f t="shared" si="202"/>
        <v>0.8</v>
      </c>
      <c r="F135" s="55">
        <f t="shared" si="202"/>
        <v>0.8</v>
      </c>
      <c r="G135" s="55">
        <f t="shared" si="202"/>
        <v>0.8</v>
      </c>
      <c r="H135" s="55">
        <f t="shared" si="202"/>
        <v>0.8</v>
      </c>
      <c r="I135" s="55">
        <f t="shared" si="202"/>
        <v>0.8</v>
      </c>
      <c r="J135" s="55">
        <f t="shared" si="202"/>
        <v>0.8</v>
      </c>
      <c r="K135" s="55">
        <f t="shared" si="202"/>
        <v>0.8</v>
      </c>
      <c r="L135" s="55">
        <f t="shared" si="202"/>
        <v>0.8</v>
      </c>
      <c r="M135" s="55">
        <f t="shared" si="202"/>
        <v>0.8</v>
      </c>
      <c r="N135" s="55">
        <f t="shared" si="202"/>
        <v>0.8</v>
      </c>
      <c r="O135" s="55">
        <f t="shared" si="202"/>
        <v>0.8</v>
      </c>
      <c r="P135" s="55">
        <f t="shared" si="202"/>
        <v>0.8</v>
      </c>
      <c r="Q135" s="55">
        <f t="shared" si="202"/>
        <v>0.8</v>
      </c>
      <c r="S135" s="55" t="str">
        <f t="shared" si="198"/>
        <v>apuls</v>
      </c>
      <c r="T135" s="55">
        <f t="shared" ref="T135:AH135" si="203">IF(BD52&gt;0,T$104,"")</f>
        <v>0.8</v>
      </c>
      <c r="U135" s="55">
        <f t="shared" si="203"/>
        <v>0.8</v>
      </c>
      <c r="V135" s="55">
        <f t="shared" si="203"/>
        <v>0.8</v>
      </c>
      <c r="W135" s="55">
        <f t="shared" si="203"/>
        <v>0.8</v>
      </c>
      <c r="X135" s="55">
        <f t="shared" si="203"/>
        <v>0.8</v>
      </c>
      <c r="Y135" s="55">
        <f t="shared" si="203"/>
        <v>0.8</v>
      </c>
      <c r="Z135" s="55">
        <f t="shared" si="203"/>
        <v>0.8</v>
      </c>
      <c r="AA135" s="55">
        <f t="shared" si="203"/>
        <v>0.8</v>
      </c>
      <c r="AB135" s="55">
        <f t="shared" si="203"/>
        <v>0.8</v>
      </c>
      <c r="AC135" s="55">
        <f t="shared" si="203"/>
        <v>0.8</v>
      </c>
      <c r="AD135" s="55">
        <f t="shared" si="203"/>
        <v>0.8</v>
      </c>
      <c r="AE135" s="55">
        <f t="shared" si="203"/>
        <v>0.8</v>
      </c>
      <c r="AF135" s="55">
        <f t="shared" si="203"/>
        <v>0.8</v>
      </c>
      <c r="AG135" s="55">
        <f t="shared" si="203"/>
        <v>0.8</v>
      </c>
      <c r="AH135" s="55">
        <f t="shared" si="203"/>
        <v>0.8</v>
      </c>
    </row>
    <row r="136" spans="1:34" x14ac:dyDescent="0.25">
      <c r="B136" s="52" t="str">
        <f t="shared" si="196"/>
        <v>cvege</v>
      </c>
      <c r="C136" s="52">
        <f t="shared" ref="C136:Q136" si="204">IF(AM53&gt;0,T$105,"")</f>
        <v>0.8</v>
      </c>
      <c r="D136" s="52">
        <f t="shared" si="204"/>
        <v>0.8</v>
      </c>
      <c r="E136" s="52">
        <f t="shared" si="204"/>
        <v>0.8</v>
      </c>
      <c r="F136" s="52">
        <f t="shared" si="204"/>
        <v>0.8</v>
      </c>
      <c r="G136" s="52">
        <f t="shared" si="204"/>
        <v>0.8</v>
      </c>
      <c r="H136" s="52">
        <f t="shared" si="204"/>
        <v>0.8</v>
      </c>
      <c r="I136" s="52">
        <f t="shared" si="204"/>
        <v>0.8</v>
      </c>
      <c r="J136" s="52">
        <f t="shared" si="204"/>
        <v>0.8</v>
      </c>
      <c r="K136" s="52">
        <f t="shared" si="204"/>
        <v>0.8</v>
      </c>
      <c r="L136" s="52">
        <f t="shared" si="204"/>
        <v>0.8</v>
      </c>
      <c r="M136" s="52">
        <f t="shared" si="204"/>
        <v>0.8</v>
      </c>
      <c r="N136" s="52">
        <f t="shared" si="204"/>
        <v>0.8</v>
      </c>
      <c r="O136" s="52">
        <f t="shared" si="204"/>
        <v>0.8</v>
      </c>
      <c r="P136" s="52">
        <f t="shared" si="204"/>
        <v>0.8</v>
      </c>
      <c r="Q136" s="52">
        <f t="shared" si="204"/>
        <v>0.8</v>
      </c>
      <c r="S136" s="52" t="str">
        <f t="shared" si="198"/>
        <v>avege</v>
      </c>
      <c r="T136" s="52">
        <f t="shared" ref="T136:AH136" si="205">IF(BD53&gt;0,T$105,"")</f>
        <v>0.8</v>
      </c>
      <c r="U136" s="52">
        <f t="shared" si="205"/>
        <v>0.8</v>
      </c>
      <c r="V136" s="52">
        <f t="shared" si="205"/>
        <v>0.8</v>
      </c>
      <c r="W136" s="52">
        <f t="shared" si="205"/>
        <v>0.8</v>
      </c>
      <c r="X136" s="52">
        <f t="shared" si="205"/>
        <v>0.8</v>
      </c>
      <c r="Y136" s="52">
        <f t="shared" si="205"/>
        <v>0.8</v>
      </c>
      <c r="Z136" s="52">
        <f t="shared" si="205"/>
        <v>0.8</v>
      </c>
      <c r="AA136" s="52">
        <f t="shared" si="205"/>
        <v>0.8</v>
      </c>
      <c r="AB136" s="52">
        <f t="shared" si="205"/>
        <v>0.8</v>
      </c>
      <c r="AC136" s="52">
        <f t="shared" si="205"/>
        <v>0.8</v>
      </c>
      <c r="AD136" s="52">
        <f t="shared" si="205"/>
        <v>0.8</v>
      </c>
      <c r="AE136" s="52">
        <f t="shared" si="205"/>
        <v>0.8</v>
      </c>
      <c r="AF136" s="52">
        <f t="shared" si="205"/>
        <v>0.8</v>
      </c>
      <c r="AG136" s="52">
        <f t="shared" si="205"/>
        <v>0.8</v>
      </c>
      <c r="AH136" s="52">
        <f t="shared" si="205"/>
        <v>0.8</v>
      </c>
    </row>
    <row r="137" spans="1:34" x14ac:dyDescent="0.25">
      <c r="B137" s="43" t="str">
        <f t="shared" si="196"/>
        <v>cfrui</v>
      </c>
      <c r="C137" s="43">
        <f t="shared" ref="C137:Q138" si="206">IF(AM54&gt;0,T$106,"")</f>
        <v>0.9</v>
      </c>
      <c r="D137" s="43">
        <f t="shared" si="206"/>
        <v>0.9</v>
      </c>
      <c r="E137" s="43">
        <f t="shared" si="206"/>
        <v>0.9</v>
      </c>
      <c r="F137" s="43">
        <f t="shared" si="206"/>
        <v>0.9</v>
      </c>
      <c r="G137" s="43">
        <f t="shared" si="206"/>
        <v>0.9</v>
      </c>
      <c r="H137" s="43">
        <f t="shared" si="206"/>
        <v>0.9</v>
      </c>
      <c r="I137" s="43">
        <f t="shared" si="206"/>
        <v>0.9</v>
      </c>
      <c r="J137" s="43">
        <f t="shared" si="206"/>
        <v>0.9</v>
      </c>
      <c r="K137" s="43">
        <f t="shared" si="206"/>
        <v>0.9</v>
      </c>
      <c r="L137" s="43">
        <f t="shared" si="206"/>
        <v>0.9</v>
      </c>
      <c r="M137" s="43">
        <f t="shared" si="206"/>
        <v>0.9</v>
      </c>
      <c r="N137" s="43">
        <f t="shared" si="206"/>
        <v>0.9</v>
      </c>
      <c r="O137" s="43">
        <f t="shared" si="206"/>
        <v>0.9</v>
      </c>
      <c r="P137" s="43">
        <f t="shared" si="206"/>
        <v>0.9</v>
      </c>
      <c r="Q137" s="43">
        <f t="shared" si="206"/>
        <v>0.9</v>
      </c>
      <c r="S137" s="43" t="str">
        <f t="shared" si="198"/>
        <v>afrui</v>
      </c>
      <c r="T137" s="43">
        <f t="shared" ref="T137:AH138" si="207">IF(BD54&gt;0,T$106,"")</f>
        <v>0.9</v>
      </c>
      <c r="U137" s="43">
        <f t="shared" si="207"/>
        <v>0.9</v>
      </c>
      <c r="V137" s="43">
        <f t="shared" si="207"/>
        <v>0.9</v>
      </c>
      <c r="W137" s="43">
        <f t="shared" si="207"/>
        <v>0.9</v>
      </c>
      <c r="X137" s="43">
        <f t="shared" si="207"/>
        <v>0.9</v>
      </c>
      <c r="Y137" s="43">
        <f t="shared" si="207"/>
        <v>0.9</v>
      </c>
      <c r="Z137" s="43">
        <f t="shared" si="207"/>
        <v>0.9</v>
      </c>
      <c r="AA137" s="43">
        <f t="shared" si="207"/>
        <v>0.9</v>
      </c>
      <c r="AB137" s="43">
        <f t="shared" si="207"/>
        <v>0.9</v>
      </c>
      <c r="AC137" s="43">
        <f t="shared" si="207"/>
        <v>0.9</v>
      </c>
      <c r="AD137" s="43">
        <f t="shared" si="207"/>
        <v>0.9</v>
      </c>
      <c r="AE137" s="43">
        <f t="shared" si="207"/>
        <v>0.9</v>
      </c>
      <c r="AF137" s="43">
        <f t="shared" si="207"/>
        <v>0.9</v>
      </c>
      <c r="AG137" s="43">
        <f t="shared" si="207"/>
        <v>0.9</v>
      </c>
      <c r="AH137" s="43">
        <f t="shared" si="207"/>
        <v>0.9</v>
      </c>
    </row>
    <row r="138" spans="1:34" x14ac:dyDescent="0.25">
      <c r="B138" s="52" t="str">
        <f t="shared" si="196"/>
        <v>cfveg</v>
      </c>
      <c r="C138" s="52">
        <f t="shared" si="206"/>
        <v>0.9</v>
      </c>
      <c r="D138" s="52">
        <f t="shared" si="206"/>
        <v>0.9</v>
      </c>
      <c r="E138" s="52">
        <f t="shared" si="206"/>
        <v>0.9</v>
      </c>
      <c r="F138" s="52">
        <f t="shared" si="206"/>
        <v>0.9</v>
      </c>
      <c r="G138" s="52">
        <f t="shared" si="206"/>
        <v>0.9</v>
      </c>
      <c r="H138" s="52" t="str">
        <f t="shared" si="206"/>
        <v/>
      </c>
      <c r="I138" s="52">
        <f t="shared" si="206"/>
        <v>0.9</v>
      </c>
      <c r="J138" s="52">
        <f t="shared" si="206"/>
        <v>0.9</v>
      </c>
      <c r="K138" s="52">
        <f t="shared" si="206"/>
        <v>0.9</v>
      </c>
      <c r="L138" s="52">
        <f t="shared" si="206"/>
        <v>0.9</v>
      </c>
      <c r="M138" s="52">
        <f t="shared" si="206"/>
        <v>0.9</v>
      </c>
      <c r="N138" s="52">
        <f t="shared" si="206"/>
        <v>0.9</v>
      </c>
      <c r="O138" s="52">
        <f t="shared" si="206"/>
        <v>0.9</v>
      </c>
      <c r="P138" s="52">
        <f t="shared" si="206"/>
        <v>0.9</v>
      </c>
      <c r="Q138" s="52">
        <f t="shared" si="206"/>
        <v>0.9</v>
      </c>
      <c r="S138" s="52" t="str">
        <f t="shared" si="198"/>
        <v>afveg</v>
      </c>
      <c r="T138" s="52" t="str">
        <f t="shared" si="207"/>
        <v/>
      </c>
      <c r="U138" s="52" t="str">
        <f t="shared" si="207"/>
        <v/>
      </c>
      <c r="V138" s="52" t="str">
        <f t="shared" si="207"/>
        <v/>
      </c>
      <c r="W138" s="52" t="str">
        <f t="shared" si="207"/>
        <v/>
      </c>
      <c r="X138" s="52" t="str">
        <f t="shared" si="207"/>
        <v/>
      </c>
      <c r="Y138" s="52" t="str">
        <f t="shared" si="207"/>
        <v/>
      </c>
      <c r="Z138" s="52" t="str">
        <f t="shared" si="207"/>
        <v/>
      </c>
      <c r="AA138" s="52" t="str">
        <f t="shared" si="207"/>
        <v/>
      </c>
      <c r="AB138" s="52" t="str">
        <f t="shared" si="207"/>
        <v/>
      </c>
      <c r="AC138" s="52" t="str">
        <f t="shared" si="207"/>
        <v/>
      </c>
      <c r="AD138" s="52" t="str">
        <f t="shared" si="207"/>
        <v/>
      </c>
      <c r="AE138" s="52" t="str">
        <f t="shared" si="207"/>
        <v/>
      </c>
      <c r="AF138" s="52" t="str">
        <f t="shared" si="207"/>
        <v/>
      </c>
      <c r="AG138" s="52" t="str">
        <f t="shared" si="207"/>
        <v/>
      </c>
      <c r="AH138" s="52" t="str">
        <f t="shared" si="207"/>
        <v/>
      </c>
    </row>
    <row r="139" spans="1:34" x14ac:dyDescent="0.25">
      <c r="B139" s="43" t="str">
        <f t="shared" si="196"/>
        <v>clive</v>
      </c>
      <c r="C139" s="43">
        <f t="shared" ref="C139:Q142" si="208">IF(AM56&gt;0,T$107,"")</f>
        <v>0.9</v>
      </c>
      <c r="D139" s="43">
        <f t="shared" si="208"/>
        <v>0.9</v>
      </c>
      <c r="E139" s="43">
        <f t="shared" si="208"/>
        <v>0.9</v>
      </c>
      <c r="F139" s="43">
        <f t="shared" si="208"/>
        <v>0.9</v>
      </c>
      <c r="G139" s="43">
        <f t="shared" si="208"/>
        <v>0.9</v>
      </c>
      <c r="H139" s="43">
        <f t="shared" si="208"/>
        <v>0.9</v>
      </c>
      <c r="I139" s="43">
        <f t="shared" si="208"/>
        <v>0.9</v>
      </c>
      <c r="J139" s="43">
        <f t="shared" si="208"/>
        <v>0.9</v>
      </c>
      <c r="K139" s="43">
        <f t="shared" si="208"/>
        <v>0.9</v>
      </c>
      <c r="L139" s="43">
        <f t="shared" si="208"/>
        <v>0.9</v>
      </c>
      <c r="M139" s="43">
        <f t="shared" si="208"/>
        <v>0.9</v>
      </c>
      <c r="N139" s="43">
        <f t="shared" si="208"/>
        <v>0.9</v>
      </c>
      <c r="O139" s="43">
        <f t="shared" si="208"/>
        <v>0.9</v>
      </c>
      <c r="P139" s="43">
        <f t="shared" si="208"/>
        <v>0.9</v>
      </c>
      <c r="Q139" s="43">
        <f t="shared" si="208"/>
        <v>0.9</v>
      </c>
      <c r="S139" s="43" t="str">
        <f t="shared" si="198"/>
        <v>alive</v>
      </c>
      <c r="T139" s="43">
        <f t="shared" ref="T139:AH142" si="209">IF(BD56&gt;0,T$107,"")</f>
        <v>0.9</v>
      </c>
      <c r="U139" s="43">
        <f t="shared" si="209"/>
        <v>0.9</v>
      </c>
      <c r="V139" s="43">
        <f t="shared" si="209"/>
        <v>0.9</v>
      </c>
      <c r="W139" s="43">
        <f t="shared" si="209"/>
        <v>0.9</v>
      </c>
      <c r="X139" s="43">
        <f t="shared" si="209"/>
        <v>0.9</v>
      </c>
      <c r="Y139" s="43">
        <f t="shared" si="209"/>
        <v>0.9</v>
      </c>
      <c r="Z139" s="43">
        <f t="shared" si="209"/>
        <v>0.9</v>
      </c>
      <c r="AA139" s="43">
        <f t="shared" si="209"/>
        <v>0.9</v>
      </c>
      <c r="AB139" s="43">
        <f t="shared" si="209"/>
        <v>0.9</v>
      </c>
      <c r="AC139" s="43">
        <f t="shared" si="209"/>
        <v>0.9</v>
      </c>
      <c r="AD139" s="43">
        <f t="shared" si="209"/>
        <v>0.9</v>
      </c>
      <c r="AE139" s="43">
        <f t="shared" si="209"/>
        <v>0.9</v>
      </c>
      <c r="AF139" s="43">
        <f t="shared" si="209"/>
        <v>0.9</v>
      </c>
      <c r="AG139" s="43">
        <f t="shared" si="209"/>
        <v>0.9</v>
      </c>
      <c r="AH139" s="43">
        <f t="shared" si="209"/>
        <v>0.9</v>
      </c>
    </row>
    <row r="140" spans="1:34" x14ac:dyDescent="0.25">
      <c r="B140" s="43" t="str">
        <f t="shared" si="196"/>
        <v>cfish</v>
      </c>
      <c r="C140" s="43">
        <f t="shared" si="208"/>
        <v>0.9</v>
      </c>
      <c r="D140" s="43">
        <f t="shared" si="208"/>
        <v>0.9</v>
      </c>
      <c r="E140" s="43">
        <f t="shared" si="208"/>
        <v>0.9</v>
      </c>
      <c r="F140" s="43">
        <f t="shared" si="208"/>
        <v>0.9</v>
      </c>
      <c r="G140" s="43">
        <f t="shared" si="208"/>
        <v>0.9</v>
      </c>
      <c r="H140" s="43">
        <f t="shared" si="208"/>
        <v>0.9</v>
      </c>
      <c r="I140" s="43">
        <f t="shared" si="208"/>
        <v>0.9</v>
      </c>
      <c r="J140" s="43">
        <f t="shared" si="208"/>
        <v>0.9</v>
      </c>
      <c r="K140" s="43">
        <f t="shared" si="208"/>
        <v>0.9</v>
      </c>
      <c r="L140" s="43">
        <f t="shared" si="208"/>
        <v>0.9</v>
      </c>
      <c r="M140" s="43">
        <f t="shared" si="208"/>
        <v>0.9</v>
      </c>
      <c r="N140" s="43">
        <f t="shared" si="208"/>
        <v>0.9</v>
      </c>
      <c r="O140" s="43">
        <f t="shared" si="208"/>
        <v>0.9</v>
      </c>
      <c r="P140" s="43">
        <f t="shared" si="208"/>
        <v>0.9</v>
      </c>
      <c r="Q140" s="43">
        <f t="shared" si="208"/>
        <v>0.9</v>
      </c>
      <c r="S140" s="43" t="str">
        <f t="shared" si="198"/>
        <v>afish</v>
      </c>
      <c r="T140" s="43">
        <f t="shared" si="209"/>
        <v>0.9</v>
      </c>
      <c r="U140" s="43">
        <f t="shared" si="209"/>
        <v>0.9</v>
      </c>
      <c r="V140" s="43">
        <f t="shared" si="209"/>
        <v>0.9</v>
      </c>
      <c r="W140" s="43">
        <f t="shared" si="209"/>
        <v>0.9</v>
      </c>
      <c r="X140" s="43">
        <f t="shared" si="209"/>
        <v>0.9</v>
      </c>
      <c r="Y140" s="43">
        <f t="shared" si="209"/>
        <v>0.9</v>
      </c>
      <c r="Z140" s="43">
        <f t="shared" si="209"/>
        <v>0.9</v>
      </c>
      <c r="AA140" s="43">
        <f t="shared" si="209"/>
        <v>0.9</v>
      </c>
      <c r="AB140" s="43">
        <f t="shared" si="209"/>
        <v>0.9</v>
      </c>
      <c r="AC140" s="43" t="str">
        <f t="shared" si="209"/>
        <v/>
      </c>
      <c r="AD140" s="43" t="str">
        <f t="shared" si="209"/>
        <v/>
      </c>
      <c r="AE140" s="43" t="str">
        <f t="shared" si="209"/>
        <v/>
      </c>
      <c r="AF140" s="43" t="str">
        <f t="shared" si="209"/>
        <v/>
      </c>
      <c r="AG140" s="43" t="str">
        <f t="shared" si="209"/>
        <v/>
      </c>
      <c r="AH140" s="43" t="str">
        <f t="shared" si="209"/>
        <v/>
      </c>
    </row>
    <row r="141" spans="1:34" x14ac:dyDescent="0.25">
      <c r="B141" s="43" t="str">
        <f t="shared" si="196"/>
        <v>cmeat</v>
      </c>
      <c r="C141" s="43">
        <f t="shared" si="208"/>
        <v>0.9</v>
      </c>
      <c r="D141" s="43">
        <f t="shared" si="208"/>
        <v>0.9</v>
      </c>
      <c r="E141" s="43">
        <f t="shared" si="208"/>
        <v>0.9</v>
      </c>
      <c r="F141" s="43">
        <f t="shared" si="208"/>
        <v>0.9</v>
      </c>
      <c r="G141" s="43">
        <f t="shared" si="208"/>
        <v>0.9</v>
      </c>
      <c r="H141" s="43">
        <f t="shared" si="208"/>
        <v>0.9</v>
      </c>
      <c r="I141" s="43">
        <f t="shared" si="208"/>
        <v>0.9</v>
      </c>
      <c r="J141" s="43">
        <f t="shared" si="208"/>
        <v>0.9</v>
      </c>
      <c r="K141" s="43">
        <f t="shared" si="208"/>
        <v>0.9</v>
      </c>
      <c r="L141" s="43">
        <f t="shared" si="208"/>
        <v>0.9</v>
      </c>
      <c r="M141" s="43">
        <f t="shared" si="208"/>
        <v>0.9</v>
      </c>
      <c r="N141" s="43">
        <f t="shared" si="208"/>
        <v>0.9</v>
      </c>
      <c r="O141" s="43">
        <f t="shared" si="208"/>
        <v>0.9</v>
      </c>
      <c r="P141" s="43">
        <f t="shared" si="208"/>
        <v>0.9</v>
      </c>
      <c r="Q141" s="43">
        <f t="shared" si="208"/>
        <v>0.9</v>
      </c>
      <c r="S141" s="43" t="str">
        <f t="shared" si="198"/>
        <v>ameat</v>
      </c>
      <c r="T141" s="43" t="str">
        <f t="shared" si="209"/>
        <v/>
      </c>
      <c r="U141" s="43" t="str">
        <f t="shared" si="209"/>
        <v/>
      </c>
      <c r="V141" s="43" t="str">
        <f t="shared" si="209"/>
        <v/>
      </c>
      <c r="W141" s="43" t="str">
        <f t="shared" si="209"/>
        <v/>
      </c>
      <c r="X141" s="43" t="str">
        <f t="shared" si="209"/>
        <v/>
      </c>
      <c r="Y141" s="43" t="str">
        <f t="shared" si="209"/>
        <v/>
      </c>
      <c r="Z141" s="43" t="str">
        <f t="shared" si="209"/>
        <v/>
      </c>
      <c r="AA141" s="43" t="str">
        <f t="shared" si="209"/>
        <v/>
      </c>
      <c r="AB141" s="43" t="str">
        <f t="shared" si="209"/>
        <v/>
      </c>
      <c r="AC141" s="43" t="str">
        <f t="shared" si="209"/>
        <v/>
      </c>
      <c r="AD141" s="43" t="str">
        <f t="shared" si="209"/>
        <v/>
      </c>
      <c r="AE141" s="43" t="str">
        <f t="shared" si="209"/>
        <v/>
      </c>
      <c r="AF141" s="43" t="str">
        <f t="shared" si="209"/>
        <v/>
      </c>
      <c r="AG141" s="43" t="str">
        <f t="shared" si="209"/>
        <v/>
      </c>
      <c r="AH141" s="43" t="str">
        <f t="shared" si="209"/>
        <v/>
      </c>
    </row>
    <row r="142" spans="1:34" x14ac:dyDescent="0.25">
      <c r="B142" s="52" t="str">
        <f t="shared" si="196"/>
        <v>cfsea</v>
      </c>
      <c r="C142" s="52">
        <f t="shared" si="208"/>
        <v>0.9</v>
      </c>
      <c r="D142" s="52">
        <f t="shared" si="208"/>
        <v>0.9</v>
      </c>
      <c r="E142" s="52">
        <f t="shared" si="208"/>
        <v>0.9</v>
      </c>
      <c r="F142" s="52">
        <f t="shared" si="208"/>
        <v>0.9</v>
      </c>
      <c r="G142" s="52">
        <f t="shared" si="208"/>
        <v>0.9</v>
      </c>
      <c r="H142" s="52">
        <f t="shared" si="208"/>
        <v>0.9</v>
      </c>
      <c r="I142" s="52">
        <f t="shared" si="208"/>
        <v>0.9</v>
      </c>
      <c r="J142" s="52">
        <f t="shared" si="208"/>
        <v>0.9</v>
      </c>
      <c r="K142" s="52">
        <f t="shared" si="208"/>
        <v>0.9</v>
      </c>
      <c r="L142" s="52">
        <f t="shared" si="208"/>
        <v>0.9</v>
      </c>
      <c r="M142" s="52">
        <f t="shared" si="208"/>
        <v>0.9</v>
      </c>
      <c r="N142" s="52">
        <f t="shared" si="208"/>
        <v>0.9</v>
      </c>
      <c r="O142" s="52">
        <f t="shared" si="208"/>
        <v>0.9</v>
      </c>
      <c r="P142" s="52">
        <f t="shared" si="208"/>
        <v>0.9</v>
      </c>
      <c r="Q142" s="52">
        <f t="shared" si="208"/>
        <v>0.9</v>
      </c>
      <c r="S142" s="52" t="str">
        <f t="shared" si="198"/>
        <v>afsea</v>
      </c>
      <c r="T142" s="52" t="str">
        <f t="shared" si="209"/>
        <v/>
      </c>
      <c r="U142" s="52" t="str">
        <f t="shared" si="209"/>
        <v/>
      </c>
      <c r="V142" s="52" t="str">
        <f t="shared" si="209"/>
        <v/>
      </c>
      <c r="W142" s="52" t="str">
        <f t="shared" si="209"/>
        <v/>
      </c>
      <c r="X142" s="52" t="str">
        <f t="shared" si="209"/>
        <v/>
      </c>
      <c r="Y142" s="52" t="str">
        <f t="shared" si="209"/>
        <v/>
      </c>
      <c r="Z142" s="52" t="str">
        <f t="shared" si="209"/>
        <v/>
      </c>
      <c r="AA142" s="52" t="str">
        <f t="shared" si="209"/>
        <v/>
      </c>
      <c r="AB142" s="52" t="str">
        <f t="shared" si="209"/>
        <v/>
      </c>
      <c r="AC142" s="52" t="str">
        <f t="shared" si="209"/>
        <v/>
      </c>
      <c r="AD142" s="52" t="str">
        <f t="shared" si="209"/>
        <v/>
      </c>
      <c r="AE142" s="52" t="str">
        <f t="shared" si="209"/>
        <v/>
      </c>
      <c r="AF142" s="52" t="str">
        <f t="shared" si="209"/>
        <v/>
      </c>
      <c r="AG142" s="52" t="str">
        <f t="shared" si="209"/>
        <v/>
      </c>
      <c r="AH142" s="52" t="str">
        <f t="shared" si="209"/>
        <v/>
      </c>
    </row>
    <row r="143" spans="1:34" x14ac:dyDescent="0.25">
      <c r="B143" s="43" t="str">
        <f t="shared" si="196"/>
        <v>cmilk</v>
      </c>
      <c r="C143" s="43">
        <f t="shared" ref="C143:Q144" si="210">IF(AM60&gt;0,T$108,"")</f>
        <v>0.8</v>
      </c>
      <c r="D143" s="43">
        <f t="shared" si="210"/>
        <v>0.8</v>
      </c>
      <c r="E143" s="43">
        <f t="shared" si="210"/>
        <v>0.8</v>
      </c>
      <c r="F143" s="43">
        <f t="shared" si="210"/>
        <v>0.8</v>
      </c>
      <c r="G143" s="43">
        <f t="shared" si="210"/>
        <v>0.8</v>
      </c>
      <c r="H143" s="43">
        <f t="shared" si="210"/>
        <v>0.8</v>
      </c>
      <c r="I143" s="43">
        <f t="shared" si="210"/>
        <v>0.8</v>
      </c>
      <c r="J143" s="43">
        <f t="shared" si="210"/>
        <v>0.8</v>
      </c>
      <c r="K143" s="43">
        <f t="shared" si="210"/>
        <v>0.8</v>
      </c>
      <c r="L143" s="43">
        <f t="shared" si="210"/>
        <v>0.8</v>
      </c>
      <c r="M143" s="43">
        <f t="shared" si="210"/>
        <v>0.8</v>
      </c>
      <c r="N143" s="43">
        <f t="shared" si="210"/>
        <v>0.8</v>
      </c>
      <c r="O143" s="43">
        <f t="shared" si="210"/>
        <v>0.8</v>
      </c>
      <c r="P143" s="43">
        <f t="shared" si="210"/>
        <v>0.8</v>
      </c>
      <c r="Q143" s="43">
        <f t="shared" si="210"/>
        <v>0.8</v>
      </c>
      <c r="S143" s="43" t="str">
        <f t="shared" si="198"/>
        <v>amilk</v>
      </c>
      <c r="T143" s="43">
        <f t="shared" ref="T143:AH144" si="211">IF(BD60&gt;0,T$108,"")</f>
        <v>0.8</v>
      </c>
      <c r="U143" s="43">
        <f t="shared" si="211"/>
        <v>0.8</v>
      </c>
      <c r="V143" s="43">
        <f t="shared" si="211"/>
        <v>0.8</v>
      </c>
      <c r="W143" s="43">
        <f t="shared" si="211"/>
        <v>0.8</v>
      </c>
      <c r="X143" s="43">
        <f t="shared" si="211"/>
        <v>0.8</v>
      </c>
      <c r="Y143" s="43">
        <f t="shared" si="211"/>
        <v>0.8</v>
      </c>
      <c r="Z143" s="43">
        <f t="shared" si="211"/>
        <v>0.8</v>
      </c>
      <c r="AA143" s="43">
        <f t="shared" si="211"/>
        <v>0.8</v>
      </c>
      <c r="AB143" s="43">
        <f t="shared" si="211"/>
        <v>0.8</v>
      </c>
      <c r="AC143" s="43">
        <f t="shared" si="211"/>
        <v>0.8</v>
      </c>
      <c r="AD143" s="43">
        <f t="shared" si="211"/>
        <v>0.8</v>
      </c>
      <c r="AE143" s="43">
        <f t="shared" si="211"/>
        <v>0.8</v>
      </c>
      <c r="AF143" s="43">
        <f t="shared" si="211"/>
        <v>0.8</v>
      </c>
      <c r="AG143" s="43">
        <f t="shared" si="211"/>
        <v>0.8</v>
      </c>
      <c r="AH143" s="43">
        <f t="shared" si="211"/>
        <v>0.8</v>
      </c>
    </row>
    <row r="144" spans="1:34" x14ac:dyDescent="0.25">
      <c r="B144" s="52" t="str">
        <f t="shared" si="196"/>
        <v>cdair</v>
      </c>
      <c r="C144" s="52">
        <f t="shared" si="210"/>
        <v>0.8</v>
      </c>
      <c r="D144" s="52">
        <f t="shared" si="210"/>
        <v>0.8</v>
      </c>
      <c r="E144" s="52">
        <f t="shared" si="210"/>
        <v>0.8</v>
      </c>
      <c r="F144" s="52">
        <f t="shared" si="210"/>
        <v>0.8</v>
      </c>
      <c r="G144" s="52">
        <f t="shared" si="210"/>
        <v>0.8</v>
      </c>
      <c r="H144" s="52">
        <f t="shared" si="210"/>
        <v>0.8</v>
      </c>
      <c r="I144" s="52">
        <f t="shared" si="210"/>
        <v>0.8</v>
      </c>
      <c r="J144" s="52">
        <f t="shared" si="210"/>
        <v>0.8</v>
      </c>
      <c r="K144" s="52">
        <f t="shared" si="210"/>
        <v>0.8</v>
      </c>
      <c r="L144" s="52">
        <f t="shared" si="210"/>
        <v>0.8</v>
      </c>
      <c r="M144" s="52">
        <f t="shared" si="210"/>
        <v>0.8</v>
      </c>
      <c r="N144" s="52">
        <f t="shared" si="210"/>
        <v>0.8</v>
      </c>
      <c r="O144" s="52">
        <f t="shared" si="210"/>
        <v>0.8</v>
      </c>
      <c r="P144" s="52">
        <f t="shared" si="210"/>
        <v>0.8</v>
      </c>
      <c r="Q144" s="52">
        <f t="shared" si="210"/>
        <v>0.8</v>
      </c>
      <c r="S144" s="52" t="str">
        <f t="shared" si="198"/>
        <v>adair</v>
      </c>
      <c r="T144" s="52">
        <f t="shared" si="211"/>
        <v>0.8</v>
      </c>
      <c r="U144" s="52">
        <f t="shared" si="211"/>
        <v>0.8</v>
      </c>
      <c r="V144" s="52">
        <f t="shared" si="211"/>
        <v>0.8</v>
      </c>
      <c r="W144" s="52">
        <f t="shared" si="211"/>
        <v>0.8</v>
      </c>
      <c r="X144" s="52">
        <f t="shared" si="211"/>
        <v>0.8</v>
      </c>
      <c r="Y144" s="52">
        <f t="shared" si="211"/>
        <v>0.8</v>
      </c>
      <c r="Z144" s="52">
        <f t="shared" si="211"/>
        <v>0.8</v>
      </c>
      <c r="AA144" s="52">
        <f t="shared" si="211"/>
        <v>0.8</v>
      </c>
      <c r="AB144" s="52">
        <f t="shared" si="211"/>
        <v>0.8</v>
      </c>
      <c r="AC144" s="52">
        <f t="shared" si="211"/>
        <v>0.8</v>
      </c>
      <c r="AD144" s="52">
        <f t="shared" si="211"/>
        <v>0.8</v>
      </c>
      <c r="AE144" s="52" t="str">
        <f t="shared" si="211"/>
        <v/>
      </c>
      <c r="AF144" s="52">
        <f t="shared" si="211"/>
        <v>0.8</v>
      </c>
      <c r="AG144" s="52">
        <f t="shared" si="211"/>
        <v>0.8</v>
      </c>
      <c r="AH144" s="52">
        <f t="shared" si="211"/>
        <v>0.8</v>
      </c>
    </row>
    <row r="145" spans="2:34" x14ac:dyDescent="0.25">
      <c r="B145" s="43" t="str">
        <f t="shared" si="196"/>
        <v>coils</v>
      </c>
      <c r="C145" s="43">
        <f t="shared" ref="C145:Q146" si="212">IF(AM62&gt;0,T$109,"")</f>
        <v>0.8</v>
      </c>
      <c r="D145" s="43">
        <f t="shared" si="212"/>
        <v>0.8</v>
      </c>
      <c r="E145" s="43">
        <f t="shared" si="212"/>
        <v>0.8</v>
      </c>
      <c r="F145" s="43">
        <f t="shared" si="212"/>
        <v>0.8</v>
      </c>
      <c r="G145" s="43">
        <f t="shared" si="212"/>
        <v>0.8</v>
      </c>
      <c r="H145" s="43" t="str">
        <f t="shared" si="212"/>
        <v/>
      </c>
      <c r="I145" s="43">
        <f t="shared" si="212"/>
        <v>0.8</v>
      </c>
      <c r="J145" s="43">
        <f t="shared" si="212"/>
        <v>0.8</v>
      </c>
      <c r="K145" s="43">
        <f t="shared" si="212"/>
        <v>0.8</v>
      </c>
      <c r="L145" s="43">
        <f t="shared" si="212"/>
        <v>0.8</v>
      </c>
      <c r="M145" s="43">
        <f t="shared" si="212"/>
        <v>0.8</v>
      </c>
      <c r="N145" s="43">
        <f t="shared" si="212"/>
        <v>0.8</v>
      </c>
      <c r="O145" s="43">
        <f t="shared" si="212"/>
        <v>0.8</v>
      </c>
      <c r="P145" s="43">
        <f t="shared" si="212"/>
        <v>0.8</v>
      </c>
      <c r="Q145" s="43">
        <f t="shared" si="212"/>
        <v>0.8</v>
      </c>
      <c r="S145" s="43" t="str">
        <f t="shared" si="198"/>
        <v>aoils</v>
      </c>
      <c r="T145" s="43">
        <f t="shared" ref="T145:AH146" si="213">IF(BD62&gt;0,T$109,"")</f>
        <v>0.8</v>
      </c>
      <c r="U145" s="43">
        <f t="shared" si="213"/>
        <v>0.8</v>
      </c>
      <c r="V145" s="43">
        <f t="shared" si="213"/>
        <v>0.8</v>
      </c>
      <c r="W145" s="43">
        <f t="shared" si="213"/>
        <v>0.8</v>
      </c>
      <c r="X145" s="43">
        <f t="shared" si="213"/>
        <v>0.8</v>
      </c>
      <c r="Y145" s="43">
        <f t="shared" si="213"/>
        <v>0.8</v>
      </c>
      <c r="Z145" s="43">
        <f t="shared" si="213"/>
        <v>0.8</v>
      </c>
      <c r="AA145" s="43" t="str">
        <f t="shared" si="213"/>
        <v/>
      </c>
      <c r="AB145" s="43">
        <f t="shared" si="213"/>
        <v>0.8</v>
      </c>
      <c r="AC145" s="43">
        <f t="shared" si="213"/>
        <v>0.8</v>
      </c>
      <c r="AD145" s="43" t="str">
        <f t="shared" si="213"/>
        <v/>
      </c>
      <c r="AE145" s="43" t="str">
        <f t="shared" si="213"/>
        <v/>
      </c>
      <c r="AF145" s="43" t="str">
        <f t="shared" si="213"/>
        <v/>
      </c>
      <c r="AG145" s="43">
        <f t="shared" si="213"/>
        <v>0.8</v>
      </c>
      <c r="AH145" s="43">
        <f t="shared" si="213"/>
        <v>0.8</v>
      </c>
    </row>
    <row r="146" spans="2:34" x14ac:dyDescent="0.25">
      <c r="B146" s="52" t="str">
        <f t="shared" si="196"/>
        <v>cfoil</v>
      </c>
      <c r="C146" s="52">
        <f t="shared" si="212"/>
        <v>0.8</v>
      </c>
      <c r="D146" s="52">
        <f t="shared" si="212"/>
        <v>0.8</v>
      </c>
      <c r="E146" s="52">
        <f t="shared" si="212"/>
        <v>0.8</v>
      </c>
      <c r="F146" s="52">
        <f t="shared" si="212"/>
        <v>0.8</v>
      </c>
      <c r="G146" s="52">
        <f t="shared" si="212"/>
        <v>0.8</v>
      </c>
      <c r="H146" s="52">
        <f t="shared" si="212"/>
        <v>0.8</v>
      </c>
      <c r="I146" s="52">
        <f t="shared" si="212"/>
        <v>0.8</v>
      </c>
      <c r="J146" s="52">
        <f t="shared" si="212"/>
        <v>0.8</v>
      </c>
      <c r="K146" s="52">
        <f t="shared" si="212"/>
        <v>0.8</v>
      </c>
      <c r="L146" s="52">
        <f t="shared" si="212"/>
        <v>0.8</v>
      </c>
      <c r="M146" s="52">
        <f t="shared" si="212"/>
        <v>0.8</v>
      </c>
      <c r="N146" s="52">
        <f t="shared" si="212"/>
        <v>0.8</v>
      </c>
      <c r="O146" s="52">
        <f t="shared" si="212"/>
        <v>0.8</v>
      </c>
      <c r="P146" s="52">
        <f t="shared" si="212"/>
        <v>0.8</v>
      </c>
      <c r="Q146" s="52">
        <f t="shared" si="212"/>
        <v>0.8</v>
      </c>
      <c r="S146" s="52" t="str">
        <f t="shared" si="198"/>
        <v>afoil</v>
      </c>
      <c r="T146" s="52" t="str">
        <f t="shared" si="213"/>
        <v/>
      </c>
      <c r="U146" s="52" t="str">
        <f t="shared" si="213"/>
        <v/>
      </c>
      <c r="V146" s="52" t="str">
        <f t="shared" si="213"/>
        <v/>
      </c>
      <c r="W146" s="52" t="str">
        <f t="shared" si="213"/>
        <v/>
      </c>
      <c r="X146" s="52" t="str">
        <f t="shared" si="213"/>
        <v/>
      </c>
      <c r="Y146" s="52" t="str">
        <f t="shared" si="213"/>
        <v/>
      </c>
      <c r="Z146" s="52" t="str">
        <f t="shared" si="213"/>
        <v/>
      </c>
      <c r="AA146" s="52" t="str">
        <f t="shared" si="213"/>
        <v/>
      </c>
      <c r="AB146" s="52" t="str">
        <f t="shared" si="213"/>
        <v/>
      </c>
      <c r="AC146" s="52" t="str">
        <f t="shared" si="213"/>
        <v/>
      </c>
      <c r="AD146" s="52" t="str">
        <f t="shared" si="213"/>
        <v/>
      </c>
      <c r="AE146" s="52" t="str">
        <f t="shared" si="213"/>
        <v/>
      </c>
      <c r="AF146" s="52" t="str">
        <f t="shared" si="213"/>
        <v/>
      </c>
      <c r="AG146" s="52" t="str">
        <f t="shared" si="213"/>
        <v/>
      </c>
      <c r="AH146" s="52" t="str">
        <f t="shared" si="213"/>
        <v/>
      </c>
    </row>
    <row r="147" spans="2:34" x14ac:dyDescent="0.25">
      <c r="B147" s="43" t="str">
        <f t="shared" si="196"/>
        <v>cfobe</v>
      </c>
      <c r="C147" s="43">
        <f t="shared" ref="C147:Q147" si="214">IF(AM64&gt;0,T$110,"")</f>
        <v>1.5</v>
      </c>
      <c r="D147" s="43">
        <f t="shared" si="214"/>
        <v>1.5</v>
      </c>
      <c r="E147" s="43">
        <f t="shared" si="214"/>
        <v>1.5</v>
      </c>
      <c r="F147" s="43">
        <f t="shared" si="214"/>
        <v>1.5</v>
      </c>
      <c r="G147" s="43">
        <f t="shared" si="214"/>
        <v>1.5</v>
      </c>
      <c r="H147" s="43">
        <f t="shared" si="214"/>
        <v>1.5</v>
      </c>
      <c r="I147" s="43">
        <f t="shared" si="214"/>
        <v>1.5</v>
      </c>
      <c r="J147" s="43">
        <f t="shared" si="214"/>
        <v>1.5</v>
      </c>
      <c r="K147" s="43">
        <f t="shared" si="214"/>
        <v>1.5</v>
      </c>
      <c r="L147" s="43">
        <f t="shared" si="214"/>
        <v>1.5</v>
      </c>
      <c r="M147" s="43">
        <f t="shared" si="214"/>
        <v>1.5</v>
      </c>
      <c r="N147" s="43">
        <f t="shared" si="214"/>
        <v>1.5</v>
      </c>
      <c r="O147" s="43">
        <f t="shared" si="214"/>
        <v>1.5</v>
      </c>
      <c r="P147" s="43">
        <f t="shared" si="214"/>
        <v>1.5</v>
      </c>
      <c r="Q147" s="43">
        <f t="shared" si="214"/>
        <v>1.5</v>
      </c>
      <c r="S147" s="43" t="str">
        <f t="shared" si="198"/>
        <v>afobe</v>
      </c>
      <c r="T147" s="43">
        <f t="shared" ref="T147:AH147" si="215">IF(BD64&gt;0,T$110,"")</f>
        <v>1.5</v>
      </c>
      <c r="U147" s="43">
        <f t="shared" si="215"/>
        <v>1.5</v>
      </c>
      <c r="V147" s="43">
        <f t="shared" si="215"/>
        <v>1.5</v>
      </c>
      <c r="W147" s="43">
        <f t="shared" si="215"/>
        <v>1.5</v>
      </c>
      <c r="X147" s="43">
        <f t="shared" si="215"/>
        <v>1.5</v>
      </c>
      <c r="Y147" s="43">
        <f t="shared" si="215"/>
        <v>1.5</v>
      </c>
      <c r="Z147" s="43">
        <f t="shared" si="215"/>
        <v>1.5</v>
      </c>
      <c r="AA147" s="43">
        <f t="shared" si="215"/>
        <v>1.5</v>
      </c>
      <c r="AB147" s="43">
        <f t="shared" si="215"/>
        <v>1.5</v>
      </c>
      <c r="AC147" s="43">
        <f t="shared" si="215"/>
        <v>1.5</v>
      </c>
      <c r="AD147" s="43">
        <f t="shared" si="215"/>
        <v>1.5</v>
      </c>
      <c r="AE147" s="43">
        <f t="shared" si="215"/>
        <v>1.5</v>
      </c>
      <c r="AF147" s="43">
        <f t="shared" si="215"/>
        <v>1.5</v>
      </c>
      <c r="AG147" s="43">
        <f t="shared" si="215"/>
        <v>1.5</v>
      </c>
      <c r="AH147" s="43">
        <f t="shared" si="215"/>
        <v>1.5</v>
      </c>
    </row>
    <row r="148" spans="2:34" x14ac:dyDescent="0.25">
      <c r="B148" s="43" t="str">
        <f t="shared" si="196"/>
        <v>ctext</v>
      </c>
      <c r="C148" s="43">
        <f t="shared" ref="C148:Q148" si="216">IF(AM65&gt;0,T$111,"")</f>
        <v>1</v>
      </c>
      <c r="D148" s="43">
        <f t="shared" si="216"/>
        <v>1</v>
      </c>
      <c r="E148" s="43">
        <f t="shared" si="216"/>
        <v>1</v>
      </c>
      <c r="F148" s="43">
        <f t="shared" si="216"/>
        <v>1</v>
      </c>
      <c r="G148" s="43">
        <f t="shared" si="216"/>
        <v>1</v>
      </c>
      <c r="H148" s="43">
        <f t="shared" si="216"/>
        <v>1</v>
      </c>
      <c r="I148" s="43">
        <f t="shared" si="216"/>
        <v>1</v>
      </c>
      <c r="J148" s="43">
        <f t="shared" si="216"/>
        <v>1</v>
      </c>
      <c r="K148" s="43">
        <f t="shared" si="216"/>
        <v>1</v>
      </c>
      <c r="L148" s="43">
        <f t="shared" si="216"/>
        <v>1</v>
      </c>
      <c r="M148" s="43">
        <f t="shared" si="216"/>
        <v>1</v>
      </c>
      <c r="N148" s="43">
        <f t="shared" si="216"/>
        <v>1</v>
      </c>
      <c r="O148" s="43">
        <f t="shared" si="216"/>
        <v>1</v>
      </c>
      <c r="P148" s="43">
        <f t="shared" si="216"/>
        <v>1</v>
      </c>
      <c r="Q148" s="43">
        <f t="shared" si="216"/>
        <v>1</v>
      </c>
      <c r="S148" s="43" t="str">
        <f t="shared" si="198"/>
        <v>atext</v>
      </c>
      <c r="T148" s="43" t="str">
        <f t="shared" ref="T148:AH148" si="217">IF(BD65&gt;0,T$111,"")</f>
        <v/>
      </c>
      <c r="U148" s="43" t="str">
        <f t="shared" si="217"/>
        <v/>
      </c>
      <c r="V148" s="43" t="str">
        <f t="shared" si="217"/>
        <v/>
      </c>
      <c r="W148" s="43" t="str">
        <f t="shared" si="217"/>
        <v/>
      </c>
      <c r="X148" s="43" t="str">
        <f t="shared" si="217"/>
        <v/>
      </c>
      <c r="Y148" s="43" t="str">
        <f t="shared" si="217"/>
        <v/>
      </c>
      <c r="Z148" s="43" t="str">
        <f t="shared" si="217"/>
        <v/>
      </c>
      <c r="AA148" s="43" t="str">
        <f t="shared" si="217"/>
        <v/>
      </c>
      <c r="AB148" s="43" t="str">
        <f t="shared" si="217"/>
        <v/>
      </c>
      <c r="AC148" s="43" t="str">
        <f t="shared" si="217"/>
        <v/>
      </c>
      <c r="AD148" s="43" t="str">
        <f t="shared" si="217"/>
        <v/>
      </c>
      <c r="AE148" s="43" t="str">
        <f t="shared" si="217"/>
        <v/>
      </c>
      <c r="AF148" s="43" t="str">
        <f t="shared" si="217"/>
        <v/>
      </c>
      <c r="AG148" s="43" t="str">
        <f t="shared" si="217"/>
        <v/>
      </c>
      <c r="AH148" s="43" t="str">
        <f t="shared" si="217"/>
        <v/>
      </c>
    </row>
    <row r="149" spans="2:34" x14ac:dyDescent="0.25">
      <c r="B149" s="58" t="str">
        <f t="shared" si="196"/>
        <v>celec</v>
      </c>
      <c r="C149" s="58">
        <f t="shared" ref="C149:Q150" si="218">IF(AM66&gt;0,T$112,"")</f>
        <v>1</v>
      </c>
      <c r="D149" s="58">
        <f t="shared" si="218"/>
        <v>1</v>
      </c>
      <c r="E149" s="58">
        <f t="shared" si="218"/>
        <v>1</v>
      </c>
      <c r="F149" s="58">
        <f t="shared" si="218"/>
        <v>1</v>
      </c>
      <c r="G149" s="58">
        <f t="shared" si="218"/>
        <v>1</v>
      </c>
      <c r="H149" s="58">
        <f t="shared" si="218"/>
        <v>1</v>
      </c>
      <c r="I149" s="58">
        <f t="shared" si="218"/>
        <v>1</v>
      </c>
      <c r="J149" s="58">
        <f t="shared" si="218"/>
        <v>1</v>
      </c>
      <c r="K149" s="58">
        <f t="shared" si="218"/>
        <v>1</v>
      </c>
      <c r="L149" s="58">
        <f t="shared" si="218"/>
        <v>1</v>
      </c>
      <c r="M149" s="58">
        <f t="shared" si="218"/>
        <v>1</v>
      </c>
      <c r="N149" s="58">
        <f t="shared" si="218"/>
        <v>1</v>
      </c>
      <c r="O149" s="58">
        <f t="shared" si="218"/>
        <v>1</v>
      </c>
      <c r="P149" s="58">
        <f t="shared" si="218"/>
        <v>1</v>
      </c>
      <c r="Q149" s="58">
        <f t="shared" si="218"/>
        <v>1</v>
      </c>
      <c r="S149" s="58" t="str">
        <f t="shared" si="198"/>
        <v>aelec</v>
      </c>
      <c r="T149" s="58" t="str">
        <f t="shared" ref="T149:AH150" si="219">IF(BD66&gt;0,T$112,"")</f>
        <v/>
      </c>
      <c r="U149" s="58" t="str">
        <f t="shared" si="219"/>
        <v/>
      </c>
      <c r="V149" s="58" t="str">
        <f t="shared" si="219"/>
        <v/>
      </c>
      <c r="W149" s="58" t="str">
        <f t="shared" si="219"/>
        <v/>
      </c>
      <c r="X149" s="58" t="str">
        <f t="shared" si="219"/>
        <v/>
      </c>
      <c r="Y149" s="58" t="str">
        <f t="shared" si="219"/>
        <v/>
      </c>
      <c r="Z149" s="58" t="str">
        <f t="shared" si="219"/>
        <v/>
      </c>
      <c r="AA149" s="58" t="str">
        <f t="shared" si="219"/>
        <v/>
      </c>
      <c r="AB149" s="58" t="str">
        <f t="shared" si="219"/>
        <v/>
      </c>
      <c r="AC149" s="58" t="str">
        <f t="shared" si="219"/>
        <v/>
      </c>
      <c r="AD149" s="58" t="str">
        <f t="shared" si="219"/>
        <v/>
      </c>
      <c r="AE149" s="58" t="str">
        <f t="shared" si="219"/>
        <v/>
      </c>
      <c r="AF149" s="58" t="str">
        <f t="shared" si="219"/>
        <v/>
      </c>
      <c r="AG149" s="58" t="str">
        <f t="shared" si="219"/>
        <v/>
      </c>
      <c r="AH149" s="58" t="str">
        <f t="shared" si="219"/>
        <v/>
      </c>
    </row>
    <row r="150" spans="2:34" x14ac:dyDescent="0.25">
      <c r="B150" s="52" t="str">
        <f t="shared" si="196"/>
        <v>cwatr</v>
      </c>
      <c r="C150" s="52">
        <f t="shared" si="218"/>
        <v>1</v>
      </c>
      <c r="D150" s="52">
        <f t="shared" si="218"/>
        <v>1</v>
      </c>
      <c r="E150" s="52">
        <f t="shared" si="218"/>
        <v>1</v>
      </c>
      <c r="F150" s="52">
        <f t="shared" si="218"/>
        <v>1</v>
      </c>
      <c r="G150" s="52">
        <f t="shared" si="218"/>
        <v>1</v>
      </c>
      <c r="H150" s="52">
        <f t="shared" si="218"/>
        <v>1</v>
      </c>
      <c r="I150" s="52">
        <f t="shared" si="218"/>
        <v>1</v>
      </c>
      <c r="J150" s="52">
        <f t="shared" si="218"/>
        <v>1</v>
      </c>
      <c r="K150" s="52">
        <f t="shared" si="218"/>
        <v>1</v>
      </c>
      <c r="L150" s="52">
        <f t="shared" si="218"/>
        <v>1</v>
      </c>
      <c r="M150" s="52">
        <f t="shared" si="218"/>
        <v>1</v>
      </c>
      <c r="N150" s="52">
        <f t="shared" si="218"/>
        <v>1</v>
      </c>
      <c r="O150" s="52">
        <f t="shared" si="218"/>
        <v>1</v>
      </c>
      <c r="P150" s="52">
        <f t="shared" si="218"/>
        <v>1</v>
      </c>
      <c r="Q150" s="52">
        <f t="shared" si="218"/>
        <v>1</v>
      </c>
      <c r="S150" s="52" t="str">
        <f t="shared" si="198"/>
        <v>awatr</v>
      </c>
      <c r="T150" s="52" t="str">
        <f t="shared" si="219"/>
        <v/>
      </c>
      <c r="U150" s="52" t="str">
        <f t="shared" si="219"/>
        <v/>
      </c>
      <c r="V150" s="52" t="str">
        <f t="shared" si="219"/>
        <v/>
      </c>
      <c r="W150" s="52" t="str">
        <f t="shared" si="219"/>
        <v/>
      </c>
      <c r="X150" s="52" t="str">
        <f t="shared" si="219"/>
        <v/>
      </c>
      <c r="Y150" s="52" t="str">
        <f t="shared" si="219"/>
        <v/>
      </c>
      <c r="Z150" s="52" t="str">
        <f t="shared" si="219"/>
        <v/>
      </c>
      <c r="AA150" s="52" t="str">
        <f t="shared" si="219"/>
        <v/>
      </c>
      <c r="AB150" s="52" t="str">
        <f t="shared" si="219"/>
        <v/>
      </c>
      <c r="AC150" s="52" t="str">
        <f t="shared" si="219"/>
        <v/>
      </c>
      <c r="AD150" s="52" t="str">
        <f t="shared" si="219"/>
        <v/>
      </c>
      <c r="AE150" s="52" t="str">
        <f t="shared" si="219"/>
        <v/>
      </c>
      <c r="AF150" s="52" t="str">
        <f t="shared" si="219"/>
        <v/>
      </c>
      <c r="AG150" s="52" t="str">
        <f t="shared" si="219"/>
        <v/>
      </c>
      <c r="AH150" s="52" t="str">
        <f t="shared" si="219"/>
        <v/>
      </c>
    </row>
    <row r="151" spans="2:34" x14ac:dyDescent="0.25">
      <c r="B151" s="55" t="str">
        <f t="shared" si="196"/>
        <v>creal</v>
      </c>
      <c r="C151" s="55">
        <f t="shared" ref="C151:Q151" si="220">IF(AM68&gt;0,T$113,"")</f>
        <v>0.8</v>
      </c>
      <c r="D151" s="55">
        <f t="shared" si="220"/>
        <v>0.8</v>
      </c>
      <c r="E151" s="55">
        <f t="shared" si="220"/>
        <v>0.8</v>
      </c>
      <c r="F151" s="55">
        <f t="shared" si="220"/>
        <v>0.8</v>
      </c>
      <c r="G151" s="55">
        <f t="shared" si="220"/>
        <v>0.8</v>
      </c>
      <c r="H151" s="55">
        <f t="shared" si="220"/>
        <v>0.8</v>
      </c>
      <c r="I151" s="55">
        <f t="shared" si="220"/>
        <v>0.8</v>
      </c>
      <c r="J151" s="55">
        <f t="shared" si="220"/>
        <v>0.8</v>
      </c>
      <c r="K151" s="55">
        <f t="shared" si="220"/>
        <v>0.8</v>
      </c>
      <c r="L151" s="55">
        <f t="shared" si="220"/>
        <v>0.8</v>
      </c>
      <c r="M151" s="55">
        <f t="shared" si="220"/>
        <v>0.8</v>
      </c>
      <c r="N151" s="55">
        <f t="shared" si="220"/>
        <v>0.8</v>
      </c>
      <c r="O151" s="55">
        <f t="shared" si="220"/>
        <v>0.8</v>
      </c>
      <c r="P151" s="55">
        <f t="shared" si="220"/>
        <v>0.8</v>
      </c>
      <c r="Q151" s="55">
        <f t="shared" si="220"/>
        <v>0.8</v>
      </c>
      <c r="S151" s="55" t="str">
        <f t="shared" si="198"/>
        <v>areal</v>
      </c>
      <c r="T151" s="55" t="str">
        <f t="shared" ref="T151:AH151" si="221">IF(BD68&gt;0,T$113,"")</f>
        <v/>
      </c>
      <c r="U151" s="55" t="str">
        <f t="shared" si="221"/>
        <v/>
      </c>
      <c r="V151" s="55" t="str">
        <f t="shared" si="221"/>
        <v/>
      </c>
      <c r="W151" s="55" t="str">
        <f t="shared" si="221"/>
        <v/>
      </c>
      <c r="X151" s="55" t="str">
        <f t="shared" si="221"/>
        <v/>
      </c>
      <c r="Y151" s="55" t="str">
        <f t="shared" si="221"/>
        <v/>
      </c>
      <c r="Z151" s="55" t="str">
        <f t="shared" si="221"/>
        <v/>
      </c>
      <c r="AA151" s="55" t="str">
        <f t="shared" si="221"/>
        <v/>
      </c>
      <c r="AB151" s="55" t="str">
        <f t="shared" si="221"/>
        <v/>
      </c>
      <c r="AC151" s="55" t="str">
        <f t="shared" si="221"/>
        <v/>
      </c>
      <c r="AD151" s="55" t="str">
        <f t="shared" si="221"/>
        <v/>
      </c>
      <c r="AE151" s="55" t="str">
        <f t="shared" si="221"/>
        <v/>
      </c>
      <c r="AF151" s="55" t="str">
        <f t="shared" si="221"/>
        <v/>
      </c>
      <c r="AG151" s="55" t="str">
        <f t="shared" si="221"/>
        <v/>
      </c>
      <c r="AH151" s="55" t="str">
        <f t="shared" si="221"/>
        <v/>
      </c>
    </row>
    <row r="152" spans="2:34" x14ac:dyDescent="0.25">
      <c r="B152" s="43" t="str">
        <f t="shared" si="196"/>
        <v>ceduc</v>
      </c>
      <c r="C152" s="43">
        <f t="shared" ref="C152:Q154" si="222">IF(AM69&gt;0,T$114,"")</f>
        <v>1</v>
      </c>
      <c r="D152" s="43">
        <f t="shared" si="222"/>
        <v>1</v>
      </c>
      <c r="E152" s="43">
        <f t="shared" si="222"/>
        <v>1</v>
      </c>
      <c r="F152" s="43">
        <f t="shared" si="222"/>
        <v>1</v>
      </c>
      <c r="G152" s="43">
        <f t="shared" si="222"/>
        <v>1</v>
      </c>
      <c r="H152" s="43">
        <f t="shared" si="222"/>
        <v>1</v>
      </c>
      <c r="I152" s="43">
        <f t="shared" si="222"/>
        <v>1</v>
      </c>
      <c r="J152" s="43">
        <f t="shared" si="222"/>
        <v>1</v>
      </c>
      <c r="K152" s="43">
        <f t="shared" si="222"/>
        <v>1</v>
      </c>
      <c r="L152" s="43">
        <f t="shared" si="222"/>
        <v>1</v>
      </c>
      <c r="M152" s="43">
        <f t="shared" si="222"/>
        <v>1</v>
      </c>
      <c r="N152" s="43">
        <f t="shared" si="222"/>
        <v>1</v>
      </c>
      <c r="O152" s="43">
        <f t="shared" si="222"/>
        <v>1</v>
      </c>
      <c r="P152" s="43">
        <f t="shared" si="222"/>
        <v>1</v>
      </c>
      <c r="Q152" s="43">
        <f t="shared" si="222"/>
        <v>1</v>
      </c>
      <c r="S152" s="43" t="str">
        <f t="shared" si="198"/>
        <v>aeduc</v>
      </c>
      <c r="T152" s="43" t="str">
        <f t="shared" ref="T152:AH154" si="223">IF(BD69&gt;0,T$114,"")</f>
        <v/>
      </c>
      <c r="U152" s="43" t="str">
        <f t="shared" si="223"/>
        <v/>
      </c>
      <c r="V152" s="43" t="str">
        <f t="shared" si="223"/>
        <v/>
      </c>
      <c r="W152" s="43" t="str">
        <f t="shared" si="223"/>
        <v/>
      </c>
      <c r="X152" s="43" t="str">
        <f t="shared" si="223"/>
        <v/>
      </c>
      <c r="Y152" s="43" t="str">
        <f t="shared" si="223"/>
        <v/>
      </c>
      <c r="Z152" s="43" t="str">
        <f t="shared" si="223"/>
        <v/>
      </c>
      <c r="AA152" s="43" t="str">
        <f t="shared" si="223"/>
        <v/>
      </c>
      <c r="AB152" s="43" t="str">
        <f t="shared" si="223"/>
        <v/>
      </c>
      <c r="AC152" s="43" t="str">
        <f t="shared" si="223"/>
        <v/>
      </c>
      <c r="AD152" s="43" t="str">
        <f t="shared" si="223"/>
        <v/>
      </c>
      <c r="AE152" s="43" t="str">
        <f t="shared" si="223"/>
        <v/>
      </c>
      <c r="AF152" s="43" t="str">
        <f t="shared" si="223"/>
        <v/>
      </c>
      <c r="AG152" s="43" t="str">
        <f t="shared" si="223"/>
        <v/>
      </c>
      <c r="AH152" s="43" t="str">
        <f t="shared" si="223"/>
        <v/>
      </c>
    </row>
    <row r="153" spans="2:34" x14ac:dyDescent="0.25">
      <c r="B153" s="43" t="str">
        <f t="shared" si="196"/>
        <v>cheal</v>
      </c>
      <c r="C153" s="43">
        <f t="shared" si="222"/>
        <v>1</v>
      </c>
      <c r="D153" s="43">
        <f t="shared" si="222"/>
        <v>1</v>
      </c>
      <c r="E153" s="43">
        <f t="shared" si="222"/>
        <v>1</v>
      </c>
      <c r="F153" s="43">
        <f t="shared" si="222"/>
        <v>1</v>
      </c>
      <c r="G153" s="43">
        <f t="shared" si="222"/>
        <v>1</v>
      </c>
      <c r="H153" s="43">
        <f t="shared" si="222"/>
        <v>1</v>
      </c>
      <c r="I153" s="43">
        <f t="shared" si="222"/>
        <v>1</v>
      </c>
      <c r="J153" s="43">
        <f t="shared" si="222"/>
        <v>1</v>
      </c>
      <c r="K153" s="43">
        <f t="shared" si="222"/>
        <v>1</v>
      </c>
      <c r="L153" s="43">
        <f t="shared" si="222"/>
        <v>1</v>
      </c>
      <c r="M153" s="43">
        <f t="shared" si="222"/>
        <v>1</v>
      </c>
      <c r="N153" s="43">
        <f t="shared" si="222"/>
        <v>1</v>
      </c>
      <c r="O153" s="43">
        <f t="shared" si="222"/>
        <v>1</v>
      </c>
      <c r="P153" s="43">
        <f t="shared" si="222"/>
        <v>1</v>
      </c>
      <c r="Q153" s="43">
        <f t="shared" si="222"/>
        <v>1</v>
      </c>
      <c r="S153" s="43" t="str">
        <f t="shared" si="198"/>
        <v>aheal</v>
      </c>
      <c r="T153" s="43" t="str">
        <f t="shared" si="223"/>
        <v/>
      </c>
      <c r="U153" s="43" t="str">
        <f t="shared" si="223"/>
        <v/>
      </c>
      <c r="V153" s="43" t="str">
        <f t="shared" si="223"/>
        <v/>
      </c>
      <c r="W153" s="43" t="str">
        <f t="shared" si="223"/>
        <v/>
      </c>
      <c r="X153" s="43" t="str">
        <f t="shared" si="223"/>
        <v/>
      </c>
      <c r="Y153" s="43" t="str">
        <f t="shared" si="223"/>
        <v/>
      </c>
      <c r="Z153" s="43" t="str">
        <f t="shared" si="223"/>
        <v/>
      </c>
      <c r="AA153" s="43" t="str">
        <f t="shared" si="223"/>
        <v/>
      </c>
      <c r="AB153" s="43" t="str">
        <f t="shared" si="223"/>
        <v/>
      </c>
      <c r="AC153" s="43" t="str">
        <f t="shared" si="223"/>
        <v/>
      </c>
      <c r="AD153" s="43" t="str">
        <f t="shared" si="223"/>
        <v/>
      </c>
      <c r="AE153" s="43" t="str">
        <f t="shared" si="223"/>
        <v/>
      </c>
      <c r="AF153" s="43" t="str">
        <f t="shared" si="223"/>
        <v/>
      </c>
      <c r="AG153" s="43" t="str">
        <f t="shared" si="223"/>
        <v/>
      </c>
      <c r="AH153" s="43" t="str">
        <f t="shared" si="223"/>
        <v/>
      </c>
    </row>
    <row r="154" spans="2:34" x14ac:dyDescent="0.25">
      <c r="B154" s="52" t="str">
        <f t="shared" si="196"/>
        <v>cpadm</v>
      </c>
      <c r="C154" s="52">
        <f t="shared" si="222"/>
        <v>1</v>
      </c>
      <c r="D154" s="52">
        <f t="shared" si="222"/>
        <v>1</v>
      </c>
      <c r="E154" s="52">
        <f t="shared" si="222"/>
        <v>1</v>
      </c>
      <c r="F154" s="52">
        <f t="shared" si="222"/>
        <v>1</v>
      </c>
      <c r="G154" s="52">
        <f t="shared" si="222"/>
        <v>1</v>
      </c>
      <c r="H154" s="52">
        <f t="shared" si="222"/>
        <v>1</v>
      </c>
      <c r="I154" s="52">
        <f t="shared" si="222"/>
        <v>1</v>
      </c>
      <c r="J154" s="52">
        <f t="shared" si="222"/>
        <v>1</v>
      </c>
      <c r="K154" s="52">
        <f t="shared" si="222"/>
        <v>1</v>
      </c>
      <c r="L154" s="52">
        <f t="shared" si="222"/>
        <v>1</v>
      </c>
      <c r="M154" s="52">
        <f t="shared" si="222"/>
        <v>1</v>
      </c>
      <c r="N154" s="52">
        <f t="shared" si="222"/>
        <v>1</v>
      </c>
      <c r="O154" s="52">
        <f t="shared" si="222"/>
        <v>1</v>
      </c>
      <c r="P154" s="52">
        <f t="shared" si="222"/>
        <v>1</v>
      </c>
      <c r="Q154" s="52">
        <f t="shared" si="222"/>
        <v>1</v>
      </c>
      <c r="S154" s="52" t="str">
        <f t="shared" si="198"/>
        <v>apadm</v>
      </c>
      <c r="T154" s="52" t="str">
        <f t="shared" si="223"/>
        <v/>
      </c>
      <c r="U154" s="52" t="str">
        <f t="shared" si="223"/>
        <v/>
      </c>
      <c r="V154" s="52" t="str">
        <f t="shared" si="223"/>
        <v/>
      </c>
      <c r="W154" s="52" t="str">
        <f t="shared" si="223"/>
        <v/>
      </c>
      <c r="X154" s="52" t="str">
        <f t="shared" si="223"/>
        <v/>
      </c>
      <c r="Y154" s="52" t="str">
        <f t="shared" si="223"/>
        <v/>
      </c>
      <c r="Z154" s="52" t="str">
        <f t="shared" si="223"/>
        <v/>
      </c>
      <c r="AA154" s="52" t="str">
        <f t="shared" si="223"/>
        <v/>
      </c>
      <c r="AB154" s="52" t="str">
        <f t="shared" si="223"/>
        <v/>
      </c>
      <c r="AC154" s="52" t="str">
        <f t="shared" si="223"/>
        <v/>
      </c>
      <c r="AD154" s="52" t="str">
        <f t="shared" si="223"/>
        <v/>
      </c>
      <c r="AE154" s="52" t="str">
        <f t="shared" si="223"/>
        <v/>
      </c>
      <c r="AF154" s="52" t="str">
        <f t="shared" si="223"/>
        <v/>
      </c>
      <c r="AG154" s="52" t="str">
        <f t="shared" si="223"/>
        <v/>
      </c>
      <c r="AH154" s="52" t="str">
        <f t="shared" si="223"/>
        <v/>
      </c>
    </row>
    <row r="155" spans="2:34" x14ac:dyDescent="0.25">
      <c r="B155" s="43" t="str">
        <f t="shared" si="196"/>
        <v>cocrp</v>
      </c>
      <c r="C155" s="43">
        <f t="shared" ref="C155:Q158" si="224">IF(AM72&gt;0,T$116,"")</f>
        <v>1.2077155199250216</v>
      </c>
      <c r="D155" s="43">
        <f t="shared" si="224"/>
        <v>1.2147904969162069</v>
      </c>
      <c r="E155" s="43">
        <f t="shared" si="224"/>
        <v>1.1772184720461318</v>
      </c>
      <c r="F155" s="43">
        <f t="shared" si="224"/>
        <v>1.1159148133561756</v>
      </c>
      <c r="G155" s="43">
        <f t="shared" si="224"/>
        <v>1.0204099142159762</v>
      </c>
      <c r="H155" s="43">
        <f t="shared" si="224"/>
        <v>1.2520605429502178</v>
      </c>
      <c r="I155" s="43">
        <f t="shared" si="224"/>
        <v>1.1962239761879154</v>
      </c>
      <c r="J155" s="43">
        <f t="shared" si="224"/>
        <v>1.1727521671956587</v>
      </c>
      <c r="K155" s="43">
        <f t="shared" si="224"/>
        <v>1.1323142191801947</v>
      </c>
      <c r="L155" s="43">
        <f t="shared" si="224"/>
        <v>1.0299764477266513</v>
      </c>
      <c r="M155" s="43">
        <f t="shared" si="224"/>
        <v>1.240947448307449</v>
      </c>
      <c r="N155" s="43">
        <f t="shared" si="224"/>
        <v>1.2154449207357383</v>
      </c>
      <c r="O155" s="43">
        <f t="shared" si="224"/>
        <v>1.1458067995756112</v>
      </c>
      <c r="P155" s="43">
        <f t="shared" si="224"/>
        <v>1.1025251819978714</v>
      </c>
      <c r="Q155" s="43">
        <f t="shared" si="224"/>
        <v>1.0131366537431494</v>
      </c>
      <c r="S155" s="43" t="str">
        <f t="shared" si="198"/>
        <v>aocrp</v>
      </c>
      <c r="T155" s="43">
        <f t="shared" ref="T155:AH158" si="225">IF(BD72&gt;0,T$116,"")</f>
        <v>1.2077155199250216</v>
      </c>
      <c r="U155" s="43">
        <f t="shared" si="225"/>
        <v>1.2147904969162069</v>
      </c>
      <c r="V155" s="43">
        <f t="shared" si="225"/>
        <v>1.1772184720461318</v>
      </c>
      <c r="W155" s="43">
        <f t="shared" si="225"/>
        <v>1.1159148133561756</v>
      </c>
      <c r="X155" s="43">
        <f t="shared" si="225"/>
        <v>1.0204099142159762</v>
      </c>
      <c r="Y155" s="43" t="str">
        <f t="shared" si="225"/>
        <v/>
      </c>
      <c r="Z155" s="43" t="str">
        <f t="shared" si="225"/>
        <v/>
      </c>
      <c r="AA155" s="43" t="str">
        <f t="shared" si="225"/>
        <v/>
      </c>
      <c r="AB155" s="43">
        <f t="shared" si="225"/>
        <v>1.1323142191801947</v>
      </c>
      <c r="AC155" s="43" t="str">
        <f t="shared" si="225"/>
        <v/>
      </c>
      <c r="AD155" s="43" t="str">
        <f t="shared" si="225"/>
        <v/>
      </c>
      <c r="AE155" s="43" t="str">
        <f t="shared" si="225"/>
        <v/>
      </c>
      <c r="AF155" s="43" t="str">
        <f t="shared" si="225"/>
        <v/>
      </c>
      <c r="AG155" s="43" t="str">
        <f t="shared" si="225"/>
        <v/>
      </c>
      <c r="AH155" s="43">
        <f t="shared" si="225"/>
        <v>1.0131366537431494</v>
      </c>
    </row>
    <row r="156" spans="2:34" x14ac:dyDescent="0.25">
      <c r="B156" s="43" t="str">
        <f t="shared" si="196"/>
        <v>cbecr</v>
      </c>
      <c r="C156" s="43">
        <f t="shared" si="224"/>
        <v>1.2077155199250216</v>
      </c>
      <c r="D156" s="43">
        <f t="shared" si="224"/>
        <v>1.2147904969162069</v>
      </c>
      <c r="E156" s="43">
        <f t="shared" si="224"/>
        <v>1.1772184720461318</v>
      </c>
      <c r="F156" s="43">
        <f t="shared" si="224"/>
        <v>1.1159148133561756</v>
      </c>
      <c r="G156" s="43">
        <f t="shared" si="224"/>
        <v>1.0204099142159762</v>
      </c>
      <c r="H156" s="43">
        <f t="shared" si="224"/>
        <v>1.2520605429502178</v>
      </c>
      <c r="I156" s="43">
        <f t="shared" si="224"/>
        <v>1.1962239761879154</v>
      </c>
      <c r="J156" s="43">
        <f t="shared" si="224"/>
        <v>1.1727521671956587</v>
      </c>
      <c r="K156" s="43">
        <f t="shared" si="224"/>
        <v>1.1323142191801947</v>
      </c>
      <c r="L156" s="43">
        <f t="shared" si="224"/>
        <v>1.0299764477266513</v>
      </c>
      <c r="M156" s="43">
        <f t="shared" si="224"/>
        <v>1.240947448307449</v>
      </c>
      <c r="N156" s="43">
        <f t="shared" si="224"/>
        <v>1.2154449207357383</v>
      </c>
      <c r="O156" s="43">
        <f t="shared" si="224"/>
        <v>1.1458067995756112</v>
      </c>
      <c r="P156" s="43">
        <f t="shared" si="224"/>
        <v>1.1025251819978714</v>
      </c>
      <c r="Q156" s="43">
        <f t="shared" si="224"/>
        <v>1.0131366537431494</v>
      </c>
      <c r="S156" s="43" t="str">
        <f t="shared" si="198"/>
        <v>abecr</v>
      </c>
      <c r="T156" s="43">
        <f t="shared" si="225"/>
        <v>1.2077155199250216</v>
      </c>
      <c r="U156" s="43">
        <f t="shared" si="225"/>
        <v>1.2147904969162069</v>
      </c>
      <c r="V156" s="43">
        <f t="shared" si="225"/>
        <v>1.1772184720461318</v>
      </c>
      <c r="W156" s="43">
        <f t="shared" si="225"/>
        <v>1.1159148133561756</v>
      </c>
      <c r="X156" s="43">
        <f t="shared" si="225"/>
        <v>1.0204099142159762</v>
      </c>
      <c r="Y156" s="43" t="str">
        <f t="shared" si="225"/>
        <v/>
      </c>
      <c r="Z156" s="43" t="str">
        <f t="shared" si="225"/>
        <v/>
      </c>
      <c r="AA156" s="43" t="str">
        <f t="shared" si="225"/>
        <v/>
      </c>
      <c r="AB156" s="43" t="str">
        <f t="shared" si="225"/>
        <v/>
      </c>
      <c r="AC156" s="43" t="str">
        <f t="shared" si="225"/>
        <v/>
      </c>
      <c r="AD156" s="43" t="str">
        <f t="shared" si="225"/>
        <v/>
      </c>
      <c r="AE156" s="43" t="str">
        <f t="shared" si="225"/>
        <v/>
      </c>
      <c r="AF156" s="43" t="str">
        <f t="shared" si="225"/>
        <v/>
      </c>
      <c r="AG156" s="43" t="str">
        <f t="shared" si="225"/>
        <v/>
      </c>
      <c r="AH156" s="43" t="str">
        <f t="shared" si="225"/>
        <v/>
      </c>
    </row>
    <row r="157" spans="2:34" x14ac:dyDescent="0.25">
      <c r="B157" s="43" t="str">
        <f t="shared" si="196"/>
        <v>cfore</v>
      </c>
      <c r="C157" s="43">
        <f t="shared" si="224"/>
        <v>1.2077155199250216</v>
      </c>
      <c r="D157" s="43">
        <f t="shared" si="224"/>
        <v>1.2147904969162069</v>
      </c>
      <c r="E157" s="43">
        <f t="shared" si="224"/>
        <v>1.1772184720461318</v>
      </c>
      <c r="F157" s="43">
        <f t="shared" si="224"/>
        <v>1.1159148133561756</v>
      </c>
      <c r="G157" s="43">
        <f t="shared" si="224"/>
        <v>1.0204099142159762</v>
      </c>
      <c r="H157" s="43">
        <f t="shared" si="224"/>
        <v>1.2520605429502178</v>
      </c>
      <c r="I157" s="43">
        <f t="shared" si="224"/>
        <v>1.1962239761879154</v>
      </c>
      <c r="J157" s="43">
        <f t="shared" si="224"/>
        <v>1.1727521671956587</v>
      </c>
      <c r="K157" s="43">
        <f t="shared" si="224"/>
        <v>1.1323142191801947</v>
      </c>
      <c r="L157" s="43">
        <f t="shared" si="224"/>
        <v>1.0299764477266513</v>
      </c>
      <c r="M157" s="43">
        <f t="shared" si="224"/>
        <v>1.240947448307449</v>
      </c>
      <c r="N157" s="43">
        <f t="shared" si="224"/>
        <v>1.2154449207357383</v>
      </c>
      <c r="O157" s="43">
        <f t="shared" si="224"/>
        <v>1.1458067995756112</v>
      </c>
      <c r="P157" s="43">
        <f t="shared" si="224"/>
        <v>1.1025251819978714</v>
      </c>
      <c r="Q157" s="43">
        <f t="shared" si="224"/>
        <v>1.0131366537431494</v>
      </c>
      <c r="S157" s="43" t="str">
        <f t="shared" si="198"/>
        <v>afore</v>
      </c>
      <c r="T157" s="43">
        <f t="shared" si="225"/>
        <v>1.2077155199250216</v>
      </c>
      <c r="U157" s="43">
        <f t="shared" si="225"/>
        <v>1.2147904969162069</v>
      </c>
      <c r="V157" s="43">
        <f t="shared" si="225"/>
        <v>1.1772184720461318</v>
      </c>
      <c r="W157" s="43">
        <f t="shared" si="225"/>
        <v>1.1159148133561756</v>
      </c>
      <c r="X157" s="43">
        <f t="shared" si="225"/>
        <v>1.0204099142159762</v>
      </c>
      <c r="Y157" s="43">
        <f t="shared" si="225"/>
        <v>1.2520605429502178</v>
      </c>
      <c r="Z157" s="43">
        <f t="shared" si="225"/>
        <v>1.1962239761879154</v>
      </c>
      <c r="AA157" s="43">
        <f t="shared" si="225"/>
        <v>1.1727521671956587</v>
      </c>
      <c r="AB157" s="43">
        <f t="shared" si="225"/>
        <v>1.1323142191801947</v>
      </c>
      <c r="AC157" s="43">
        <f t="shared" si="225"/>
        <v>1.0299764477266513</v>
      </c>
      <c r="AD157" s="43">
        <f t="shared" si="225"/>
        <v>1.240947448307449</v>
      </c>
      <c r="AE157" s="43">
        <f t="shared" si="225"/>
        <v>1.2154449207357383</v>
      </c>
      <c r="AF157" s="43">
        <f t="shared" si="225"/>
        <v>1.1458067995756112</v>
      </c>
      <c r="AG157" s="43">
        <f t="shared" si="225"/>
        <v>1.1025251819978714</v>
      </c>
      <c r="AH157" s="43">
        <f t="shared" si="225"/>
        <v>1.0131366537431494</v>
      </c>
    </row>
    <row r="158" spans="2:34" x14ac:dyDescent="0.25">
      <c r="B158" s="43" t="str">
        <f t="shared" si="196"/>
        <v>coapr</v>
      </c>
      <c r="C158" s="43">
        <f t="shared" si="224"/>
        <v>1.2077155199250216</v>
      </c>
      <c r="D158" s="43">
        <f t="shared" si="224"/>
        <v>1.2147904969162069</v>
      </c>
      <c r="E158" s="43">
        <f t="shared" si="224"/>
        <v>1.1772184720461318</v>
      </c>
      <c r="F158" s="43">
        <f t="shared" si="224"/>
        <v>1.1159148133561756</v>
      </c>
      <c r="G158" s="43">
        <f t="shared" si="224"/>
        <v>1.0204099142159762</v>
      </c>
      <c r="H158" s="43">
        <f t="shared" si="224"/>
        <v>1.2520605429502178</v>
      </c>
      <c r="I158" s="43">
        <f t="shared" si="224"/>
        <v>1.1962239761879154</v>
      </c>
      <c r="J158" s="43">
        <f t="shared" si="224"/>
        <v>1.1727521671956587</v>
      </c>
      <c r="K158" s="43">
        <f t="shared" si="224"/>
        <v>1.1323142191801947</v>
      </c>
      <c r="L158" s="43">
        <f t="shared" si="224"/>
        <v>1.0299764477266513</v>
      </c>
      <c r="M158" s="43">
        <f t="shared" si="224"/>
        <v>1.240947448307449</v>
      </c>
      <c r="N158" s="43">
        <f t="shared" si="224"/>
        <v>1.2154449207357383</v>
      </c>
      <c r="O158" s="43">
        <f t="shared" si="224"/>
        <v>1.1458067995756112</v>
      </c>
      <c r="P158" s="43">
        <f t="shared" si="224"/>
        <v>1.1025251819978714</v>
      </c>
      <c r="Q158" s="43">
        <f t="shared" si="224"/>
        <v>1.0131366537431494</v>
      </c>
      <c r="S158" s="43" t="str">
        <f t="shared" si="198"/>
        <v>aoapr</v>
      </c>
      <c r="T158" s="43" t="str">
        <f t="shared" si="225"/>
        <v/>
      </c>
      <c r="U158" s="43" t="str">
        <f t="shared" si="225"/>
        <v/>
      </c>
      <c r="V158" s="43" t="str">
        <f t="shared" si="225"/>
        <v/>
      </c>
      <c r="W158" s="43" t="str">
        <f t="shared" si="225"/>
        <v/>
      </c>
      <c r="X158" s="43" t="str">
        <f t="shared" si="225"/>
        <v/>
      </c>
      <c r="Y158" s="43" t="str">
        <f t="shared" si="225"/>
        <v/>
      </c>
      <c r="Z158" s="43" t="str">
        <f t="shared" si="225"/>
        <v/>
      </c>
      <c r="AA158" s="43" t="str">
        <f t="shared" si="225"/>
        <v/>
      </c>
      <c r="AB158" s="43" t="str">
        <f t="shared" si="225"/>
        <v/>
      </c>
      <c r="AC158" s="43" t="str">
        <f t="shared" si="225"/>
        <v/>
      </c>
      <c r="AD158" s="43" t="str">
        <f t="shared" si="225"/>
        <v/>
      </c>
      <c r="AE158" s="43" t="str">
        <f t="shared" si="225"/>
        <v/>
      </c>
      <c r="AF158" s="43" t="str">
        <f t="shared" si="225"/>
        <v/>
      </c>
      <c r="AG158" s="43" t="str">
        <f t="shared" si="225"/>
        <v/>
      </c>
      <c r="AH158" s="43" t="str">
        <f t="shared" si="225"/>
        <v/>
      </c>
    </row>
    <row r="159" spans="2:34" x14ac:dyDescent="0.25">
      <c r="B159" s="43" t="str">
        <f t="shared" si="196"/>
        <v>cmine</v>
      </c>
      <c r="C159" s="43" t="str">
        <f t="shared" ref="C159:Q160" si="226">IF(AM76&gt;0,T$117,"")</f>
        <v/>
      </c>
      <c r="D159" s="43" t="str">
        <f t="shared" si="226"/>
        <v/>
      </c>
      <c r="E159" s="43" t="str">
        <f t="shared" si="226"/>
        <v/>
      </c>
      <c r="F159" s="43" t="str">
        <f t="shared" si="226"/>
        <v/>
      </c>
      <c r="G159" s="43" t="str">
        <f t="shared" si="226"/>
        <v/>
      </c>
      <c r="H159" s="43" t="str">
        <f t="shared" si="226"/>
        <v/>
      </c>
      <c r="I159" s="43" t="str">
        <f t="shared" si="226"/>
        <v/>
      </c>
      <c r="J159" s="43" t="str">
        <f t="shared" si="226"/>
        <v/>
      </c>
      <c r="K159" s="43" t="str">
        <f t="shared" si="226"/>
        <v/>
      </c>
      <c r="L159" s="43" t="str">
        <f t="shared" si="226"/>
        <v/>
      </c>
      <c r="M159" s="43" t="str">
        <f t="shared" si="226"/>
        <v/>
      </c>
      <c r="N159" s="43" t="str">
        <f t="shared" si="226"/>
        <v/>
      </c>
      <c r="O159" s="43" t="str">
        <f t="shared" si="226"/>
        <v/>
      </c>
      <c r="P159" s="43" t="str">
        <f t="shared" si="226"/>
        <v/>
      </c>
      <c r="Q159" s="43" t="str">
        <f t="shared" si="226"/>
        <v/>
      </c>
      <c r="S159" s="43" t="str">
        <f t="shared" si="198"/>
        <v>amine</v>
      </c>
      <c r="T159" s="43" t="str">
        <f t="shared" ref="T159:AH160" si="227">IF(BD76&gt;0,T$117,"")</f>
        <v/>
      </c>
      <c r="U159" s="43" t="str">
        <f t="shared" si="227"/>
        <v/>
      </c>
      <c r="V159" s="43" t="str">
        <f t="shared" si="227"/>
        <v/>
      </c>
      <c r="W159" s="43" t="str">
        <f t="shared" si="227"/>
        <v/>
      </c>
      <c r="X159" s="43" t="str">
        <f t="shared" si="227"/>
        <v/>
      </c>
      <c r="Y159" s="43" t="str">
        <f t="shared" si="227"/>
        <v/>
      </c>
      <c r="Z159" s="43" t="str">
        <f t="shared" si="227"/>
        <v/>
      </c>
      <c r="AA159" s="43" t="str">
        <f t="shared" si="227"/>
        <v/>
      </c>
      <c r="AB159" s="43" t="str">
        <f t="shared" si="227"/>
        <v/>
      </c>
      <c r="AC159" s="43" t="str">
        <f t="shared" si="227"/>
        <v/>
      </c>
      <c r="AD159" s="43" t="str">
        <f t="shared" si="227"/>
        <v/>
      </c>
      <c r="AE159" s="43" t="str">
        <f t="shared" si="227"/>
        <v/>
      </c>
      <c r="AF159" s="43" t="str">
        <f t="shared" si="227"/>
        <v/>
      </c>
      <c r="AG159" s="43" t="str">
        <f t="shared" si="227"/>
        <v/>
      </c>
      <c r="AH159" s="43" t="str">
        <f t="shared" si="227"/>
        <v/>
      </c>
    </row>
    <row r="160" spans="2:34" x14ac:dyDescent="0.25">
      <c r="B160" s="43" t="str">
        <f t="shared" si="196"/>
        <v>cmino</v>
      </c>
      <c r="C160" s="43" t="str">
        <f t="shared" si="226"/>
        <v/>
      </c>
      <c r="D160" s="43" t="str">
        <f t="shared" si="226"/>
        <v/>
      </c>
      <c r="E160" s="43" t="str">
        <f t="shared" si="226"/>
        <v/>
      </c>
      <c r="F160" s="43" t="str">
        <f t="shared" si="226"/>
        <v/>
      </c>
      <c r="G160" s="43" t="str">
        <f t="shared" si="226"/>
        <v/>
      </c>
      <c r="H160" s="43" t="str">
        <f t="shared" si="226"/>
        <v/>
      </c>
      <c r="I160" s="43" t="str">
        <f t="shared" si="226"/>
        <v/>
      </c>
      <c r="J160" s="43" t="str">
        <f t="shared" si="226"/>
        <v/>
      </c>
      <c r="K160" s="43" t="str">
        <f t="shared" si="226"/>
        <v/>
      </c>
      <c r="L160" s="43" t="str">
        <f t="shared" si="226"/>
        <v/>
      </c>
      <c r="M160" s="43" t="str">
        <f t="shared" si="226"/>
        <v/>
      </c>
      <c r="N160" s="43" t="str">
        <f t="shared" si="226"/>
        <v/>
      </c>
      <c r="O160" s="43" t="str">
        <f t="shared" si="226"/>
        <v/>
      </c>
      <c r="P160" s="43" t="str">
        <f t="shared" si="226"/>
        <v/>
      </c>
      <c r="Q160" s="43" t="str">
        <f t="shared" si="226"/>
        <v/>
      </c>
      <c r="S160" s="43" t="str">
        <f t="shared" si="198"/>
        <v>amino</v>
      </c>
      <c r="T160" s="43" t="str">
        <f t="shared" si="227"/>
        <v/>
      </c>
      <c r="U160" s="43" t="str">
        <f t="shared" si="227"/>
        <v/>
      </c>
      <c r="V160" s="43" t="str">
        <f t="shared" si="227"/>
        <v/>
      </c>
      <c r="W160" s="43" t="str">
        <f t="shared" si="227"/>
        <v/>
      </c>
      <c r="X160" s="43" t="str">
        <f t="shared" si="227"/>
        <v/>
      </c>
      <c r="Y160" s="43" t="str">
        <f t="shared" si="227"/>
        <v/>
      </c>
      <c r="Z160" s="43" t="str">
        <f t="shared" si="227"/>
        <v/>
      </c>
      <c r="AA160" s="43" t="str">
        <f t="shared" si="227"/>
        <v/>
      </c>
      <c r="AB160" s="43" t="str">
        <f t="shared" si="227"/>
        <v/>
      </c>
      <c r="AC160" s="43" t="str">
        <f t="shared" si="227"/>
        <v/>
      </c>
      <c r="AD160" s="43" t="str">
        <f t="shared" si="227"/>
        <v/>
      </c>
      <c r="AE160" s="43" t="str">
        <f t="shared" si="227"/>
        <v/>
      </c>
      <c r="AF160" s="43" t="str">
        <f t="shared" si="227"/>
        <v/>
      </c>
      <c r="AG160" s="43" t="str">
        <f t="shared" si="227"/>
        <v/>
      </c>
      <c r="AH160" s="43" t="str">
        <f t="shared" si="227"/>
        <v/>
      </c>
    </row>
    <row r="161" spans="2:34" x14ac:dyDescent="0.25">
      <c r="B161" s="43" t="str">
        <f t="shared" si="196"/>
        <v>cwood</v>
      </c>
      <c r="C161" s="43">
        <f t="shared" ref="C161:Q168" si="228">IF(AM78&gt;0,T$118,"")</f>
        <v>1.2077155199250216</v>
      </c>
      <c r="D161" s="43">
        <f t="shared" si="228"/>
        <v>1.2147904969162069</v>
      </c>
      <c r="E161" s="43">
        <f t="shared" si="228"/>
        <v>1.1772184720461318</v>
      </c>
      <c r="F161" s="43">
        <f t="shared" si="228"/>
        <v>1.1159148133561756</v>
      </c>
      <c r="G161" s="43">
        <f t="shared" si="228"/>
        <v>1.0204099142159762</v>
      </c>
      <c r="H161" s="43">
        <f t="shared" si="228"/>
        <v>1.2520605429502178</v>
      </c>
      <c r="I161" s="43">
        <f t="shared" si="228"/>
        <v>1.1962239761879154</v>
      </c>
      <c r="J161" s="43">
        <f t="shared" si="228"/>
        <v>1.1727521671956587</v>
      </c>
      <c r="K161" s="43">
        <f t="shared" si="228"/>
        <v>1.1323142191801947</v>
      </c>
      <c r="L161" s="43">
        <f t="shared" si="228"/>
        <v>1.0299764477266513</v>
      </c>
      <c r="M161" s="43">
        <f t="shared" si="228"/>
        <v>1.240947448307449</v>
      </c>
      <c r="N161" s="43">
        <f t="shared" si="228"/>
        <v>1.2154449207357383</v>
      </c>
      <c r="O161" s="43">
        <f t="shared" si="228"/>
        <v>1.1458067995756112</v>
      </c>
      <c r="P161" s="43">
        <f t="shared" si="228"/>
        <v>1.1025251819978714</v>
      </c>
      <c r="Q161" s="43">
        <f t="shared" si="228"/>
        <v>1.0131366537431494</v>
      </c>
      <c r="S161" s="43" t="str">
        <f t="shared" si="198"/>
        <v>awood</v>
      </c>
      <c r="T161" s="43" t="str">
        <f t="shared" ref="T161:AH168" si="229">IF(BD78&gt;0,T$118,"")</f>
        <v/>
      </c>
      <c r="U161" s="43" t="str">
        <f t="shared" si="229"/>
        <v/>
      </c>
      <c r="V161" s="43" t="str">
        <f t="shared" si="229"/>
        <v/>
      </c>
      <c r="W161" s="43" t="str">
        <f t="shared" si="229"/>
        <v/>
      </c>
      <c r="X161" s="43" t="str">
        <f t="shared" si="229"/>
        <v/>
      </c>
      <c r="Y161" s="43" t="str">
        <f t="shared" si="229"/>
        <v/>
      </c>
      <c r="Z161" s="43" t="str">
        <f t="shared" si="229"/>
        <v/>
      </c>
      <c r="AA161" s="43" t="str">
        <f t="shared" si="229"/>
        <v/>
      </c>
      <c r="AB161" s="43" t="str">
        <f t="shared" si="229"/>
        <v/>
      </c>
      <c r="AC161" s="43" t="str">
        <f t="shared" si="229"/>
        <v/>
      </c>
      <c r="AD161" s="43" t="str">
        <f t="shared" si="229"/>
        <v/>
      </c>
      <c r="AE161" s="43" t="str">
        <f t="shared" si="229"/>
        <v/>
      </c>
      <c r="AF161" s="43" t="str">
        <f t="shared" si="229"/>
        <v/>
      </c>
      <c r="AG161" s="43" t="str">
        <f t="shared" si="229"/>
        <v/>
      </c>
      <c r="AH161" s="43" t="str">
        <f t="shared" si="229"/>
        <v/>
      </c>
    </row>
    <row r="162" spans="2:34" x14ac:dyDescent="0.25">
      <c r="B162" s="43" t="str">
        <f t="shared" si="196"/>
        <v>cpetr</v>
      </c>
      <c r="C162" s="43">
        <f t="shared" si="228"/>
        <v>1.2077155199250216</v>
      </c>
      <c r="D162" s="43">
        <f t="shared" si="228"/>
        <v>1.2147904969162069</v>
      </c>
      <c r="E162" s="43">
        <f t="shared" si="228"/>
        <v>1.1772184720461318</v>
      </c>
      <c r="F162" s="43">
        <f t="shared" si="228"/>
        <v>1.1159148133561756</v>
      </c>
      <c r="G162" s="43">
        <f t="shared" si="228"/>
        <v>1.0204099142159762</v>
      </c>
      <c r="H162" s="43">
        <f t="shared" si="228"/>
        <v>1.2520605429502178</v>
      </c>
      <c r="I162" s="43">
        <f t="shared" si="228"/>
        <v>1.1962239761879154</v>
      </c>
      <c r="J162" s="43">
        <f t="shared" si="228"/>
        <v>1.1727521671956587</v>
      </c>
      <c r="K162" s="43">
        <f t="shared" si="228"/>
        <v>1.1323142191801947</v>
      </c>
      <c r="L162" s="43">
        <f t="shared" si="228"/>
        <v>1.0299764477266513</v>
      </c>
      <c r="M162" s="43">
        <f t="shared" si="228"/>
        <v>1.240947448307449</v>
      </c>
      <c r="N162" s="43">
        <f t="shared" si="228"/>
        <v>1.2154449207357383</v>
      </c>
      <c r="O162" s="43">
        <f t="shared" si="228"/>
        <v>1.1458067995756112</v>
      </c>
      <c r="P162" s="43">
        <f t="shared" si="228"/>
        <v>1.1025251819978714</v>
      </c>
      <c r="Q162" s="43">
        <f t="shared" si="228"/>
        <v>1.0131366537431494</v>
      </c>
      <c r="S162" s="43" t="str">
        <f t="shared" si="198"/>
        <v>apetr</v>
      </c>
      <c r="T162" s="43" t="str">
        <f t="shared" si="229"/>
        <v/>
      </c>
      <c r="U162" s="43" t="str">
        <f t="shared" si="229"/>
        <v/>
      </c>
      <c r="V162" s="43" t="str">
        <f t="shared" si="229"/>
        <v/>
      </c>
      <c r="W162" s="43" t="str">
        <f t="shared" si="229"/>
        <v/>
      </c>
      <c r="X162" s="43" t="str">
        <f t="shared" si="229"/>
        <v/>
      </c>
      <c r="Y162" s="43" t="str">
        <f t="shared" si="229"/>
        <v/>
      </c>
      <c r="Z162" s="43" t="str">
        <f t="shared" si="229"/>
        <v/>
      </c>
      <c r="AA162" s="43" t="str">
        <f t="shared" si="229"/>
        <v/>
      </c>
      <c r="AB162" s="43" t="str">
        <f t="shared" si="229"/>
        <v/>
      </c>
      <c r="AC162" s="43" t="str">
        <f t="shared" si="229"/>
        <v/>
      </c>
      <c r="AD162" s="43" t="str">
        <f t="shared" si="229"/>
        <v/>
      </c>
      <c r="AE162" s="43" t="str">
        <f t="shared" si="229"/>
        <v/>
      </c>
      <c r="AF162" s="43" t="str">
        <f t="shared" si="229"/>
        <v/>
      </c>
      <c r="AG162" s="43" t="str">
        <f t="shared" si="229"/>
        <v/>
      </c>
      <c r="AH162" s="43" t="str">
        <f t="shared" si="229"/>
        <v/>
      </c>
    </row>
    <row r="163" spans="2:34" x14ac:dyDescent="0.25">
      <c r="B163" s="43" t="str">
        <f t="shared" si="196"/>
        <v>cfert</v>
      </c>
      <c r="C163" s="43" t="str">
        <f t="shared" si="228"/>
        <v/>
      </c>
      <c r="D163" s="43" t="str">
        <f t="shared" si="228"/>
        <v/>
      </c>
      <c r="E163" s="43" t="str">
        <f t="shared" si="228"/>
        <v/>
      </c>
      <c r="F163" s="43" t="str">
        <f t="shared" si="228"/>
        <v/>
      </c>
      <c r="G163" s="43" t="str">
        <f t="shared" si="228"/>
        <v/>
      </c>
      <c r="H163" s="43" t="str">
        <f t="shared" si="228"/>
        <v/>
      </c>
      <c r="I163" s="43" t="str">
        <f t="shared" si="228"/>
        <v/>
      </c>
      <c r="J163" s="43" t="str">
        <f t="shared" si="228"/>
        <v/>
      </c>
      <c r="K163" s="43" t="str">
        <f t="shared" si="228"/>
        <v/>
      </c>
      <c r="L163" s="43" t="str">
        <f t="shared" si="228"/>
        <v/>
      </c>
      <c r="M163" s="43" t="str">
        <f t="shared" si="228"/>
        <v/>
      </c>
      <c r="N163" s="43" t="str">
        <f t="shared" si="228"/>
        <v/>
      </c>
      <c r="O163" s="43" t="str">
        <f t="shared" si="228"/>
        <v/>
      </c>
      <c r="P163" s="43" t="str">
        <f t="shared" si="228"/>
        <v/>
      </c>
      <c r="Q163" s="43" t="str">
        <f t="shared" si="228"/>
        <v/>
      </c>
      <c r="S163" s="43" t="str">
        <f t="shared" si="198"/>
        <v>afert</v>
      </c>
      <c r="T163" s="43" t="str">
        <f t="shared" si="229"/>
        <v/>
      </c>
      <c r="U163" s="43" t="str">
        <f t="shared" si="229"/>
        <v/>
      </c>
      <c r="V163" s="43" t="str">
        <f t="shared" si="229"/>
        <v/>
      </c>
      <c r="W163" s="43" t="str">
        <f t="shared" si="229"/>
        <v/>
      </c>
      <c r="X163" s="43" t="str">
        <f t="shared" si="229"/>
        <v/>
      </c>
      <c r="Y163" s="43" t="str">
        <f t="shared" si="229"/>
        <v/>
      </c>
      <c r="Z163" s="43" t="str">
        <f t="shared" si="229"/>
        <v/>
      </c>
      <c r="AA163" s="43" t="str">
        <f t="shared" si="229"/>
        <v/>
      </c>
      <c r="AB163" s="43" t="str">
        <f t="shared" si="229"/>
        <v/>
      </c>
      <c r="AC163" s="43" t="str">
        <f t="shared" si="229"/>
        <v/>
      </c>
      <c r="AD163" s="43" t="str">
        <f t="shared" si="229"/>
        <v/>
      </c>
      <c r="AE163" s="43" t="str">
        <f t="shared" si="229"/>
        <v/>
      </c>
      <c r="AF163" s="43" t="str">
        <f t="shared" si="229"/>
        <v/>
      </c>
      <c r="AG163" s="43" t="str">
        <f t="shared" si="229"/>
        <v/>
      </c>
      <c r="AH163" s="43" t="str">
        <f t="shared" si="229"/>
        <v/>
      </c>
    </row>
    <row r="164" spans="2:34" x14ac:dyDescent="0.25">
      <c r="B164" s="43" t="str">
        <f t="shared" si="196"/>
        <v>cchem</v>
      </c>
      <c r="C164" s="43">
        <f t="shared" si="228"/>
        <v>1.2077155199250216</v>
      </c>
      <c r="D164" s="43">
        <f t="shared" si="228"/>
        <v>1.2147904969162069</v>
      </c>
      <c r="E164" s="43">
        <f t="shared" si="228"/>
        <v>1.1772184720461318</v>
      </c>
      <c r="F164" s="43">
        <f t="shared" si="228"/>
        <v>1.1159148133561756</v>
      </c>
      <c r="G164" s="43">
        <f t="shared" si="228"/>
        <v>1.0204099142159762</v>
      </c>
      <c r="H164" s="43">
        <f t="shared" si="228"/>
        <v>1.2520605429502178</v>
      </c>
      <c r="I164" s="43">
        <f t="shared" si="228"/>
        <v>1.1962239761879154</v>
      </c>
      <c r="J164" s="43">
        <f t="shared" si="228"/>
        <v>1.1727521671956587</v>
      </c>
      <c r="K164" s="43">
        <f t="shared" si="228"/>
        <v>1.1323142191801947</v>
      </c>
      <c r="L164" s="43">
        <f t="shared" si="228"/>
        <v>1.0299764477266513</v>
      </c>
      <c r="M164" s="43">
        <f t="shared" si="228"/>
        <v>1.240947448307449</v>
      </c>
      <c r="N164" s="43">
        <f t="shared" si="228"/>
        <v>1.2154449207357383</v>
      </c>
      <c r="O164" s="43">
        <f t="shared" si="228"/>
        <v>1.1458067995756112</v>
      </c>
      <c r="P164" s="43">
        <f t="shared" si="228"/>
        <v>1.1025251819978714</v>
      </c>
      <c r="Q164" s="43">
        <f t="shared" si="228"/>
        <v>1.0131366537431494</v>
      </c>
      <c r="S164" s="43" t="str">
        <f t="shared" si="198"/>
        <v>achem</v>
      </c>
      <c r="T164" s="43" t="str">
        <f t="shared" si="229"/>
        <v/>
      </c>
      <c r="U164" s="43" t="str">
        <f t="shared" si="229"/>
        <v/>
      </c>
      <c r="V164" s="43" t="str">
        <f t="shared" si="229"/>
        <v/>
      </c>
      <c r="W164" s="43" t="str">
        <f t="shared" si="229"/>
        <v/>
      </c>
      <c r="X164" s="43" t="str">
        <f t="shared" si="229"/>
        <v/>
      </c>
      <c r="Y164" s="43" t="str">
        <f t="shared" si="229"/>
        <v/>
      </c>
      <c r="Z164" s="43" t="str">
        <f t="shared" si="229"/>
        <v/>
      </c>
      <c r="AA164" s="43" t="str">
        <f t="shared" si="229"/>
        <v/>
      </c>
      <c r="AB164" s="43" t="str">
        <f t="shared" si="229"/>
        <v/>
      </c>
      <c r="AC164" s="43" t="str">
        <f t="shared" si="229"/>
        <v/>
      </c>
      <c r="AD164" s="43" t="str">
        <f t="shared" si="229"/>
        <v/>
      </c>
      <c r="AE164" s="43" t="str">
        <f t="shared" si="229"/>
        <v/>
      </c>
      <c r="AF164" s="43" t="str">
        <f t="shared" si="229"/>
        <v/>
      </c>
      <c r="AG164" s="43" t="str">
        <f t="shared" si="229"/>
        <v/>
      </c>
      <c r="AH164" s="43" t="str">
        <f t="shared" si="229"/>
        <v/>
      </c>
    </row>
    <row r="165" spans="2:34" x14ac:dyDescent="0.25">
      <c r="B165" s="43" t="str">
        <f t="shared" si="196"/>
        <v>cnmet</v>
      </c>
      <c r="C165" s="43">
        <f t="shared" si="228"/>
        <v>1.2077155199250216</v>
      </c>
      <c r="D165" s="43">
        <f t="shared" si="228"/>
        <v>1.2147904969162069</v>
      </c>
      <c r="E165" s="43">
        <f t="shared" si="228"/>
        <v>1.1772184720461318</v>
      </c>
      <c r="F165" s="43">
        <f t="shared" si="228"/>
        <v>1.1159148133561756</v>
      </c>
      <c r="G165" s="43">
        <f t="shared" si="228"/>
        <v>1.0204099142159762</v>
      </c>
      <c r="H165" s="43">
        <f t="shared" si="228"/>
        <v>1.2520605429502178</v>
      </c>
      <c r="I165" s="43">
        <f t="shared" si="228"/>
        <v>1.1962239761879154</v>
      </c>
      <c r="J165" s="43">
        <f t="shared" si="228"/>
        <v>1.1727521671956587</v>
      </c>
      <c r="K165" s="43">
        <f t="shared" si="228"/>
        <v>1.1323142191801947</v>
      </c>
      <c r="L165" s="43">
        <f t="shared" si="228"/>
        <v>1.0299764477266513</v>
      </c>
      <c r="M165" s="43">
        <f t="shared" si="228"/>
        <v>1.240947448307449</v>
      </c>
      <c r="N165" s="43">
        <f t="shared" si="228"/>
        <v>1.2154449207357383</v>
      </c>
      <c r="O165" s="43">
        <f t="shared" si="228"/>
        <v>1.1458067995756112</v>
      </c>
      <c r="P165" s="43">
        <f t="shared" si="228"/>
        <v>1.1025251819978714</v>
      </c>
      <c r="Q165" s="43">
        <f t="shared" si="228"/>
        <v>1.0131366537431494</v>
      </c>
      <c r="S165" s="43" t="str">
        <f t="shared" si="198"/>
        <v>anmet</v>
      </c>
      <c r="T165" s="43" t="str">
        <f t="shared" si="229"/>
        <v/>
      </c>
      <c r="U165" s="43" t="str">
        <f t="shared" si="229"/>
        <v/>
      </c>
      <c r="V165" s="43" t="str">
        <f t="shared" si="229"/>
        <v/>
      </c>
      <c r="W165" s="43" t="str">
        <f t="shared" si="229"/>
        <v/>
      </c>
      <c r="X165" s="43" t="str">
        <f t="shared" si="229"/>
        <v/>
      </c>
      <c r="Y165" s="43" t="str">
        <f t="shared" si="229"/>
        <v/>
      </c>
      <c r="Z165" s="43" t="str">
        <f t="shared" si="229"/>
        <v/>
      </c>
      <c r="AA165" s="43" t="str">
        <f t="shared" si="229"/>
        <v/>
      </c>
      <c r="AB165" s="43" t="str">
        <f t="shared" si="229"/>
        <v/>
      </c>
      <c r="AC165" s="43" t="str">
        <f t="shared" si="229"/>
        <v/>
      </c>
      <c r="AD165" s="43" t="str">
        <f t="shared" si="229"/>
        <v/>
      </c>
      <c r="AE165" s="43" t="str">
        <f t="shared" si="229"/>
        <v/>
      </c>
      <c r="AF165" s="43" t="str">
        <f t="shared" si="229"/>
        <v/>
      </c>
      <c r="AG165" s="43" t="str">
        <f t="shared" si="229"/>
        <v/>
      </c>
      <c r="AH165" s="43" t="str">
        <f t="shared" si="229"/>
        <v/>
      </c>
    </row>
    <row r="166" spans="2:34" x14ac:dyDescent="0.25">
      <c r="B166" s="43" t="str">
        <f t="shared" si="196"/>
        <v>cmetl</v>
      </c>
      <c r="C166" s="43">
        <f t="shared" si="228"/>
        <v>1.2077155199250216</v>
      </c>
      <c r="D166" s="43">
        <f t="shared" si="228"/>
        <v>1.2147904969162069</v>
      </c>
      <c r="E166" s="43">
        <f t="shared" si="228"/>
        <v>1.1772184720461318</v>
      </c>
      <c r="F166" s="43">
        <f t="shared" si="228"/>
        <v>1.1159148133561756</v>
      </c>
      <c r="G166" s="43">
        <f t="shared" si="228"/>
        <v>1.0204099142159762</v>
      </c>
      <c r="H166" s="43">
        <f t="shared" si="228"/>
        <v>1.2520605429502178</v>
      </c>
      <c r="I166" s="43">
        <f t="shared" si="228"/>
        <v>1.1962239761879154</v>
      </c>
      <c r="J166" s="43">
        <f t="shared" si="228"/>
        <v>1.1727521671956587</v>
      </c>
      <c r="K166" s="43">
        <f t="shared" si="228"/>
        <v>1.1323142191801947</v>
      </c>
      <c r="L166" s="43">
        <f t="shared" si="228"/>
        <v>1.0299764477266513</v>
      </c>
      <c r="M166" s="43">
        <f t="shared" si="228"/>
        <v>1.240947448307449</v>
      </c>
      <c r="N166" s="43">
        <f t="shared" si="228"/>
        <v>1.2154449207357383</v>
      </c>
      <c r="O166" s="43">
        <f t="shared" si="228"/>
        <v>1.1458067995756112</v>
      </c>
      <c r="P166" s="43">
        <f t="shared" si="228"/>
        <v>1.1025251819978714</v>
      </c>
      <c r="Q166" s="43">
        <f t="shared" si="228"/>
        <v>1.0131366537431494</v>
      </c>
      <c r="S166" s="43" t="str">
        <f t="shared" si="198"/>
        <v>ametl</v>
      </c>
      <c r="T166" s="43" t="str">
        <f t="shared" si="229"/>
        <v/>
      </c>
      <c r="U166" s="43" t="str">
        <f t="shared" si="229"/>
        <v/>
      </c>
      <c r="V166" s="43" t="str">
        <f t="shared" si="229"/>
        <v/>
      </c>
      <c r="W166" s="43" t="str">
        <f t="shared" si="229"/>
        <v/>
      </c>
      <c r="X166" s="43" t="str">
        <f t="shared" si="229"/>
        <v/>
      </c>
      <c r="Y166" s="43" t="str">
        <f t="shared" si="229"/>
        <v/>
      </c>
      <c r="Z166" s="43" t="str">
        <f t="shared" si="229"/>
        <v/>
      </c>
      <c r="AA166" s="43" t="str">
        <f t="shared" si="229"/>
        <v/>
      </c>
      <c r="AB166" s="43" t="str">
        <f t="shared" si="229"/>
        <v/>
      </c>
      <c r="AC166" s="43" t="str">
        <f t="shared" si="229"/>
        <v/>
      </c>
      <c r="AD166" s="43" t="str">
        <f t="shared" si="229"/>
        <v/>
      </c>
      <c r="AE166" s="43" t="str">
        <f t="shared" si="229"/>
        <v/>
      </c>
      <c r="AF166" s="43" t="str">
        <f t="shared" si="229"/>
        <v/>
      </c>
      <c r="AG166" s="43" t="str">
        <f t="shared" si="229"/>
        <v/>
      </c>
      <c r="AH166" s="43" t="str">
        <f t="shared" si="229"/>
        <v/>
      </c>
    </row>
    <row r="167" spans="2:34" x14ac:dyDescent="0.25">
      <c r="B167" s="43" t="str">
        <f t="shared" si="196"/>
        <v>cmach</v>
      </c>
      <c r="C167" s="43">
        <f t="shared" si="228"/>
        <v>1.2077155199250216</v>
      </c>
      <c r="D167" s="43">
        <f t="shared" si="228"/>
        <v>1.2147904969162069</v>
      </c>
      <c r="E167" s="43">
        <f t="shared" si="228"/>
        <v>1.1772184720461318</v>
      </c>
      <c r="F167" s="43">
        <f t="shared" si="228"/>
        <v>1.1159148133561756</v>
      </c>
      <c r="G167" s="43">
        <f t="shared" si="228"/>
        <v>1.0204099142159762</v>
      </c>
      <c r="H167" s="43">
        <f t="shared" si="228"/>
        <v>1.2520605429502178</v>
      </c>
      <c r="I167" s="43">
        <f t="shared" si="228"/>
        <v>1.1962239761879154</v>
      </c>
      <c r="J167" s="43">
        <f t="shared" si="228"/>
        <v>1.1727521671956587</v>
      </c>
      <c r="K167" s="43">
        <f t="shared" si="228"/>
        <v>1.1323142191801947</v>
      </c>
      <c r="L167" s="43">
        <f t="shared" si="228"/>
        <v>1.0299764477266513</v>
      </c>
      <c r="M167" s="43">
        <f t="shared" si="228"/>
        <v>1.240947448307449</v>
      </c>
      <c r="N167" s="43">
        <f t="shared" si="228"/>
        <v>1.2154449207357383</v>
      </c>
      <c r="O167" s="43">
        <f t="shared" si="228"/>
        <v>1.1458067995756112</v>
      </c>
      <c r="P167" s="43">
        <f t="shared" si="228"/>
        <v>1.1025251819978714</v>
      </c>
      <c r="Q167" s="43">
        <f t="shared" si="228"/>
        <v>1.0131366537431494</v>
      </c>
      <c r="S167" s="43" t="str">
        <f t="shared" si="198"/>
        <v>amach</v>
      </c>
      <c r="T167" s="43" t="str">
        <f t="shared" si="229"/>
        <v/>
      </c>
      <c r="U167" s="43" t="str">
        <f t="shared" si="229"/>
        <v/>
      </c>
      <c r="V167" s="43" t="str">
        <f t="shared" si="229"/>
        <v/>
      </c>
      <c r="W167" s="43" t="str">
        <f t="shared" si="229"/>
        <v/>
      </c>
      <c r="X167" s="43" t="str">
        <f t="shared" si="229"/>
        <v/>
      </c>
      <c r="Y167" s="43" t="str">
        <f t="shared" si="229"/>
        <v/>
      </c>
      <c r="Z167" s="43" t="str">
        <f t="shared" si="229"/>
        <v/>
      </c>
      <c r="AA167" s="43" t="str">
        <f t="shared" si="229"/>
        <v/>
      </c>
      <c r="AB167" s="43" t="str">
        <f t="shared" si="229"/>
        <v/>
      </c>
      <c r="AC167" s="43" t="str">
        <f t="shared" si="229"/>
        <v/>
      </c>
      <c r="AD167" s="43" t="str">
        <f t="shared" si="229"/>
        <v/>
      </c>
      <c r="AE167" s="43" t="str">
        <f t="shared" si="229"/>
        <v/>
      </c>
      <c r="AF167" s="43" t="str">
        <f t="shared" si="229"/>
        <v/>
      </c>
      <c r="AG167" s="43" t="str">
        <f t="shared" si="229"/>
        <v/>
      </c>
      <c r="AH167" s="43" t="str">
        <f t="shared" si="229"/>
        <v/>
      </c>
    </row>
    <row r="168" spans="2:34" x14ac:dyDescent="0.25">
      <c r="B168" s="52" t="str">
        <f t="shared" si="196"/>
        <v>coman</v>
      </c>
      <c r="C168" s="52">
        <f t="shared" si="228"/>
        <v>1.2077155199250216</v>
      </c>
      <c r="D168" s="52">
        <f t="shared" si="228"/>
        <v>1.2147904969162069</v>
      </c>
      <c r="E168" s="52">
        <f t="shared" si="228"/>
        <v>1.1772184720461318</v>
      </c>
      <c r="F168" s="52">
        <f t="shared" si="228"/>
        <v>1.1159148133561756</v>
      </c>
      <c r="G168" s="52">
        <f t="shared" si="228"/>
        <v>1.0204099142159762</v>
      </c>
      <c r="H168" s="52">
        <f t="shared" si="228"/>
        <v>1.2520605429502178</v>
      </c>
      <c r="I168" s="52">
        <f t="shared" si="228"/>
        <v>1.1962239761879154</v>
      </c>
      <c r="J168" s="52">
        <f t="shared" si="228"/>
        <v>1.1727521671956587</v>
      </c>
      <c r="K168" s="52">
        <f t="shared" si="228"/>
        <v>1.1323142191801947</v>
      </c>
      <c r="L168" s="52">
        <f t="shared" si="228"/>
        <v>1.0299764477266513</v>
      </c>
      <c r="M168" s="52">
        <f t="shared" si="228"/>
        <v>1.240947448307449</v>
      </c>
      <c r="N168" s="52">
        <f t="shared" si="228"/>
        <v>1.2154449207357383</v>
      </c>
      <c r="O168" s="52">
        <f t="shared" si="228"/>
        <v>1.1458067995756112</v>
      </c>
      <c r="P168" s="52">
        <f t="shared" si="228"/>
        <v>1.1025251819978714</v>
      </c>
      <c r="Q168" s="52">
        <f t="shared" si="228"/>
        <v>1.0131366537431494</v>
      </c>
      <c r="S168" s="52" t="str">
        <f t="shared" si="198"/>
        <v>aoman</v>
      </c>
      <c r="T168" s="52" t="str">
        <f t="shared" si="229"/>
        <v/>
      </c>
      <c r="U168" s="52" t="str">
        <f t="shared" si="229"/>
        <v/>
      </c>
      <c r="V168" s="52" t="str">
        <f t="shared" si="229"/>
        <v/>
      </c>
      <c r="W168" s="52" t="str">
        <f t="shared" si="229"/>
        <v/>
      </c>
      <c r="X168" s="52" t="str">
        <f t="shared" si="229"/>
        <v/>
      </c>
      <c r="Y168" s="52" t="str">
        <f t="shared" si="229"/>
        <v/>
      </c>
      <c r="Z168" s="52" t="str">
        <f t="shared" si="229"/>
        <v/>
      </c>
      <c r="AA168" s="52" t="str">
        <f t="shared" si="229"/>
        <v/>
      </c>
      <c r="AB168" s="52" t="str">
        <f t="shared" si="229"/>
        <v/>
      </c>
      <c r="AC168" s="52" t="str">
        <f t="shared" si="229"/>
        <v/>
      </c>
      <c r="AD168" s="52" t="str">
        <f t="shared" si="229"/>
        <v/>
      </c>
      <c r="AE168" s="52" t="str">
        <f t="shared" si="229"/>
        <v/>
      </c>
      <c r="AF168" s="52" t="str">
        <f t="shared" si="229"/>
        <v/>
      </c>
      <c r="AG168" s="52" t="str">
        <f t="shared" si="229"/>
        <v/>
      </c>
      <c r="AH168" s="52" t="str">
        <f t="shared" si="229"/>
        <v/>
      </c>
    </row>
    <row r="169" spans="2:34" x14ac:dyDescent="0.25">
      <c r="B169" s="55" t="str">
        <f t="shared" si="196"/>
        <v>ccons</v>
      </c>
      <c r="C169" s="55">
        <f t="shared" ref="C169:Q169" si="230">IF(AM86&gt;0,T$119,"")</f>
        <v>1.2077155199250216</v>
      </c>
      <c r="D169" s="55">
        <f t="shared" si="230"/>
        <v>1.2147904969162069</v>
      </c>
      <c r="E169" s="55">
        <f t="shared" si="230"/>
        <v>1.1772184720461318</v>
      </c>
      <c r="F169" s="55">
        <f t="shared" si="230"/>
        <v>1.1159148133561756</v>
      </c>
      <c r="G169" s="55">
        <f t="shared" si="230"/>
        <v>1.0204099142159762</v>
      </c>
      <c r="H169" s="55">
        <f t="shared" si="230"/>
        <v>1.2520605429502178</v>
      </c>
      <c r="I169" s="55">
        <f t="shared" si="230"/>
        <v>1.1962239761879154</v>
      </c>
      <c r="J169" s="55">
        <f t="shared" si="230"/>
        <v>1.1727521671956587</v>
      </c>
      <c r="K169" s="55">
        <f t="shared" si="230"/>
        <v>1.1323142191801947</v>
      </c>
      <c r="L169" s="55">
        <f t="shared" si="230"/>
        <v>1.0299764477266513</v>
      </c>
      <c r="M169" s="55">
        <f t="shared" si="230"/>
        <v>1.240947448307449</v>
      </c>
      <c r="N169" s="55">
        <f t="shared" si="230"/>
        <v>1.2154449207357383</v>
      </c>
      <c r="O169" s="55">
        <f t="shared" si="230"/>
        <v>1.1458067995756112</v>
      </c>
      <c r="P169" s="55">
        <f t="shared" si="230"/>
        <v>1.1025251819978714</v>
      </c>
      <c r="Q169" s="55">
        <f t="shared" si="230"/>
        <v>1.0131366537431494</v>
      </c>
      <c r="S169" s="55" t="str">
        <f t="shared" si="198"/>
        <v>acons</v>
      </c>
      <c r="T169" s="55" t="str">
        <f t="shared" ref="T169:AH169" si="231">IF(BD86&gt;0,T$119,"")</f>
        <v/>
      </c>
      <c r="U169" s="55" t="str">
        <f t="shared" si="231"/>
        <v/>
      </c>
      <c r="V169" s="55" t="str">
        <f t="shared" si="231"/>
        <v/>
      </c>
      <c r="W169" s="55" t="str">
        <f t="shared" si="231"/>
        <v/>
      </c>
      <c r="X169" s="55" t="str">
        <f t="shared" si="231"/>
        <v/>
      </c>
      <c r="Y169" s="55" t="str">
        <f t="shared" si="231"/>
        <v/>
      </c>
      <c r="Z169" s="55" t="str">
        <f t="shared" si="231"/>
        <v/>
      </c>
      <c r="AA169" s="55" t="str">
        <f t="shared" si="231"/>
        <v/>
      </c>
      <c r="AB169" s="55" t="str">
        <f t="shared" si="231"/>
        <v/>
      </c>
      <c r="AC169" s="55" t="str">
        <f t="shared" si="231"/>
        <v/>
      </c>
      <c r="AD169" s="55" t="str">
        <f t="shared" si="231"/>
        <v/>
      </c>
      <c r="AE169" s="55" t="str">
        <f t="shared" si="231"/>
        <v/>
      </c>
      <c r="AF169" s="55" t="str">
        <f t="shared" si="231"/>
        <v/>
      </c>
      <c r="AG169" s="55" t="str">
        <f t="shared" si="231"/>
        <v/>
      </c>
      <c r="AH169" s="55" t="str">
        <f t="shared" si="231"/>
        <v/>
      </c>
    </row>
    <row r="170" spans="2:34" x14ac:dyDescent="0.25">
      <c r="B170" s="58" t="str">
        <f t="shared" si="196"/>
        <v>chotl</v>
      </c>
      <c r="C170" s="58">
        <f t="shared" ref="C170:Q171" si="232">IF(AM87&gt;0,T$120,"")</f>
        <v>1.2077155199250216</v>
      </c>
      <c r="D170" s="58">
        <f t="shared" si="232"/>
        <v>1.2147904969162069</v>
      </c>
      <c r="E170" s="58">
        <f t="shared" si="232"/>
        <v>1.1772184720461318</v>
      </c>
      <c r="F170" s="58">
        <f t="shared" si="232"/>
        <v>1.1159148133561756</v>
      </c>
      <c r="G170" s="58">
        <f t="shared" si="232"/>
        <v>1.0204099142159762</v>
      </c>
      <c r="H170" s="58">
        <f t="shared" si="232"/>
        <v>1.2520605429502178</v>
      </c>
      <c r="I170" s="58">
        <f t="shared" si="232"/>
        <v>1.1962239761879154</v>
      </c>
      <c r="J170" s="58">
        <f t="shared" si="232"/>
        <v>1.1727521671956587</v>
      </c>
      <c r="K170" s="58">
        <f t="shared" si="232"/>
        <v>1.1323142191801947</v>
      </c>
      <c r="L170" s="58">
        <f t="shared" si="232"/>
        <v>1.0299764477266513</v>
      </c>
      <c r="M170" s="58">
        <f t="shared" si="232"/>
        <v>1.240947448307449</v>
      </c>
      <c r="N170" s="58">
        <f t="shared" si="232"/>
        <v>1.2154449207357383</v>
      </c>
      <c r="O170" s="58">
        <f t="shared" si="232"/>
        <v>1.1458067995756112</v>
      </c>
      <c r="P170" s="58">
        <f t="shared" si="232"/>
        <v>1.1025251819978714</v>
      </c>
      <c r="Q170" s="58">
        <f t="shared" si="232"/>
        <v>1.0131366537431494</v>
      </c>
      <c r="S170" s="58" t="str">
        <f t="shared" si="198"/>
        <v>ahotl</v>
      </c>
      <c r="T170" s="58" t="str">
        <f t="shared" ref="T170:AH171" si="233">IF(BD87&gt;0,T$120,"")</f>
        <v/>
      </c>
      <c r="U170" s="58" t="str">
        <f t="shared" si="233"/>
        <v/>
      </c>
      <c r="V170" s="58" t="str">
        <f t="shared" si="233"/>
        <v/>
      </c>
      <c r="W170" s="58" t="str">
        <f t="shared" si="233"/>
        <v/>
      </c>
      <c r="X170" s="58" t="str">
        <f t="shared" si="233"/>
        <v/>
      </c>
      <c r="Y170" s="58" t="str">
        <f t="shared" si="233"/>
        <v/>
      </c>
      <c r="Z170" s="58" t="str">
        <f t="shared" si="233"/>
        <v/>
      </c>
      <c r="AA170" s="58" t="str">
        <f t="shared" si="233"/>
        <v/>
      </c>
      <c r="AB170" s="58" t="str">
        <f t="shared" si="233"/>
        <v/>
      </c>
      <c r="AC170" s="58" t="str">
        <f t="shared" si="233"/>
        <v/>
      </c>
      <c r="AD170" s="58" t="str">
        <f t="shared" si="233"/>
        <v/>
      </c>
      <c r="AE170" s="58" t="str">
        <f t="shared" si="233"/>
        <v/>
      </c>
      <c r="AF170" s="58" t="str">
        <f t="shared" si="233"/>
        <v/>
      </c>
      <c r="AG170" s="58" t="str">
        <f t="shared" si="233"/>
        <v/>
      </c>
      <c r="AH170" s="58" t="str">
        <f t="shared" si="233"/>
        <v/>
      </c>
    </row>
    <row r="171" spans="2:34" x14ac:dyDescent="0.25">
      <c r="B171" s="52" t="str">
        <f t="shared" si="196"/>
        <v>crest</v>
      </c>
      <c r="C171" s="52">
        <f t="shared" si="232"/>
        <v>1.2077155199250216</v>
      </c>
      <c r="D171" s="52">
        <f t="shared" si="232"/>
        <v>1.2147904969162069</v>
      </c>
      <c r="E171" s="52">
        <f t="shared" si="232"/>
        <v>1.1772184720461318</v>
      </c>
      <c r="F171" s="52">
        <f t="shared" si="232"/>
        <v>1.1159148133561756</v>
      </c>
      <c r="G171" s="52">
        <f t="shared" si="232"/>
        <v>1.0204099142159762</v>
      </c>
      <c r="H171" s="52">
        <f t="shared" si="232"/>
        <v>1.2520605429502178</v>
      </c>
      <c r="I171" s="52">
        <f t="shared" si="232"/>
        <v>1.1962239761879154</v>
      </c>
      <c r="J171" s="52">
        <f t="shared" si="232"/>
        <v>1.1727521671956587</v>
      </c>
      <c r="K171" s="52">
        <f t="shared" si="232"/>
        <v>1.1323142191801947</v>
      </c>
      <c r="L171" s="52">
        <f t="shared" si="232"/>
        <v>1.0299764477266513</v>
      </c>
      <c r="M171" s="52">
        <f t="shared" si="232"/>
        <v>1.240947448307449</v>
      </c>
      <c r="N171" s="52">
        <f t="shared" si="232"/>
        <v>1.2154449207357383</v>
      </c>
      <c r="O171" s="52">
        <f t="shared" si="232"/>
        <v>1.1458067995756112</v>
      </c>
      <c r="P171" s="52">
        <f t="shared" si="232"/>
        <v>1.1025251819978714</v>
      </c>
      <c r="Q171" s="52">
        <f t="shared" si="232"/>
        <v>1.0131366537431494</v>
      </c>
      <c r="S171" s="52" t="str">
        <f t="shared" si="198"/>
        <v>arest</v>
      </c>
      <c r="T171" s="52" t="str">
        <f t="shared" si="233"/>
        <v/>
      </c>
      <c r="U171" s="52" t="str">
        <f t="shared" si="233"/>
        <v/>
      </c>
      <c r="V171" s="52" t="str">
        <f t="shared" si="233"/>
        <v/>
      </c>
      <c r="W171" s="52" t="str">
        <f t="shared" si="233"/>
        <v/>
      </c>
      <c r="X171" s="52" t="str">
        <f t="shared" si="233"/>
        <v/>
      </c>
      <c r="Y171" s="52" t="str">
        <f t="shared" si="233"/>
        <v/>
      </c>
      <c r="Z171" s="52" t="str">
        <f t="shared" si="233"/>
        <v/>
      </c>
      <c r="AA171" s="52" t="str">
        <f t="shared" si="233"/>
        <v/>
      </c>
      <c r="AB171" s="52" t="str">
        <f t="shared" si="233"/>
        <v/>
      </c>
      <c r="AC171" s="52" t="str">
        <f t="shared" si="233"/>
        <v/>
      </c>
      <c r="AD171" s="52" t="str">
        <f t="shared" si="233"/>
        <v/>
      </c>
      <c r="AE171" s="52" t="str">
        <f t="shared" si="233"/>
        <v/>
      </c>
      <c r="AF171" s="52" t="str">
        <f t="shared" si="233"/>
        <v/>
      </c>
      <c r="AG171" s="52" t="str">
        <f t="shared" si="233"/>
        <v/>
      </c>
      <c r="AH171" s="52" t="str">
        <f t="shared" si="233"/>
        <v/>
      </c>
    </row>
    <row r="172" spans="2:34" x14ac:dyDescent="0.25">
      <c r="B172" s="58" t="str">
        <f t="shared" si="196"/>
        <v>ctrad</v>
      </c>
      <c r="C172" s="58">
        <f t="shared" ref="C172:Q174" si="234">IF(AM89&gt;0,T$121,"")</f>
        <v>1.2077155199250216</v>
      </c>
      <c r="D172" s="58">
        <f t="shared" si="234"/>
        <v>1.2147904969162069</v>
      </c>
      <c r="E172" s="58">
        <f t="shared" si="234"/>
        <v>1.1772184720461318</v>
      </c>
      <c r="F172" s="58">
        <f t="shared" si="234"/>
        <v>1.1159148133561756</v>
      </c>
      <c r="G172" s="58">
        <f t="shared" si="234"/>
        <v>1.0204099142159762</v>
      </c>
      <c r="H172" s="58">
        <f t="shared" si="234"/>
        <v>1.2520605429502178</v>
      </c>
      <c r="I172" s="58">
        <f t="shared" si="234"/>
        <v>1.1962239761879154</v>
      </c>
      <c r="J172" s="58">
        <f t="shared" si="234"/>
        <v>1.1727521671956587</v>
      </c>
      <c r="K172" s="58">
        <f t="shared" si="234"/>
        <v>1.1323142191801947</v>
      </c>
      <c r="L172" s="58">
        <f t="shared" si="234"/>
        <v>1.0299764477266513</v>
      </c>
      <c r="M172" s="58">
        <f t="shared" si="234"/>
        <v>1.240947448307449</v>
      </c>
      <c r="N172" s="58">
        <f t="shared" si="234"/>
        <v>1.2154449207357383</v>
      </c>
      <c r="O172" s="58">
        <f t="shared" si="234"/>
        <v>1.1458067995756112</v>
      </c>
      <c r="P172" s="58">
        <f t="shared" si="234"/>
        <v>1.1025251819978714</v>
      </c>
      <c r="Q172" s="58">
        <f t="shared" si="234"/>
        <v>1.0131366537431494</v>
      </c>
      <c r="S172" s="58" t="str">
        <f t="shared" si="198"/>
        <v>atrad</v>
      </c>
      <c r="T172" s="58" t="str">
        <f t="shared" ref="T172:AH174" si="235">IF(BD89&gt;0,T$121,"")</f>
        <v/>
      </c>
      <c r="U172" s="58" t="str">
        <f t="shared" si="235"/>
        <v/>
      </c>
      <c r="V172" s="58" t="str">
        <f t="shared" si="235"/>
        <v/>
      </c>
      <c r="W172" s="58" t="str">
        <f t="shared" si="235"/>
        <v/>
      </c>
      <c r="X172" s="58" t="str">
        <f t="shared" si="235"/>
        <v/>
      </c>
      <c r="Y172" s="58" t="str">
        <f t="shared" si="235"/>
        <v/>
      </c>
      <c r="Z172" s="58" t="str">
        <f t="shared" si="235"/>
        <v/>
      </c>
      <c r="AA172" s="58" t="str">
        <f t="shared" si="235"/>
        <v/>
      </c>
      <c r="AB172" s="58" t="str">
        <f t="shared" si="235"/>
        <v/>
      </c>
      <c r="AC172" s="58" t="str">
        <f t="shared" si="235"/>
        <v/>
      </c>
      <c r="AD172" s="58" t="str">
        <f t="shared" si="235"/>
        <v/>
      </c>
      <c r="AE172" s="58" t="str">
        <f t="shared" si="235"/>
        <v/>
      </c>
      <c r="AF172" s="58" t="str">
        <f t="shared" si="235"/>
        <v/>
      </c>
      <c r="AG172" s="58" t="str">
        <f t="shared" si="235"/>
        <v/>
      </c>
      <c r="AH172" s="58" t="str">
        <f t="shared" si="235"/>
        <v/>
      </c>
    </row>
    <row r="173" spans="2:34" x14ac:dyDescent="0.25">
      <c r="B173" s="43" t="str">
        <f t="shared" si="196"/>
        <v>ctran</v>
      </c>
      <c r="C173" s="43">
        <f t="shared" si="234"/>
        <v>1.2077155199250216</v>
      </c>
      <c r="D173" s="43">
        <f t="shared" si="234"/>
        <v>1.2147904969162069</v>
      </c>
      <c r="E173" s="43">
        <f t="shared" si="234"/>
        <v>1.1772184720461318</v>
      </c>
      <c r="F173" s="43">
        <f t="shared" si="234"/>
        <v>1.1159148133561756</v>
      </c>
      <c r="G173" s="43">
        <f t="shared" si="234"/>
        <v>1.0204099142159762</v>
      </c>
      <c r="H173" s="43">
        <f t="shared" si="234"/>
        <v>1.2520605429502178</v>
      </c>
      <c r="I173" s="43">
        <f t="shared" si="234"/>
        <v>1.1962239761879154</v>
      </c>
      <c r="J173" s="43">
        <f t="shared" si="234"/>
        <v>1.1727521671956587</v>
      </c>
      <c r="K173" s="43">
        <f t="shared" si="234"/>
        <v>1.1323142191801947</v>
      </c>
      <c r="L173" s="43">
        <f t="shared" si="234"/>
        <v>1.0299764477266513</v>
      </c>
      <c r="M173" s="43">
        <f t="shared" si="234"/>
        <v>1.240947448307449</v>
      </c>
      <c r="N173" s="43">
        <f t="shared" si="234"/>
        <v>1.2154449207357383</v>
      </c>
      <c r="O173" s="43">
        <f t="shared" si="234"/>
        <v>1.1458067995756112</v>
      </c>
      <c r="P173" s="43">
        <f t="shared" si="234"/>
        <v>1.1025251819978714</v>
      </c>
      <c r="Q173" s="43">
        <f t="shared" si="234"/>
        <v>1.0131366537431494</v>
      </c>
      <c r="S173" s="43" t="str">
        <f t="shared" si="198"/>
        <v>atran</v>
      </c>
      <c r="T173" s="43" t="str">
        <f t="shared" si="235"/>
        <v/>
      </c>
      <c r="U173" s="43" t="str">
        <f t="shared" si="235"/>
        <v/>
      </c>
      <c r="V173" s="43" t="str">
        <f t="shared" si="235"/>
        <v/>
      </c>
      <c r="W173" s="43" t="str">
        <f t="shared" si="235"/>
        <v/>
      </c>
      <c r="X173" s="43" t="str">
        <f t="shared" si="235"/>
        <v/>
      </c>
      <c r="Y173" s="43" t="str">
        <f t="shared" si="235"/>
        <v/>
      </c>
      <c r="Z173" s="43" t="str">
        <f t="shared" si="235"/>
        <v/>
      </c>
      <c r="AA173" s="43" t="str">
        <f t="shared" si="235"/>
        <v/>
      </c>
      <c r="AB173" s="43" t="str">
        <f t="shared" si="235"/>
        <v/>
      </c>
      <c r="AC173" s="43" t="str">
        <f t="shared" si="235"/>
        <v/>
      </c>
      <c r="AD173" s="43" t="str">
        <f t="shared" si="235"/>
        <v/>
      </c>
      <c r="AE173" s="43" t="str">
        <f t="shared" si="235"/>
        <v/>
      </c>
      <c r="AF173" s="43" t="str">
        <f t="shared" si="235"/>
        <v/>
      </c>
      <c r="AG173" s="43" t="str">
        <f t="shared" si="235"/>
        <v/>
      </c>
      <c r="AH173" s="43" t="str">
        <f t="shared" si="235"/>
        <v/>
      </c>
    </row>
    <row r="174" spans="2:34" x14ac:dyDescent="0.25">
      <c r="B174" s="52" t="str">
        <f t="shared" si="196"/>
        <v>ccomm</v>
      </c>
      <c r="C174" s="52">
        <f t="shared" si="234"/>
        <v>1.2077155199250216</v>
      </c>
      <c r="D174" s="52">
        <f t="shared" si="234"/>
        <v>1.2147904969162069</v>
      </c>
      <c r="E174" s="52">
        <f t="shared" si="234"/>
        <v>1.1772184720461318</v>
      </c>
      <c r="F174" s="52">
        <f t="shared" si="234"/>
        <v>1.1159148133561756</v>
      </c>
      <c r="G174" s="52">
        <f t="shared" si="234"/>
        <v>1.0204099142159762</v>
      </c>
      <c r="H174" s="52">
        <f t="shared" si="234"/>
        <v>1.2520605429502178</v>
      </c>
      <c r="I174" s="52">
        <f t="shared" si="234"/>
        <v>1.1962239761879154</v>
      </c>
      <c r="J174" s="52">
        <f t="shared" si="234"/>
        <v>1.1727521671956587</v>
      </c>
      <c r="K174" s="52">
        <f t="shared" si="234"/>
        <v>1.1323142191801947</v>
      </c>
      <c r="L174" s="52">
        <f t="shared" si="234"/>
        <v>1.0299764477266513</v>
      </c>
      <c r="M174" s="52">
        <f t="shared" si="234"/>
        <v>1.240947448307449</v>
      </c>
      <c r="N174" s="52">
        <f t="shared" si="234"/>
        <v>1.2154449207357383</v>
      </c>
      <c r="O174" s="52">
        <f t="shared" si="234"/>
        <v>1.1458067995756112</v>
      </c>
      <c r="P174" s="52">
        <f t="shared" si="234"/>
        <v>1.1025251819978714</v>
      </c>
      <c r="Q174" s="52">
        <f t="shared" si="234"/>
        <v>1.0131366537431494</v>
      </c>
      <c r="S174" s="52" t="str">
        <f t="shared" si="198"/>
        <v>acomm</v>
      </c>
      <c r="T174" s="52" t="str">
        <f t="shared" si="235"/>
        <v/>
      </c>
      <c r="U174" s="52" t="str">
        <f t="shared" si="235"/>
        <v/>
      </c>
      <c r="V174" s="52" t="str">
        <f t="shared" si="235"/>
        <v/>
      </c>
      <c r="W174" s="52" t="str">
        <f t="shared" si="235"/>
        <v/>
      </c>
      <c r="X174" s="52" t="str">
        <f t="shared" si="235"/>
        <v/>
      </c>
      <c r="Y174" s="52" t="str">
        <f t="shared" si="235"/>
        <v/>
      </c>
      <c r="Z174" s="52" t="str">
        <f t="shared" si="235"/>
        <v/>
      </c>
      <c r="AA174" s="52" t="str">
        <f t="shared" si="235"/>
        <v/>
      </c>
      <c r="AB174" s="52" t="str">
        <f t="shared" si="235"/>
        <v/>
      </c>
      <c r="AC174" s="52" t="str">
        <f t="shared" si="235"/>
        <v/>
      </c>
      <c r="AD174" s="52" t="str">
        <f t="shared" si="235"/>
        <v/>
      </c>
      <c r="AE174" s="52" t="str">
        <f t="shared" si="235"/>
        <v/>
      </c>
      <c r="AF174" s="52" t="str">
        <f t="shared" si="235"/>
        <v/>
      </c>
      <c r="AG174" s="52" t="str">
        <f t="shared" si="235"/>
        <v/>
      </c>
      <c r="AH174" s="52" t="str">
        <f t="shared" si="235"/>
        <v/>
      </c>
    </row>
    <row r="175" spans="2:34" x14ac:dyDescent="0.25">
      <c r="B175" s="43" t="str">
        <f t="shared" si="196"/>
        <v>cfsrv</v>
      </c>
      <c r="C175" s="43">
        <f t="shared" ref="C175:Q177" si="236">IF(AM92&gt;0,T$122,"")</f>
        <v>1.2077155199250216</v>
      </c>
      <c r="D175" s="43">
        <f t="shared" si="236"/>
        <v>1.2147904969162069</v>
      </c>
      <c r="E175" s="43">
        <f t="shared" si="236"/>
        <v>1.1772184720461318</v>
      </c>
      <c r="F175" s="43">
        <f t="shared" si="236"/>
        <v>1.1159148133561756</v>
      </c>
      <c r="G175" s="43">
        <f t="shared" si="236"/>
        <v>1.0204099142159762</v>
      </c>
      <c r="H175" s="43">
        <f t="shared" si="236"/>
        <v>1.2520605429502178</v>
      </c>
      <c r="I175" s="43">
        <f t="shared" si="236"/>
        <v>1.1962239761879154</v>
      </c>
      <c r="J175" s="43">
        <f t="shared" si="236"/>
        <v>1.1727521671956587</v>
      </c>
      <c r="K175" s="43">
        <f t="shared" si="236"/>
        <v>1.1323142191801947</v>
      </c>
      <c r="L175" s="43">
        <f t="shared" si="236"/>
        <v>1.0299764477266513</v>
      </c>
      <c r="M175" s="43">
        <f t="shared" si="236"/>
        <v>1.240947448307449</v>
      </c>
      <c r="N175" s="43">
        <f t="shared" si="236"/>
        <v>1.2154449207357383</v>
      </c>
      <c r="O175" s="43">
        <f t="shared" si="236"/>
        <v>1.1458067995756112</v>
      </c>
      <c r="P175" s="43">
        <f t="shared" si="236"/>
        <v>1.1025251819978714</v>
      </c>
      <c r="Q175" s="43">
        <f t="shared" si="236"/>
        <v>1.0131366537431494</v>
      </c>
      <c r="S175" s="43" t="str">
        <f t="shared" si="198"/>
        <v>afsrv</v>
      </c>
      <c r="T175" s="43" t="str">
        <f t="shared" ref="T175:AH177" si="237">IF(BD92&gt;0,T$122,"")</f>
        <v/>
      </c>
      <c r="U175" s="43" t="str">
        <f t="shared" si="237"/>
        <v/>
      </c>
      <c r="V175" s="43" t="str">
        <f t="shared" si="237"/>
        <v/>
      </c>
      <c r="W175" s="43" t="str">
        <f t="shared" si="237"/>
        <v/>
      </c>
      <c r="X175" s="43" t="str">
        <f t="shared" si="237"/>
        <v/>
      </c>
      <c r="Y175" s="43" t="str">
        <f t="shared" si="237"/>
        <v/>
      </c>
      <c r="Z175" s="43" t="str">
        <f t="shared" si="237"/>
        <v/>
      </c>
      <c r="AA175" s="43" t="str">
        <f t="shared" si="237"/>
        <v/>
      </c>
      <c r="AB175" s="43" t="str">
        <f t="shared" si="237"/>
        <v/>
      </c>
      <c r="AC175" s="43" t="str">
        <f t="shared" si="237"/>
        <v/>
      </c>
      <c r="AD175" s="43" t="str">
        <f t="shared" si="237"/>
        <v/>
      </c>
      <c r="AE175" s="43" t="str">
        <f t="shared" si="237"/>
        <v/>
      </c>
      <c r="AF175" s="43" t="str">
        <f t="shared" si="237"/>
        <v/>
      </c>
      <c r="AG175" s="43" t="str">
        <f t="shared" si="237"/>
        <v/>
      </c>
      <c r="AH175" s="43" t="str">
        <f t="shared" si="237"/>
        <v/>
      </c>
    </row>
    <row r="176" spans="2:34" x14ac:dyDescent="0.25">
      <c r="B176" s="43" t="str">
        <f t="shared" si="196"/>
        <v>cbsrv</v>
      </c>
      <c r="C176" s="43">
        <f t="shared" si="236"/>
        <v>1.2077155199250216</v>
      </c>
      <c r="D176" s="43">
        <f t="shared" si="236"/>
        <v>1.2147904969162069</v>
      </c>
      <c r="E176" s="43">
        <f t="shared" si="236"/>
        <v>1.1772184720461318</v>
      </c>
      <c r="F176" s="43">
        <f t="shared" si="236"/>
        <v>1.1159148133561756</v>
      </c>
      <c r="G176" s="43">
        <f t="shared" si="236"/>
        <v>1.0204099142159762</v>
      </c>
      <c r="H176" s="43">
        <f t="shared" si="236"/>
        <v>1.2520605429502178</v>
      </c>
      <c r="I176" s="43">
        <f t="shared" si="236"/>
        <v>1.1962239761879154</v>
      </c>
      <c r="J176" s="43">
        <f t="shared" si="236"/>
        <v>1.1727521671956587</v>
      </c>
      <c r="K176" s="43">
        <f t="shared" si="236"/>
        <v>1.1323142191801947</v>
      </c>
      <c r="L176" s="43">
        <f t="shared" si="236"/>
        <v>1.0299764477266513</v>
      </c>
      <c r="M176" s="43">
        <f t="shared" si="236"/>
        <v>1.240947448307449</v>
      </c>
      <c r="N176" s="43">
        <f t="shared" si="236"/>
        <v>1.2154449207357383</v>
      </c>
      <c r="O176" s="43">
        <f t="shared" si="236"/>
        <v>1.1458067995756112</v>
      </c>
      <c r="P176" s="43">
        <f t="shared" si="236"/>
        <v>1.1025251819978714</v>
      </c>
      <c r="Q176" s="43">
        <f t="shared" si="236"/>
        <v>1.0131366537431494</v>
      </c>
      <c r="S176" s="43" t="str">
        <f t="shared" si="198"/>
        <v>absrv</v>
      </c>
      <c r="T176" s="43" t="str">
        <f t="shared" si="237"/>
        <v/>
      </c>
      <c r="U176" s="43" t="str">
        <f t="shared" si="237"/>
        <v/>
      </c>
      <c r="V176" s="43" t="str">
        <f t="shared" si="237"/>
        <v/>
      </c>
      <c r="W176" s="43" t="str">
        <f t="shared" si="237"/>
        <v/>
      </c>
      <c r="X176" s="43" t="str">
        <f t="shared" si="237"/>
        <v/>
      </c>
      <c r="Y176" s="43" t="str">
        <f t="shared" si="237"/>
        <v/>
      </c>
      <c r="Z176" s="43" t="str">
        <f t="shared" si="237"/>
        <v/>
      </c>
      <c r="AA176" s="43" t="str">
        <f t="shared" si="237"/>
        <v/>
      </c>
      <c r="AB176" s="43" t="str">
        <f t="shared" si="237"/>
        <v/>
      </c>
      <c r="AC176" s="43" t="str">
        <f t="shared" si="237"/>
        <v/>
      </c>
      <c r="AD176" s="43" t="str">
        <f t="shared" si="237"/>
        <v/>
      </c>
      <c r="AE176" s="43" t="str">
        <f t="shared" si="237"/>
        <v/>
      </c>
      <c r="AF176" s="43" t="str">
        <f t="shared" si="237"/>
        <v/>
      </c>
      <c r="AG176" s="43" t="str">
        <f t="shared" si="237"/>
        <v/>
      </c>
      <c r="AH176" s="43" t="str">
        <f t="shared" si="237"/>
        <v/>
      </c>
    </row>
    <row r="177" spans="1:34" x14ac:dyDescent="0.25">
      <c r="B177" s="52" t="str">
        <f t="shared" si="196"/>
        <v>cosrv</v>
      </c>
      <c r="C177" s="52">
        <f t="shared" si="236"/>
        <v>1.2077155199250216</v>
      </c>
      <c r="D177" s="52">
        <f t="shared" si="236"/>
        <v>1.2147904969162069</v>
      </c>
      <c r="E177" s="52">
        <f t="shared" si="236"/>
        <v>1.1772184720461318</v>
      </c>
      <c r="F177" s="52">
        <f t="shared" si="236"/>
        <v>1.1159148133561756</v>
      </c>
      <c r="G177" s="52">
        <f t="shared" si="236"/>
        <v>1.0204099142159762</v>
      </c>
      <c r="H177" s="52">
        <f t="shared" si="236"/>
        <v>1.2520605429502178</v>
      </c>
      <c r="I177" s="52">
        <f t="shared" si="236"/>
        <v>1.1962239761879154</v>
      </c>
      <c r="J177" s="52">
        <f t="shared" si="236"/>
        <v>1.1727521671956587</v>
      </c>
      <c r="K177" s="52">
        <f t="shared" si="236"/>
        <v>1.1323142191801947</v>
      </c>
      <c r="L177" s="52">
        <f t="shared" si="236"/>
        <v>1.0299764477266513</v>
      </c>
      <c r="M177" s="52">
        <f t="shared" si="236"/>
        <v>1.240947448307449</v>
      </c>
      <c r="N177" s="52">
        <f t="shared" si="236"/>
        <v>1.2154449207357383</v>
      </c>
      <c r="O177" s="52">
        <f t="shared" si="236"/>
        <v>1.1458067995756112</v>
      </c>
      <c r="P177" s="52">
        <f t="shared" si="236"/>
        <v>1.1025251819978714</v>
      </c>
      <c r="Q177" s="52">
        <f t="shared" si="236"/>
        <v>1.0131366537431494</v>
      </c>
      <c r="S177" s="52" t="str">
        <f t="shared" si="198"/>
        <v>aosrv</v>
      </c>
      <c r="T177" s="52" t="str">
        <f t="shared" si="237"/>
        <v/>
      </c>
      <c r="U177" s="52" t="str">
        <f t="shared" si="237"/>
        <v/>
      </c>
      <c r="V177" s="52" t="str">
        <f t="shared" si="237"/>
        <v/>
      </c>
      <c r="W177" s="52" t="str">
        <f t="shared" si="237"/>
        <v/>
      </c>
      <c r="X177" s="52" t="str">
        <f t="shared" si="237"/>
        <v/>
      </c>
      <c r="Y177" s="52" t="str">
        <f t="shared" si="237"/>
        <v/>
      </c>
      <c r="Z177" s="52" t="str">
        <f t="shared" si="237"/>
        <v/>
      </c>
      <c r="AA177" s="52" t="str">
        <f t="shared" si="237"/>
        <v/>
      </c>
      <c r="AB177" s="52" t="str">
        <f t="shared" si="237"/>
        <v/>
      </c>
      <c r="AC177" s="52" t="str">
        <f t="shared" si="237"/>
        <v/>
      </c>
      <c r="AD177" s="52" t="str">
        <f t="shared" si="237"/>
        <v/>
      </c>
      <c r="AE177" s="52" t="str">
        <f t="shared" si="237"/>
        <v/>
      </c>
      <c r="AF177" s="52" t="str">
        <f t="shared" si="237"/>
        <v/>
      </c>
      <c r="AG177" s="52" t="str">
        <f t="shared" si="237"/>
        <v/>
      </c>
      <c r="AH177" s="52" t="str">
        <f t="shared" si="237"/>
        <v/>
      </c>
    </row>
    <row r="180" spans="1:34" s="34" customFormat="1" x14ac:dyDescent="0.25"/>
    <row r="182" spans="1:34" x14ac:dyDescent="0.25">
      <c r="A182" t="s">
        <v>614</v>
      </c>
    </row>
    <row r="183" spans="1:34" x14ac:dyDescent="0.25">
      <c r="A183" t="s">
        <v>609</v>
      </c>
    </row>
    <row r="184" spans="1:34" x14ac:dyDescent="0.25">
      <c r="A184" s="18"/>
      <c r="B184" s="44" t="s">
        <v>127</v>
      </c>
      <c r="C184" s="30" t="s">
        <v>217</v>
      </c>
      <c r="D184" s="30" t="s">
        <v>218</v>
      </c>
      <c r="E184" s="30" t="s">
        <v>219</v>
      </c>
      <c r="F184" s="30" t="s">
        <v>220</v>
      </c>
      <c r="G184" s="30" t="s">
        <v>221</v>
      </c>
      <c r="H184" s="30" t="s">
        <v>595</v>
      </c>
      <c r="I184" s="30" t="s">
        <v>596</v>
      </c>
      <c r="J184" s="30" t="s">
        <v>597</v>
      </c>
      <c r="K184" s="30" t="s">
        <v>598</v>
      </c>
      <c r="L184" s="30" t="s">
        <v>599</v>
      </c>
      <c r="M184" s="30" t="s">
        <v>222</v>
      </c>
      <c r="N184" s="30" t="s">
        <v>223</v>
      </c>
      <c r="O184" s="30" t="s">
        <v>224</v>
      </c>
      <c r="P184" s="30" t="s">
        <v>225</v>
      </c>
      <c r="Q184" s="30" t="s">
        <v>226</v>
      </c>
    </row>
    <row r="185" spans="1:34" x14ac:dyDescent="0.25">
      <c r="B185" s="33">
        <f>SUM(C185:Q185)</f>
        <v>6698.0715540471083</v>
      </c>
      <c r="C185" s="18">
        <f t="shared" ref="C185:Q185" si="238">U43</f>
        <v>280.86844048057435</v>
      </c>
      <c r="D185" s="18">
        <f t="shared" si="238"/>
        <v>413.3738170040566</v>
      </c>
      <c r="E185" s="18">
        <f t="shared" si="238"/>
        <v>565.21740897508664</v>
      </c>
      <c r="F185" s="18">
        <f t="shared" si="238"/>
        <v>813.09497589584157</v>
      </c>
      <c r="G185" s="18">
        <f t="shared" si="238"/>
        <v>898.81037531122377</v>
      </c>
      <c r="H185" s="18">
        <f t="shared" si="238"/>
        <v>53.579626880952681</v>
      </c>
      <c r="I185" s="18">
        <f t="shared" si="238"/>
        <v>79.914840184947906</v>
      </c>
      <c r="J185" s="18">
        <f t="shared" si="238"/>
        <v>96.737831310038715</v>
      </c>
      <c r="K185" s="18">
        <f t="shared" si="238"/>
        <v>123.41913282499883</v>
      </c>
      <c r="L185" s="18">
        <f t="shared" si="238"/>
        <v>158.11033769464146</v>
      </c>
      <c r="M185" s="18">
        <f t="shared" si="238"/>
        <v>27.984365518667637</v>
      </c>
      <c r="N185" s="18">
        <f t="shared" si="238"/>
        <v>58.223502433208857</v>
      </c>
      <c r="O185" s="18">
        <f t="shared" si="238"/>
        <v>98.820742012291362</v>
      </c>
      <c r="P185" s="18">
        <f t="shared" si="238"/>
        <v>209.66028811187829</v>
      </c>
      <c r="Q185" s="18">
        <f t="shared" si="238"/>
        <v>2820.2558694086997</v>
      </c>
    </row>
    <row r="186" spans="1:34" x14ac:dyDescent="0.25">
      <c r="C186" s="43"/>
    </row>
    <row r="187" spans="1:34" x14ac:dyDescent="0.25">
      <c r="A187" s="69" t="s">
        <v>653</v>
      </c>
      <c r="D187" t="s">
        <v>647</v>
      </c>
      <c r="E187" s="68" t="s">
        <v>648</v>
      </c>
    </row>
    <row r="188" spans="1:34" x14ac:dyDescent="0.25">
      <c r="A188" s="66">
        <f>E188</f>
        <v>899</v>
      </c>
      <c r="D188">
        <f>E188/0.151863382</f>
        <v>5919.794411005545</v>
      </c>
      <c r="E188" s="68">
        <v>899</v>
      </c>
    </row>
    <row r="190" spans="1:34" x14ac:dyDescent="0.25">
      <c r="A190" t="s">
        <v>610</v>
      </c>
    </row>
    <row r="191" spans="1:34" x14ac:dyDescent="0.25">
      <c r="A191" s="18"/>
      <c r="B191" s="44" t="s">
        <v>127</v>
      </c>
      <c r="C191" s="30" t="s">
        <v>217</v>
      </c>
      <c r="D191" s="30" t="s">
        <v>218</v>
      </c>
      <c r="E191" s="30" t="s">
        <v>219</v>
      </c>
      <c r="F191" s="30" t="s">
        <v>220</v>
      </c>
      <c r="G191" s="30" t="s">
        <v>221</v>
      </c>
      <c r="H191" s="30" t="s">
        <v>595</v>
      </c>
      <c r="I191" s="30" t="s">
        <v>596</v>
      </c>
      <c r="J191" s="30" t="s">
        <v>597</v>
      </c>
      <c r="K191" s="30" t="s">
        <v>598</v>
      </c>
      <c r="L191" s="30" t="s">
        <v>599</v>
      </c>
      <c r="M191" s="30" t="s">
        <v>222</v>
      </c>
      <c r="N191" s="30" t="s">
        <v>223</v>
      </c>
      <c r="O191" s="30" t="s">
        <v>224</v>
      </c>
      <c r="P191" s="30" t="s">
        <v>225</v>
      </c>
      <c r="Q191" s="30" t="s">
        <v>226</v>
      </c>
    </row>
    <row r="192" spans="1:34" x14ac:dyDescent="0.25">
      <c r="A192" t="s">
        <v>127</v>
      </c>
      <c r="B192" s="41">
        <f t="shared" ref="B192:Q192" si="239">B185/$A$188</f>
        <v>7.4505801491069059</v>
      </c>
      <c r="C192" s="18">
        <f t="shared" si="239"/>
        <v>0.31242318184713497</v>
      </c>
      <c r="D192" s="18">
        <f t="shared" si="239"/>
        <v>0.45981514683432323</v>
      </c>
      <c r="E192" s="18">
        <f t="shared" si="239"/>
        <v>0.62871791877095284</v>
      </c>
      <c r="F192" s="18">
        <f t="shared" si="239"/>
        <v>0.90444379966167032</v>
      </c>
      <c r="G192" s="18">
        <f t="shared" si="239"/>
        <v>0.99978907153640018</v>
      </c>
      <c r="H192" s="18">
        <f t="shared" si="239"/>
        <v>5.959914002330665E-2</v>
      </c>
      <c r="I192" s="18">
        <f t="shared" si="239"/>
        <v>8.8893036913178985E-2</v>
      </c>
      <c r="J192" s="18">
        <f t="shared" si="239"/>
        <v>0.10760604150171159</v>
      </c>
      <c r="K192" s="18">
        <f t="shared" si="239"/>
        <v>0.13728490859287967</v>
      </c>
      <c r="L192" s="18">
        <f t="shared" si="239"/>
        <v>0.17587356806967905</v>
      </c>
      <c r="M192" s="18">
        <f t="shared" si="239"/>
        <v>3.1128326494624735E-2</v>
      </c>
      <c r="N192" s="18">
        <f t="shared" si="239"/>
        <v>6.4764741305015416E-2</v>
      </c>
      <c r="O192" s="18">
        <f t="shared" si="239"/>
        <v>0.10992296108152542</v>
      </c>
      <c r="P192" s="18">
        <f t="shared" si="239"/>
        <v>0.23321500346148863</v>
      </c>
      <c r="Q192" s="18">
        <f t="shared" si="239"/>
        <v>3.137103303013014</v>
      </c>
    </row>
    <row r="194" spans="1:17" x14ac:dyDescent="0.25">
      <c r="A194" t="s">
        <v>612</v>
      </c>
    </row>
    <row r="195" spans="1:17" x14ac:dyDescent="0.25">
      <c r="A195" s="18"/>
      <c r="B195" s="44" t="s">
        <v>127</v>
      </c>
      <c r="C195" s="30" t="s">
        <v>217</v>
      </c>
      <c r="D195" s="30" t="s">
        <v>218</v>
      </c>
      <c r="E195" s="30" t="s">
        <v>219</v>
      </c>
      <c r="F195" s="30" t="s">
        <v>220</v>
      </c>
      <c r="G195" s="30" t="s">
        <v>221</v>
      </c>
      <c r="H195" s="30" t="s">
        <v>595</v>
      </c>
      <c r="I195" s="30" t="s">
        <v>596</v>
      </c>
      <c r="J195" s="30" t="s">
        <v>597</v>
      </c>
      <c r="K195" s="30" t="s">
        <v>598</v>
      </c>
      <c r="L195" s="30" t="s">
        <v>599</v>
      </c>
      <c r="M195" s="30" t="s">
        <v>222</v>
      </c>
      <c r="N195" s="30" t="s">
        <v>223</v>
      </c>
      <c r="O195" s="30" t="s">
        <v>224</v>
      </c>
      <c r="P195" s="30" t="s">
        <v>225</v>
      </c>
      <c r="Q195" s="30" t="s">
        <v>226</v>
      </c>
    </row>
    <row r="196" spans="1:17" x14ac:dyDescent="0.25">
      <c r="A196" t="s">
        <v>127</v>
      </c>
      <c r="B196" s="33">
        <f>SUM(C196:Q196)</f>
        <v>12794.399999999998</v>
      </c>
      <c r="C196" s="18">
        <f t="array" ref="C196:Q196">TRANSPOSE(Population!B7:B21)</f>
        <v>2353.2240820304864</v>
      </c>
      <c r="D196" s="18">
        <v>2278.0302112470767</v>
      </c>
      <c r="E196" s="18">
        <v>2226.2901192064096</v>
      </c>
      <c r="F196" s="18">
        <v>2087.295676242115</v>
      </c>
      <c r="G196" s="18">
        <v>1112.4641740912098</v>
      </c>
      <c r="H196" s="18">
        <v>140.6635979536866</v>
      </c>
      <c r="I196" s="18">
        <v>155.36594227114844</v>
      </c>
      <c r="J196" s="18">
        <v>173.65446924997465</v>
      </c>
      <c r="K196" s="18">
        <v>182.07504278176665</v>
      </c>
      <c r="L196" s="18">
        <v>398.08407419878381</v>
      </c>
      <c r="M196" s="18">
        <v>65.159362180983237</v>
      </c>
      <c r="N196" s="18">
        <v>126.54763086329761</v>
      </c>
      <c r="O196" s="18">
        <v>158.16996104470596</v>
      </c>
      <c r="P196" s="18">
        <v>289.22243222511537</v>
      </c>
      <c r="Q196" s="18">
        <v>1048.1532244132411</v>
      </c>
    </row>
    <row r="198" spans="1:17" x14ac:dyDescent="0.25">
      <c r="A198" t="s">
        <v>611</v>
      </c>
    </row>
    <row r="199" spans="1:17" x14ac:dyDescent="0.25">
      <c r="A199" s="18"/>
      <c r="B199" s="44" t="s">
        <v>127</v>
      </c>
      <c r="C199" s="30" t="s">
        <v>217</v>
      </c>
      <c r="D199" s="30" t="s">
        <v>218</v>
      </c>
      <c r="E199" s="30" t="s">
        <v>219</v>
      </c>
      <c r="F199" s="30" t="s">
        <v>220</v>
      </c>
      <c r="G199" s="30" t="s">
        <v>221</v>
      </c>
      <c r="H199" s="30" t="s">
        <v>595</v>
      </c>
      <c r="I199" s="30" t="s">
        <v>596</v>
      </c>
      <c r="J199" s="30" t="s">
        <v>597</v>
      </c>
      <c r="K199" s="30" t="s">
        <v>598</v>
      </c>
      <c r="L199" s="30" t="s">
        <v>599</v>
      </c>
      <c r="M199" s="30" t="s">
        <v>222</v>
      </c>
      <c r="N199" s="30" t="s">
        <v>223</v>
      </c>
      <c r="O199" s="30" t="s">
        <v>224</v>
      </c>
      <c r="P199" s="30" t="s">
        <v>225</v>
      </c>
      <c r="Q199" s="30" t="s">
        <v>226</v>
      </c>
    </row>
    <row r="200" spans="1:17" x14ac:dyDescent="0.25">
      <c r="A200" t="s">
        <v>127</v>
      </c>
      <c r="B200" s="70">
        <f t="shared" ref="B200:Q200" si="240">B192*10^9/(B196*1000)</f>
        <v>582.33134411202616</v>
      </c>
      <c r="C200" s="42">
        <f t="shared" si="240"/>
        <v>132.76388943698029</v>
      </c>
      <c r="D200" s="42">
        <f t="shared" si="240"/>
        <v>201.84769480410168</v>
      </c>
      <c r="E200" s="42">
        <f t="shared" si="240"/>
        <v>282.40610392461684</v>
      </c>
      <c r="F200" s="42">
        <f t="shared" si="240"/>
        <v>433.30890297727029</v>
      </c>
      <c r="G200" s="42">
        <f t="shared" si="240"/>
        <v>898.71574727621623</v>
      </c>
      <c r="H200" s="42">
        <f t="shared" si="240"/>
        <v>423.69981210724916</v>
      </c>
      <c r="I200" s="42">
        <f t="shared" si="240"/>
        <v>572.15265851534366</v>
      </c>
      <c r="J200" s="42">
        <f t="shared" si="240"/>
        <v>619.65604436482022</v>
      </c>
      <c r="K200" s="42">
        <f t="shared" si="240"/>
        <v>754.00179231278844</v>
      </c>
      <c r="L200" s="42">
        <f t="shared" si="240"/>
        <v>441.80006051147973</v>
      </c>
      <c r="M200" s="42">
        <f t="shared" si="240"/>
        <v>477.72607730818976</v>
      </c>
      <c r="N200" s="42">
        <f t="shared" si="240"/>
        <v>511.78153919749928</v>
      </c>
      <c r="O200" s="42">
        <f t="shared" si="240"/>
        <v>694.9673652031579</v>
      </c>
      <c r="P200" s="42">
        <f t="shared" si="240"/>
        <v>806.35171230413573</v>
      </c>
      <c r="Q200" s="42">
        <f t="shared" si="240"/>
        <v>2992.9815888981043</v>
      </c>
    </row>
    <row r="202" spans="1:17" x14ac:dyDescent="0.25">
      <c r="A202" s="1"/>
      <c r="B202" s="44" t="s">
        <v>127</v>
      </c>
      <c r="C202" s="44" t="s">
        <v>217</v>
      </c>
      <c r="D202" s="44" t="s">
        <v>218</v>
      </c>
      <c r="E202" s="44" t="s">
        <v>219</v>
      </c>
      <c r="F202" s="44" t="s">
        <v>220</v>
      </c>
      <c r="G202" s="44" t="s">
        <v>221</v>
      </c>
      <c r="H202" s="44" t="s">
        <v>595</v>
      </c>
      <c r="I202" s="44" t="s">
        <v>596</v>
      </c>
      <c r="J202" s="44" t="s">
        <v>597</v>
      </c>
      <c r="K202" s="44" t="s">
        <v>598</v>
      </c>
      <c r="L202" s="44" t="s">
        <v>599</v>
      </c>
      <c r="M202" s="44" t="s">
        <v>222</v>
      </c>
      <c r="N202" s="44" t="s">
        <v>223</v>
      </c>
      <c r="O202" s="44" t="s">
        <v>224</v>
      </c>
      <c r="P202" s="44" t="s">
        <v>225</v>
      </c>
      <c r="Q202" s="44" t="s">
        <v>226</v>
      </c>
    </row>
    <row r="203" spans="1:17" x14ac:dyDescent="0.25">
      <c r="A203" t="s">
        <v>615</v>
      </c>
      <c r="B203" s="43">
        <f t="shared" ref="B203:Q203" si="241">-36*B200^(-0.36)</f>
        <v>-3.6378202886081765</v>
      </c>
      <c r="C203" s="43">
        <f t="shared" si="241"/>
        <v>-6.1943210740743169</v>
      </c>
      <c r="D203" s="43">
        <f t="shared" si="241"/>
        <v>-5.3271378477101115</v>
      </c>
      <c r="E203" s="43">
        <f t="shared" si="241"/>
        <v>-4.7204981548507465</v>
      </c>
      <c r="F203" s="43">
        <f t="shared" si="241"/>
        <v>-4.0462746702099652</v>
      </c>
      <c r="G203" s="43">
        <f t="shared" si="241"/>
        <v>-3.1117052617931633</v>
      </c>
      <c r="H203" s="43">
        <f t="shared" si="241"/>
        <v>-4.0790734268114877</v>
      </c>
      <c r="I203" s="43">
        <f t="shared" si="241"/>
        <v>-3.6609871918460137</v>
      </c>
      <c r="J203" s="43">
        <f t="shared" si="241"/>
        <v>-3.5573635617260777</v>
      </c>
      <c r="K203" s="43">
        <f t="shared" si="241"/>
        <v>-3.3147321806659371</v>
      </c>
      <c r="L203" s="43">
        <f t="shared" si="241"/>
        <v>-4.0181044613248025</v>
      </c>
      <c r="M203" s="43">
        <f t="shared" si="241"/>
        <v>-3.9065922063936758</v>
      </c>
      <c r="N203" s="43">
        <f t="shared" si="241"/>
        <v>-3.8109393658774082</v>
      </c>
      <c r="O203" s="43">
        <f t="shared" si="241"/>
        <v>-3.4134638885310733</v>
      </c>
      <c r="P203" s="43">
        <f t="shared" si="241"/>
        <v>-3.2355914286248835</v>
      </c>
      <c r="Q203" s="43">
        <f t="shared" si="241"/>
        <v>-2.0179251097851845</v>
      </c>
    </row>
    <row r="205" spans="1:17" x14ac:dyDescent="0.25">
      <c r="A205" s="1" t="s">
        <v>654</v>
      </c>
    </row>
    <row r="206" spans="1:17" x14ac:dyDescent="0.25">
      <c r="A206" s="1"/>
      <c r="B206" s="44" t="s">
        <v>127</v>
      </c>
      <c r="C206" s="44" t="s">
        <v>217</v>
      </c>
      <c r="D206" s="44" t="s">
        <v>218</v>
      </c>
      <c r="E206" s="44" t="s">
        <v>219</v>
      </c>
      <c r="F206" s="44" t="s">
        <v>220</v>
      </c>
      <c r="G206" s="44" t="s">
        <v>221</v>
      </c>
      <c r="H206" s="44" t="s">
        <v>595</v>
      </c>
      <c r="I206" s="44" t="s">
        <v>596</v>
      </c>
      <c r="J206" s="44" t="s">
        <v>597</v>
      </c>
      <c r="K206" s="44" t="s">
        <v>598</v>
      </c>
      <c r="L206" s="44" t="s">
        <v>599</v>
      </c>
      <c r="M206" s="44" t="s">
        <v>222</v>
      </c>
      <c r="N206" s="44" t="s">
        <v>223</v>
      </c>
      <c r="O206" s="44" t="s">
        <v>224</v>
      </c>
      <c r="P206" s="44" t="s">
        <v>225</v>
      </c>
      <c r="Q206" s="44" t="s">
        <v>226</v>
      </c>
    </row>
    <row r="207" spans="1:17" x14ac:dyDescent="0.25">
      <c r="A207" t="s">
        <v>652</v>
      </c>
      <c r="B207" s="63">
        <f>-36*B200^(-0.36)</f>
        <v>-3.6378202886081765</v>
      </c>
      <c r="C207" s="63">
        <f t="shared" ref="C207:Q207" si="242">-36*C200^(-0.36)</f>
        <v>-6.1943210740743169</v>
      </c>
      <c r="D207" s="63">
        <f t="shared" si="242"/>
        <v>-5.3271378477101115</v>
      </c>
      <c r="E207" s="63">
        <f t="shared" si="242"/>
        <v>-4.7204981548507465</v>
      </c>
      <c r="F207" s="63">
        <f t="shared" si="242"/>
        <v>-4.0462746702099652</v>
      </c>
      <c r="G207" s="63">
        <f t="shared" si="242"/>
        <v>-3.1117052617931633</v>
      </c>
      <c r="H207" s="63">
        <f t="shared" si="242"/>
        <v>-4.0790734268114877</v>
      </c>
      <c r="I207" s="63">
        <f t="shared" si="242"/>
        <v>-3.6609871918460137</v>
      </c>
      <c r="J207" s="63">
        <f t="shared" si="242"/>
        <v>-3.5573635617260777</v>
      </c>
      <c r="K207" s="63">
        <f t="shared" si="242"/>
        <v>-3.3147321806659371</v>
      </c>
      <c r="L207" s="63">
        <f t="shared" si="242"/>
        <v>-4.0181044613248025</v>
      </c>
      <c r="M207" s="63">
        <f t="shared" si="242"/>
        <v>-3.9065922063936758</v>
      </c>
      <c r="N207" s="63">
        <f t="shared" si="242"/>
        <v>-3.8109393658774082</v>
      </c>
      <c r="O207" s="63">
        <f t="shared" si="242"/>
        <v>-3.4134638885310733</v>
      </c>
      <c r="P207" s="63">
        <f t="shared" si="242"/>
        <v>-3.2355914286248835</v>
      </c>
      <c r="Q207" s="63">
        <f t="shared" si="242"/>
        <v>-2.0179251097851845</v>
      </c>
    </row>
    <row r="208" spans="1:17" x14ac:dyDescent="0.25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</row>
    <row r="209" spans="1:17" x14ac:dyDescent="0.25">
      <c r="B209" s="44" t="s">
        <v>127</v>
      </c>
      <c r="C209" s="44" t="s">
        <v>217</v>
      </c>
      <c r="D209" s="44" t="s">
        <v>218</v>
      </c>
      <c r="E209" s="44" t="s">
        <v>219</v>
      </c>
      <c r="F209" s="44" t="s">
        <v>220</v>
      </c>
      <c r="G209" s="44" t="s">
        <v>221</v>
      </c>
      <c r="H209" s="44" t="s">
        <v>595</v>
      </c>
      <c r="I209" s="44" t="s">
        <v>596</v>
      </c>
      <c r="J209" s="44" t="s">
        <v>597</v>
      </c>
      <c r="K209" s="44" t="s">
        <v>598</v>
      </c>
      <c r="L209" s="44" t="s">
        <v>599</v>
      </c>
      <c r="M209" s="44" t="s">
        <v>222</v>
      </c>
      <c r="N209" s="44" t="s">
        <v>223</v>
      </c>
      <c r="O209" s="44" t="s">
        <v>224</v>
      </c>
      <c r="P209" s="44" t="s">
        <v>225</v>
      </c>
      <c r="Q209" s="44" t="s">
        <v>226</v>
      </c>
    </row>
    <row r="210" spans="1:17" x14ac:dyDescent="0.25">
      <c r="A210" t="s">
        <v>613</v>
      </c>
      <c r="B210" s="60">
        <f t="shared" ref="B210:Q210" si="243">100*-1/B203</f>
        <v>27.488988478389025</v>
      </c>
      <c r="C210" s="43">
        <f t="shared" si="243"/>
        <v>16.143819282881466</v>
      </c>
      <c r="D210" s="43">
        <f t="shared" si="243"/>
        <v>18.771806335551339</v>
      </c>
      <c r="E210" s="43">
        <f t="shared" si="243"/>
        <v>21.184204869827308</v>
      </c>
      <c r="F210" s="43">
        <f t="shared" si="243"/>
        <v>24.714090898532824</v>
      </c>
      <c r="G210" s="43">
        <f t="shared" si="243"/>
        <v>32.136719768367016</v>
      </c>
      <c r="H210" s="43">
        <f t="shared" si="243"/>
        <v>24.515371393588168</v>
      </c>
      <c r="I210" s="43">
        <f t="shared" si="243"/>
        <v>27.31503683561812</v>
      </c>
      <c r="J210" s="43">
        <f t="shared" si="243"/>
        <v>28.11070565738823</v>
      </c>
      <c r="K210" s="43">
        <f t="shared" si="243"/>
        <v>30.16834982424124</v>
      </c>
      <c r="L210" s="43">
        <f t="shared" si="243"/>
        <v>24.887356952145829</v>
      </c>
      <c r="M210" s="43">
        <f t="shared" si="243"/>
        <v>25.597757512631148</v>
      </c>
      <c r="N210" s="43">
        <f t="shared" si="243"/>
        <v>26.240249555105841</v>
      </c>
      <c r="O210" s="43">
        <f t="shared" si="243"/>
        <v>29.295754478607744</v>
      </c>
      <c r="P210" s="43">
        <f t="shared" si="243"/>
        <v>30.906250744550803</v>
      </c>
      <c r="Q210" s="43">
        <f t="shared" si="243"/>
        <v>49.555852947706946</v>
      </c>
    </row>
    <row r="211" spans="1:17" x14ac:dyDescent="0.25">
      <c r="A211" t="s">
        <v>651</v>
      </c>
      <c r="B211" s="60">
        <f t="shared" ref="B211" si="244">100-B210</f>
        <v>72.511011521610982</v>
      </c>
      <c r="C211" s="60">
        <f t="shared" ref="C211:Q211" si="245">100-C210</f>
        <v>83.856180717118534</v>
      </c>
      <c r="D211" s="60">
        <f t="shared" si="245"/>
        <v>81.228193664448668</v>
      </c>
      <c r="E211" s="60">
        <f t="shared" si="245"/>
        <v>78.815795130172688</v>
      </c>
      <c r="F211" s="60">
        <f t="shared" si="245"/>
        <v>75.285909101467183</v>
      </c>
      <c r="G211" s="60">
        <f t="shared" si="245"/>
        <v>67.863280231632984</v>
      </c>
      <c r="H211" s="60">
        <f t="shared" si="245"/>
        <v>75.484628606411832</v>
      </c>
      <c r="I211" s="60">
        <f t="shared" si="245"/>
        <v>72.684963164381884</v>
      </c>
      <c r="J211" s="60">
        <f t="shared" si="245"/>
        <v>71.889294342611777</v>
      </c>
      <c r="K211" s="60">
        <f t="shared" si="245"/>
        <v>69.831650175758767</v>
      </c>
      <c r="L211" s="60">
        <f t="shared" si="245"/>
        <v>75.112643047854164</v>
      </c>
      <c r="M211" s="60">
        <f t="shared" si="245"/>
        <v>74.402242487368852</v>
      </c>
      <c r="N211" s="60">
        <f t="shared" si="245"/>
        <v>73.759750444894166</v>
      </c>
      <c r="O211" s="60">
        <f t="shared" si="245"/>
        <v>70.704245521392252</v>
      </c>
      <c r="P211" s="60">
        <f t="shared" si="245"/>
        <v>69.093749255449197</v>
      </c>
      <c r="Q211" s="60">
        <f t="shared" si="245"/>
        <v>50.444147052293054</v>
      </c>
    </row>
    <row r="213" spans="1:17" s="34" customFormat="1" x14ac:dyDescent="0.25"/>
    <row r="215" spans="1:17" x14ac:dyDescent="0.25">
      <c r="A215" t="s">
        <v>650</v>
      </c>
    </row>
    <row r="216" spans="1:17" x14ac:dyDescent="0.25">
      <c r="C216" s="181" t="s">
        <v>606</v>
      </c>
      <c r="D216" s="181"/>
      <c r="E216" s="181"/>
      <c r="F216" s="181"/>
      <c r="G216" s="182"/>
      <c r="H216" s="180" t="s">
        <v>607</v>
      </c>
      <c r="I216" s="181"/>
      <c r="J216" s="181"/>
      <c r="K216" s="181"/>
      <c r="L216" s="182"/>
      <c r="M216" s="181" t="s">
        <v>468</v>
      </c>
      <c r="N216" s="181"/>
      <c r="O216" s="181"/>
      <c r="P216" s="181"/>
      <c r="Q216" s="181"/>
    </row>
    <row r="217" spans="1:17" x14ac:dyDescent="0.25">
      <c r="A217" s="85"/>
      <c r="B217" s="39"/>
      <c r="C217" s="35" t="s">
        <v>217</v>
      </c>
      <c r="D217" s="35" t="s">
        <v>218</v>
      </c>
      <c r="E217" s="35" t="s">
        <v>219</v>
      </c>
      <c r="F217" s="35" t="s">
        <v>220</v>
      </c>
      <c r="G217" s="36" t="s">
        <v>221</v>
      </c>
      <c r="H217" s="37" t="s">
        <v>595</v>
      </c>
      <c r="I217" s="35" t="s">
        <v>596</v>
      </c>
      <c r="J217" s="35" t="s">
        <v>597</v>
      </c>
      <c r="K217" s="35" t="s">
        <v>598</v>
      </c>
      <c r="L217" s="36" t="s">
        <v>599</v>
      </c>
      <c r="M217" s="35" t="s">
        <v>222</v>
      </c>
      <c r="N217" s="35" t="s">
        <v>223</v>
      </c>
      <c r="O217" s="35" t="s">
        <v>224</v>
      </c>
      <c r="P217" s="35" t="s">
        <v>225</v>
      </c>
      <c r="Q217" s="35" t="s">
        <v>226</v>
      </c>
    </row>
    <row r="218" spans="1:17" x14ac:dyDescent="0.25">
      <c r="A218" s="91" t="str">
        <f t="shared" ref="A218:A230" si="246">S102</f>
        <v>given</v>
      </c>
      <c r="B218" s="92" t="s">
        <v>616</v>
      </c>
      <c r="C218" s="93">
        <f t="shared" ref="C218:Q218" si="247">IF(C19&gt;0, 100*(C19+C102/C$203)/C19,"")</f>
        <v>91.92809035855926</v>
      </c>
      <c r="D218" s="93">
        <f t="shared" si="247"/>
        <v>90.614096832224334</v>
      </c>
      <c r="E218" s="93">
        <f t="shared" si="247"/>
        <v>89.407897565086344</v>
      </c>
      <c r="F218" s="93">
        <f t="shared" si="247"/>
        <v>87.642954550733592</v>
      </c>
      <c r="G218" s="94">
        <f t="shared" si="247"/>
        <v>83.931640115816492</v>
      </c>
      <c r="H218" s="95">
        <f t="shared" si="247"/>
        <v>87.742314303205916</v>
      </c>
      <c r="I218" s="93">
        <f t="shared" si="247"/>
        <v>86.342481582190942</v>
      </c>
      <c r="J218" s="93">
        <f t="shared" si="247"/>
        <v>85.944647171305874</v>
      </c>
      <c r="K218" s="93">
        <f t="shared" si="247"/>
        <v>84.915825087879384</v>
      </c>
      <c r="L218" s="94">
        <f t="shared" si="247"/>
        <v>87.556321523927082</v>
      </c>
      <c r="M218" s="93">
        <f t="shared" si="247"/>
        <v>87.201121243684426</v>
      </c>
      <c r="N218" s="93">
        <f t="shared" si="247"/>
        <v>86.879875222447083</v>
      </c>
      <c r="O218" s="93">
        <f t="shared" si="247"/>
        <v>85.352122760696133</v>
      </c>
      <c r="P218" s="93">
        <f t="shared" si="247"/>
        <v>84.546874627724605</v>
      </c>
      <c r="Q218" s="93">
        <f t="shared" si="247"/>
        <v>75.222073526146531</v>
      </c>
    </row>
    <row r="219" spans="1:17" x14ac:dyDescent="0.25">
      <c r="A219" s="91" t="str">
        <f t="shared" si="246"/>
        <v>given</v>
      </c>
      <c r="B219" s="92" t="s">
        <v>618</v>
      </c>
      <c r="C219" s="93">
        <f t="shared" ref="C219:Q219" si="248">IF(C20&gt;0, 100*(C20+C103/C$203)/C20,"")</f>
        <v>91.92809035855926</v>
      </c>
      <c r="D219" s="93">
        <f t="shared" si="248"/>
        <v>90.61409683222432</v>
      </c>
      <c r="E219" s="93">
        <f t="shared" si="248"/>
        <v>89.407897565086344</v>
      </c>
      <c r="F219" s="93">
        <f t="shared" si="248"/>
        <v>87.642954550733592</v>
      </c>
      <c r="G219" s="94">
        <f t="shared" si="248"/>
        <v>83.931640115816492</v>
      </c>
      <c r="H219" s="95">
        <f t="shared" si="248"/>
        <v>87.742314303205916</v>
      </c>
      <c r="I219" s="93">
        <f t="shared" si="248"/>
        <v>86.342481582190942</v>
      </c>
      <c r="J219" s="93">
        <f t="shared" si="248"/>
        <v>85.944647171305874</v>
      </c>
      <c r="K219" s="93">
        <f t="shared" si="248"/>
        <v>84.915825087879384</v>
      </c>
      <c r="L219" s="94">
        <f t="shared" si="248"/>
        <v>87.556321523927096</v>
      </c>
      <c r="M219" s="93">
        <f t="shared" si="248"/>
        <v>87.201121243684426</v>
      </c>
      <c r="N219" s="93">
        <f t="shared" si="248"/>
        <v>86.879875222447083</v>
      </c>
      <c r="O219" s="93">
        <f t="shared" si="248"/>
        <v>85.352122760696119</v>
      </c>
      <c r="P219" s="93">
        <f t="shared" si="248"/>
        <v>84.546874627724605</v>
      </c>
      <c r="Q219" s="93">
        <f t="shared" si="248"/>
        <v>75.222073526146531</v>
      </c>
    </row>
    <row r="220" spans="1:17" x14ac:dyDescent="0.25">
      <c r="A220" s="91" t="str">
        <f t="shared" si="246"/>
        <v>given</v>
      </c>
      <c r="B220" s="92" t="s">
        <v>617</v>
      </c>
      <c r="C220" s="93">
        <f t="shared" ref="C220:Q220" si="249">IF(C21&gt;0, 100*(C21+C104/C$203)/C21,"")</f>
        <v>87.084944573694827</v>
      </c>
      <c r="D220" s="93">
        <f t="shared" si="249"/>
        <v>84.982554931558923</v>
      </c>
      <c r="E220" s="93">
        <f t="shared" si="249"/>
        <v>83.052636104138159</v>
      </c>
      <c r="F220" s="93">
        <f t="shared" si="249"/>
        <v>80.228727281173747</v>
      </c>
      <c r="G220" s="94">
        <f t="shared" si="249"/>
        <v>74.290624185306385</v>
      </c>
      <c r="H220" s="95">
        <f t="shared" si="249"/>
        <v>80.387702885129471</v>
      </c>
      <c r="I220" s="93">
        <f t="shared" si="249"/>
        <v>78.147970531505521</v>
      </c>
      <c r="J220" s="93">
        <f t="shared" si="249"/>
        <v>77.51143547408941</v>
      </c>
      <c r="K220" s="93">
        <f t="shared" si="249"/>
        <v>75.865320140607011</v>
      </c>
      <c r="L220" s="94">
        <f t="shared" si="249"/>
        <v>80.090114438283337</v>
      </c>
      <c r="M220" s="93">
        <f t="shared" si="249"/>
        <v>79.521793989895087</v>
      </c>
      <c r="N220" s="93">
        <f t="shared" si="249"/>
        <v>79.007800355915322</v>
      </c>
      <c r="O220" s="93">
        <f t="shared" si="249"/>
        <v>76.563396417113793</v>
      </c>
      <c r="P220" s="93">
        <f t="shared" si="249"/>
        <v>75.274999404359349</v>
      </c>
      <c r="Q220" s="93">
        <f t="shared" si="249"/>
        <v>60.355317641834439</v>
      </c>
    </row>
    <row r="221" spans="1:17" x14ac:dyDescent="0.25">
      <c r="A221" s="91" t="str">
        <f t="shared" si="246"/>
        <v>given</v>
      </c>
      <c r="B221" s="92" t="s">
        <v>619</v>
      </c>
      <c r="C221" s="93">
        <f t="shared" ref="C221:Q221" si="250">IF(C22&gt;0, 100*(C22+C105/C$203)/C22,"")</f>
        <v>87.084944573694827</v>
      </c>
      <c r="D221" s="93">
        <f t="shared" si="250"/>
        <v>84.982554931558923</v>
      </c>
      <c r="E221" s="93">
        <f t="shared" si="250"/>
        <v>83.052636104138145</v>
      </c>
      <c r="F221" s="93">
        <f t="shared" si="250"/>
        <v>80.228727281173747</v>
      </c>
      <c r="G221" s="94">
        <f t="shared" si="250"/>
        <v>74.290624185306385</v>
      </c>
      <c r="H221" s="95">
        <f t="shared" si="250"/>
        <v>80.387702885129471</v>
      </c>
      <c r="I221" s="93">
        <f t="shared" si="250"/>
        <v>78.147970531505507</v>
      </c>
      <c r="J221" s="93">
        <f t="shared" si="250"/>
        <v>77.51143547408941</v>
      </c>
      <c r="K221" s="93">
        <f t="shared" si="250"/>
        <v>75.865320140607011</v>
      </c>
      <c r="L221" s="94">
        <f t="shared" si="250"/>
        <v>80.090114438283322</v>
      </c>
      <c r="M221" s="93">
        <f t="shared" si="250"/>
        <v>79.521793989895087</v>
      </c>
      <c r="N221" s="93">
        <f t="shared" si="250"/>
        <v>79.007800355915336</v>
      </c>
      <c r="O221" s="93">
        <f t="shared" si="250"/>
        <v>76.563396417113808</v>
      </c>
      <c r="P221" s="93">
        <f t="shared" si="250"/>
        <v>75.274999404359349</v>
      </c>
      <c r="Q221" s="93">
        <f t="shared" si="250"/>
        <v>60.355317641834439</v>
      </c>
    </row>
    <row r="222" spans="1:17" x14ac:dyDescent="0.25">
      <c r="A222" s="91" t="str">
        <f t="shared" si="246"/>
        <v>given</v>
      </c>
      <c r="B222" s="92" t="s">
        <v>620</v>
      </c>
      <c r="C222" s="93">
        <f t="shared" ref="C222:Q222" si="251">IF(C23&gt;0, 100*(C23+C106/C$203)/C23,"")</f>
        <v>85.470562645406673</v>
      </c>
      <c r="D222" s="93">
        <f t="shared" si="251"/>
        <v>83.105374298003795</v>
      </c>
      <c r="E222" s="93">
        <f t="shared" si="251"/>
        <v>80.934215617155417</v>
      </c>
      <c r="F222" s="93">
        <f t="shared" si="251"/>
        <v>77.757318191320465</v>
      </c>
      <c r="G222" s="94">
        <f t="shared" si="251"/>
        <v>71.076952208469677</v>
      </c>
      <c r="H222" s="95">
        <f t="shared" si="251"/>
        <v>77.936165745770637</v>
      </c>
      <c r="I222" s="93">
        <f t="shared" si="251"/>
        <v>75.416466847943695</v>
      </c>
      <c r="J222" s="93">
        <f t="shared" si="251"/>
        <v>74.700364908350593</v>
      </c>
      <c r="K222" s="93">
        <f t="shared" si="251"/>
        <v>72.848485158182882</v>
      </c>
      <c r="L222" s="94">
        <f t="shared" si="251"/>
        <v>77.60137874306875</v>
      </c>
      <c r="M222" s="93">
        <f t="shared" si="251"/>
        <v>76.96201823863197</v>
      </c>
      <c r="N222" s="93">
        <f t="shared" si="251"/>
        <v>76.383775400404744</v>
      </c>
      <c r="O222" s="93">
        <f t="shared" si="251"/>
        <v>73.633820969253023</v>
      </c>
      <c r="P222" s="93">
        <f t="shared" si="251"/>
        <v>72.184374329904273</v>
      </c>
      <c r="Q222" s="93">
        <f t="shared" si="251"/>
        <v>55.399732347063747</v>
      </c>
    </row>
    <row r="223" spans="1:17" x14ac:dyDescent="0.25">
      <c r="A223" s="91" t="str">
        <f t="shared" si="246"/>
        <v>given</v>
      </c>
      <c r="B223" s="92" t="s">
        <v>621</v>
      </c>
      <c r="C223" s="93">
        <f t="shared" ref="C223:Q223" si="252">IF(C24&gt;0, 100*(C24+C107/C$203)/C24,"")</f>
        <v>85.470562645406673</v>
      </c>
      <c r="D223" s="93">
        <f t="shared" si="252"/>
        <v>83.105374298003795</v>
      </c>
      <c r="E223" s="93">
        <f t="shared" si="252"/>
        <v>80.934215617155431</v>
      </c>
      <c r="F223" s="93">
        <f t="shared" si="252"/>
        <v>77.757318191320451</v>
      </c>
      <c r="G223" s="94">
        <f t="shared" si="252"/>
        <v>71.076952208469677</v>
      </c>
      <c r="H223" s="95">
        <f t="shared" si="252"/>
        <v>77.936165745770651</v>
      </c>
      <c r="I223" s="93">
        <f t="shared" si="252"/>
        <v>75.416466847943681</v>
      </c>
      <c r="J223" s="93">
        <f t="shared" si="252"/>
        <v>74.700364908350579</v>
      </c>
      <c r="K223" s="93">
        <f t="shared" si="252"/>
        <v>72.848485158182896</v>
      </c>
      <c r="L223" s="94">
        <f t="shared" si="252"/>
        <v>77.60137874306875</v>
      </c>
      <c r="M223" s="93">
        <f t="shared" si="252"/>
        <v>76.962018238631984</v>
      </c>
      <c r="N223" s="93">
        <f t="shared" si="252"/>
        <v>76.38377540040473</v>
      </c>
      <c r="O223" s="93">
        <f t="shared" si="252"/>
        <v>73.633820969253037</v>
      </c>
      <c r="P223" s="93">
        <f t="shared" si="252"/>
        <v>72.184374329904273</v>
      </c>
      <c r="Q223" s="93">
        <f t="shared" si="252"/>
        <v>55.399732347063747</v>
      </c>
    </row>
    <row r="224" spans="1:17" x14ac:dyDescent="0.25">
      <c r="A224" s="91" t="str">
        <f t="shared" si="246"/>
        <v>given</v>
      </c>
      <c r="B224" s="92" t="s">
        <v>622</v>
      </c>
      <c r="C224" s="93">
        <f t="shared" ref="C224:Q224" si="253">IF(C25&gt;0, 100*(C25+C108/C$203)/C25,"")</f>
        <v>87.084944573694827</v>
      </c>
      <c r="D224" s="93">
        <f t="shared" si="253"/>
        <v>84.982554931558937</v>
      </c>
      <c r="E224" s="93">
        <f t="shared" si="253"/>
        <v>83.052636104138159</v>
      </c>
      <c r="F224" s="93">
        <f t="shared" si="253"/>
        <v>80.228727281173732</v>
      </c>
      <c r="G224" s="94">
        <f t="shared" si="253"/>
        <v>74.290624185306385</v>
      </c>
      <c r="H224" s="95">
        <f t="shared" si="253"/>
        <v>80.387702885129457</v>
      </c>
      <c r="I224" s="93">
        <f t="shared" si="253"/>
        <v>78.147970531505507</v>
      </c>
      <c r="J224" s="93">
        <f t="shared" si="253"/>
        <v>77.51143547408941</v>
      </c>
      <c r="K224" s="93">
        <f t="shared" si="253"/>
        <v>75.865320140606997</v>
      </c>
      <c r="L224" s="94">
        <f t="shared" si="253"/>
        <v>80.090114438283337</v>
      </c>
      <c r="M224" s="93">
        <f t="shared" si="253"/>
        <v>79.521793989895087</v>
      </c>
      <c r="N224" s="93">
        <f t="shared" si="253"/>
        <v>79.007800355915322</v>
      </c>
      <c r="O224" s="93">
        <f t="shared" si="253"/>
        <v>76.563396417113793</v>
      </c>
      <c r="P224" s="93">
        <f t="shared" si="253"/>
        <v>75.274999404359349</v>
      </c>
      <c r="Q224" s="93">
        <f t="shared" si="253"/>
        <v>60.355317641834446</v>
      </c>
    </row>
    <row r="225" spans="1:17" x14ac:dyDescent="0.25">
      <c r="A225" s="91" t="str">
        <f t="shared" si="246"/>
        <v>given</v>
      </c>
      <c r="B225" s="92" t="s">
        <v>623</v>
      </c>
      <c r="C225" s="93">
        <f t="shared" ref="C225:Q225" si="254">IF(C26&gt;0, 100*(C26+C109/C$203)/C26,"")</f>
        <v>87.084944573694813</v>
      </c>
      <c r="D225" s="93">
        <f t="shared" si="254"/>
        <v>84.982554931558923</v>
      </c>
      <c r="E225" s="93">
        <f t="shared" si="254"/>
        <v>83.052636104138159</v>
      </c>
      <c r="F225" s="93">
        <f t="shared" si="254"/>
        <v>80.228727281173732</v>
      </c>
      <c r="G225" s="94">
        <f t="shared" si="254"/>
        <v>74.29062418530637</v>
      </c>
      <c r="H225" s="95">
        <f t="shared" si="254"/>
        <v>80.387702885129471</v>
      </c>
      <c r="I225" s="93">
        <f t="shared" si="254"/>
        <v>78.147970531505493</v>
      </c>
      <c r="J225" s="93">
        <f t="shared" si="254"/>
        <v>77.511435474089424</v>
      </c>
      <c r="K225" s="93">
        <f t="shared" si="254"/>
        <v>75.865320140607011</v>
      </c>
      <c r="L225" s="94">
        <f t="shared" si="254"/>
        <v>80.090114438283337</v>
      </c>
      <c r="M225" s="93">
        <f t="shared" si="254"/>
        <v>79.521793989895087</v>
      </c>
      <c r="N225" s="93">
        <f t="shared" si="254"/>
        <v>79.007800355915322</v>
      </c>
      <c r="O225" s="93">
        <f t="shared" si="254"/>
        <v>76.563396417113808</v>
      </c>
      <c r="P225" s="93">
        <f t="shared" si="254"/>
        <v>75.274999404359349</v>
      </c>
      <c r="Q225" s="93">
        <f t="shared" si="254"/>
        <v>60.355317641834439</v>
      </c>
    </row>
    <row r="226" spans="1:17" x14ac:dyDescent="0.25">
      <c r="A226" s="96" t="str">
        <f t="shared" si="246"/>
        <v>given</v>
      </c>
      <c r="B226" s="97" t="s">
        <v>624</v>
      </c>
      <c r="C226" s="98">
        <f t="shared" ref="C226:Q226" si="255">IF(C27&gt;0, 100*(C27+C110/C$203)/C27,"")</f>
        <v>75.784271075677793</v>
      </c>
      <c r="D226" s="98">
        <f t="shared" si="255"/>
        <v>71.842290496672987</v>
      </c>
      <c r="E226" s="98">
        <f t="shared" si="255"/>
        <v>68.223692695259047</v>
      </c>
      <c r="F226" s="98">
        <f t="shared" si="255"/>
        <v>62.928863652200768</v>
      </c>
      <c r="G226" s="99">
        <f t="shared" si="255"/>
        <v>51.794920347449484</v>
      </c>
      <c r="H226" s="100">
        <f t="shared" si="255"/>
        <v>63.22694290961774</v>
      </c>
      <c r="I226" s="98">
        <f t="shared" si="255"/>
        <v>59.027444746572812</v>
      </c>
      <c r="J226" s="98">
        <f t="shared" si="255"/>
        <v>57.833941513917651</v>
      </c>
      <c r="K226" s="98">
        <f t="shared" si="255"/>
        <v>54.747475263638144</v>
      </c>
      <c r="L226" s="99">
        <f t="shared" si="255"/>
        <v>62.668964571781252</v>
      </c>
      <c r="M226" s="98">
        <f t="shared" si="255"/>
        <v>61.603363731053271</v>
      </c>
      <c r="N226" s="98">
        <f t="shared" si="255"/>
        <v>60.639625667341228</v>
      </c>
      <c r="O226" s="98">
        <f t="shared" si="255"/>
        <v>56.056368282088386</v>
      </c>
      <c r="P226" s="98">
        <f t="shared" si="255"/>
        <v>53.640623883173802</v>
      </c>
      <c r="Q226" s="98">
        <f t="shared" si="255"/>
        <v>25.666220578439578</v>
      </c>
    </row>
    <row r="227" spans="1:17" x14ac:dyDescent="0.25">
      <c r="A227" s="96" t="str">
        <f t="shared" si="246"/>
        <v>given</v>
      </c>
      <c r="B227" s="97" t="s">
        <v>626</v>
      </c>
      <c r="C227" s="98">
        <f t="shared" ref="C227:Q227" si="256">IF(C28&gt;0, 100*(C28+C111/C$203)/C28,"")</f>
        <v>83.856180717118534</v>
      </c>
      <c r="D227" s="98">
        <f t="shared" si="256"/>
        <v>81.228193664448668</v>
      </c>
      <c r="E227" s="98">
        <f t="shared" si="256"/>
        <v>78.815795130172688</v>
      </c>
      <c r="F227" s="98">
        <f t="shared" si="256"/>
        <v>75.285909101467183</v>
      </c>
      <c r="G227" s="99">
        <f t="shared" si="256"/>
        <v>67.863280231632984</v>
      </c>
      <c r="H227" s="100">
        <f t="shared" si="256"/>
        <v>75.484628606411832</v>
      </c>
      <c r="I227" s="98">
        <f t="shared" si="256"/>
        <v>72.68496316438187</v>
      </c>
      <c r="J227" s="98">
        <f t="shared" si="256"/>
        <v>71.889294342611777</v>
      </c>
      <c r="K227" s="98">
        <f t="shared" si="256"/>
        <v>69.831650175758767</v>
      </c>
      <c r="L227" s="99">
        <f t="shared" si="256"/>
        <v>75.112643047854164</v>
      </c>
      <c r="M227" s="98">
        <f t="shared" si="256"/>
        <v>74.402242487368838</v>
      </c>
      <c r="N227" s="98">
        <f t="shared" si="256"/>
        <v>73.759750444894152</v>
      </c>
      <c r="O227" s="98">
        <f t="shared" si="256"/>
        <v>70.704245521392266</v>
      </c>
      <c r="P227" s="98">
        <f t="shared" si="256"/>
        <v>69.093749255449197</v>
      </c>
      <c r="Q227" s="98">
        <f t="shared" si="256"/>
        <v>50.444147052293054</v>
      </c>
    </row>
    <row r="228" spans="1:17" x14ac:dyDescent="0.25">
      <c r="A228" s="96" t="str">
        <f t="shared" si="246"/>
        <v>given</v>
      </c>
      <c r="B228" s="97" t="s">
        <v>629</v>
      </c>
      <c r="C228" s="98">
        <f t="shared" ref="C228:Q228" si="257">IF(C29&gt;0, 100*(C29+C112/C$203)/C29,"")</f>
        <v>83.856180717118534</v>
      </c>
      <c r="D228" s="98">
        <f t="shared" si="257"/>
        <v>81.228193664448654</v>
      </c>
      <c r="E228" s="98">
        <f t="shared" si="257"/>
        <v>78.815795130172702</v>
      </c>
      <c r="F228" s="98">
        <f t="shared" si="257"/>
        <v>75.285909101467183</v>
      </c>
      <c r="G228" s="99">
        <f t="shared" si="257"/>
        <v>67.863280231632999</v>
      </c>
      <c r="H228" s="100">
        <f t="shared" si="257"/>
        <v>75.484628606411832</v>
      </c>
      <c r="I228" s="98">
        <f t="shared" si="257"/>
        <v>72.684963164381884</v>
      </c>
      <c r="J228" s="98">
        <f t="shared" si="257"/>
        <v>71.889294342611763</v>
      </c>
      <c r="K228" s="98">
        <f t="shared" si="257"/>
        <v>69.831650175758782</v>
      </c>
      <c r="L228" s="99">
        <f t="shared" si="257"/>
        <v>75.112643047854178</v>
      </c>
      <c r="M228" s="98">
        <f t="shared" si="257"/>
        <v>74.402242487368852</v>
      </c>
      <c r="N228" s="98">
        <f t="shared" si="257"/>
        <v>73.759750444894152</v>
      </c>
      <c r="O228" s="98">
        <f t="shared" si="257"/>
        <v>70.704245521392252</v>
      </c>
      <c r="P228" s="98">
        <f t="shared" si="257"/>
        <v>69.093749255449197</v>
      </c>
      <c r="Q228" s="98">
        <f t="shared" si="257"/>
        <v>50.444147052293054</v>
      </c>
    </row>
    <row r="229" spans="1:17" x14ac:dyDescent="0.25">
      <c r="A229" s="101" t="str">
        <f t="shared" si="246"/>
        <v>given</v>
      </c>
      <c r="B229" s="102" t="s">
        <v>633</v>
      </c>
      <c r="C229" s="103">
        <f t="shared" ref="C229:Q229" si="258">IF(C30&gt;0, 100*(C30+C113/C$203)/C30,"")</f>
        <v>87.084944573694813</v>
      </c>
      <c r="D229" s="103">
        <f t="shared" si="258"/>
        <v>84.982554931558923</v>
      </c>
      <c r="E229" s="103">
        <f t="shared" si="258"/>
        <v>83.052636104138145</v>
      </c>
      <c r="F229" s="103">
        <f t="shared" si="258"/>
        <v>80.228727281173732</v>
      </c>
      <c r="G229" s="104">
        <f t="shared" si="258"/>
        <v>74.290624185306399</v>
      </c>
      <c r="H229" s="105">
        <f t="shared" si="258"/>
        <v>80.387702885129457</v>
      </c>
      <c r="I229" s="103">
        <f t="shared" si="258"/>
        <v>78.147970531505507</v>
      </c>
      <c r="J229" s="103">
        <f t="shared" si="258"/>
        <v>77.51143547408941</v>
      </c>
      <c r="K229" s="103">
        <f t="shared" si="258"/>
        <v>75.865320140607011</v>
      </c>
      <c r="L229" s="104">
        <f t="shared" si="258"/>
        <v>80.090114438283337</v>
      </c>
      <c r="M229" s="103">
        <f t="shared" si="258"/>
        <v>79.521793989895073</v>
      </c>
      <c r="N229" s="103">
        <f t="shared" si="258"/>
        <v>79.007800355915322</v>
      </c>
      <c r="O229" s="103">
        <f t="shared" si="258"/>
        <v>76.563396417113808</v>
      </c>
      <c r="P229" s="103">
        <f t="shared" si="258"/>
        <v>75.274999404359363</v>
      </c>
      <c r="Q229" s="103">
        <f t="shared" si="258"/>
        <v>60.355317641834446</v>
      </c>
    </row>
    <row r="230" spans="1:17" x14ac:dyDescent="0.25">
      <c r="A230" s="101" t="str">
        <f t="shared" si="246"/>
        <v>given</v>
      </c>
      <c r="B230" s="102" t="s">
        <v>634</v>
      </c>
      <c r="C230" s="103">
        <f t="shared" ref="C230:Q230" si="259">IF(C31&gt;0, 100*(C31+C114/C$203)/C31,"")</f>
        <v>83.856180717118519</v>
      </c>
      <c r="D230" s="103">
        <f t="shared" si="259"/>
        <v>81.228193664448654</v>
      </c>
      <c r="E230" s="103">
        <f t="shared" si="259"/>
        <v>78.815795130172688</v>
      </c>
      <c r="F230" s="103">
        <f t="shared" si="259"/>
        <v>75.285909101467183</v>
      </c>
      <c r="G230" s="104">
        <f t="shared" si="259"/>
        <v>67.863280231632984</v>
      </c>
      <c r="H230" s="105">
        <f t="shared" si="259"/>
        <v>75.484628606411832</v>
      </c>
      <c r="I230" s="103">
        <f t="shared" si="259"/>
        <v>72.684963164381884</v>
      </c>
      <c r="J230" s="103">
        <f t="shared" si="259"/>
        <v>71.889294342611777</v>
      </c>
      <c r="K230" s="103">
        <f t="shared" si="259"/>
        <v>69.831650175758767</v>
      </c>
      <c r="L230" s="104">
        <f t="shared" si="259"/>
        <v>75.112643047854164</v>
      </c>
      <c r="M230" s="103">
        <f t="shared" si="259"/>
        <v>74.402242487368838</v>
      </c>
      <c r="N230" s="103">
        <f t="shared" si="259"/>
        <v>73.759750444894152</v>
      </c>
      <c r="O230" s="103">
        <f t="shared" si="259"/>
        <v>70.704245521392252</v>
      </c>
      <c r="P230" s="103">
        <f t="shared" si="259"/>
        <v>69.093749255449211</v>
      </c>
      <c r="Q230" s="103">
        <f t="shared" si="259"/>
        <v>50.444147052293047</v>
      </c>
    </row>
    <row r="231" spans="1:17" x14ac:dyDescent="0.25">
      <c r="A231" s="85" t="str">
        <f t="shared" ref="A231:A237" si="260">S116</f>
        <v>residual</v>
      </c>
      <c r="B231" s="39" t="s">
        <v>625</v>
      </c>
      <c r="C231" s="52">
        <f t="shared" ref="C231:Q231" si="261">IF(C32&gt;0, 100*(C32+C116/C$203)/C32,"")</f>
        <v>80.502858901199218</v>
      </c>
      <c r="D231" s="52">
        <f t="shared" si="261"/>
        <v>77.196188053620787</v>
      </c>
      <c r="E231" s="52">
        <f t="shared" si="261"/>
        <v>75.061562711629676</v>
      </c>
      <c r="F231" s="52">
        <f t="shared" si="261"/>
        <v>72.421179867696196</v>
      </c>
      <c r="G231" s="53">
        <f t="shared" si="261"/>
        <v>67.207372537977747</v>
      </c>
      <c r="H231" s="54">
        <f t="shared" si="261"/>
        <v>69.305270782317763</v>
      </c>
      <c r="I231" s="52">
        <f t="shared" si="261"/>
        <v>67.325098026777511</v>
      </c>
      <c r="J231" s="52">
        <f t="shared" si="261"/>
        <v>67.033109018898699</v>
      </c>
      <c r="K231" s="52">
        <f t="shared" si="261"/>
        <v>65.839948524809316</v>
      </c>
      <c r="L231" s="53">
        <f t="shared" si="261"/>
        <v>74.36660849312365</v>
      </c>
      <c r="M231" s="52">
        <f t="shared" si="261"/>
        <v>68.234528132307545</v>
      </c>
      <c r="N231" s="52">
        <f t="shared" si="261"/>
        <v>68.106421959408394</v>
      </c>
      <c r="O231" s="52">
        <f t="shared" si="261"/>
        <v>66.432725319713583</v>
      </c>
      <c r="P231" s="52">
        <f t="shared" si="261"/>
        <v>65.925080272992275</v>
      </c>
      <c r="Q231" s="52">
        <f t="shared" si="261"/>
        <v>49.793148971172592</v>
      </c>
    </row>
    <row r="232" spans="1:17" x14ac:dyDescent="0.25">
      <c r="A232" s="90" t="str">
        <f t="shared" si="260"/>
        <v>residual</v>
      </c>
      <c r="B232" s="49" t="s">
        <v>627</v>
      </c>
      <c r="C232" s="55" t="str">
        <f t="shared" ref="C232:Q232" si="262">IF(C33&gt;0, 100*(C33+C117/C$203)/C33,"")</f>
        <v/>
      </c>
      <c r="D232" s="55" t="str">
        <f t="shared" si="262"/>
        <v/>
      </c>
      <c r="E232" s="55" t="str">
        <f t="shared" si="262"/>
        <v/>
      </c>
      <c r="F232" s="55" t="str">
        <f t="shared" si="262"/>
        <v/>
      </c>
      <c r="G232" s="56" t="str">
        <f t="shared" si="262"/>
        <v/>
      </c>
      <c r="H232" s="57" t="str">
        <f t="shared" si="262"/>
        <v/>
      </c>
      <c r="I232" s="55" t="str">
        <f t="shared" si="262"/>
        <v/>
      </c>
      <c r="J232" s="55" t="str">
        <f t="shared" si="262"/>
        <v/>
      </c>
      <c r="K232" s="55" t="str">
        <f t="shared" si="262"/>
        <v/>
      </c>
      <c r="L232" s="56" t="str">
        <f t="shared" si="262"/>
        <v/>
      </c>
      <c r="M232" s="55" t="str">
        <f t="shared" si="262"/>
        <v/>
      </c>
      <c r="N232" s="55" t="str">
        <f t="shared" si="262"/>
        <v/>
      </c>
      <c r="O232" s="55" t="str">
        <f t="shared" si="262"/>
        <v/>
      </c>
      <c r="P232" s="55" t="str">
        <f t="shared" si="262"/>
        <v/>
      </c>
      <c r="Q232" s="55" t="str">
        <f t="shared" si="262"/>
        <v/>
      </c>
    </row>
    <row r="233" spans="1:17" x14ac:dyDescent="0.25">
      <c r="A233" s="84" t="str">
        <f t="shared" si="260"/>
        <v>residual</v>
      </c>
      <c r="B233" s="40" t="s">
        <v>628</v>
      </c>
      <c r="C233" s="43">
        <f t="shared" ref="C233:Q233" si="263">IF(C34&gt;0, 100*(C34+C118/C$203)/C34,"")</f>
        <v>80.502858901199218</v>
      </c>
      <c r="D233" s="43">
        <f t="shared" si="263"/>
        <v>77.196188053620787</v>
      </c>
      <c r="E233" s="43">
        <f t="shared" si="263"/>
        <v>75.061562711629676</v>
      </c>
      <c r="F233" s="43">
        <f t="shared" si="263"/>
        <v>72.421179867696196</v>
      </c>
      <c r="G233" s="50">
        <f t="shared" si="263"/>
        <v>67.207372537977747</v>
      </c>
      <c r="H233" s="51">
        <f t="shared" si="263"/>
        <v>69.305270782317763</v>
      </c>
      <c r="I233" s="43">
        <f t="shared" si="263"/>
        <v>67.325098026777511</v>
      </c>
      <c r="J233" s="43">
        <f t="shared" si="263"/>
        <v>67.033109018898685</v>
      </c>
      <c r="K233" s="43">
        <f t="shared" si="263"/>
        <v>65.839948524809316</v>
      </c>
      <c r="L233" s="50">
        <f t="shared" si="263"/>
        <v>74.366608493123664</v>
      </c>
      <c r="M233" s="43">
        <f t="shared" si="263"/>
        <v>68.234528132307545</v>
      </c>
      <c r="N233" s="43">
        <f t="shared" si="263"/>
        <v>68.10642195940838</v>
      </c>
      <c r="O233" s="43">
        <f t="shared" si="263"/>
        <v>66.432725319713583</v>
      </c>
      <c r="P233" s="43">
        <f t="shared" si="263"/>
        <v>65.925080272992275</v>
      </c>
      <c r="Q233" s="43">
        <f t="shared" si="263"/>
        <v>49.793148971172592</v>
      </c>
    </row>
    <row r="234" spans="1:17" x14ac:dyDescent="0.25">
      <c r="A234" s="90" t="str">
        <f t="shared" si="260"/>
        <v>residual</v>
      </c>
      <c r="B234" s="49" t="s">
        <v>630</v>
      </c>
      <c r="C234" s="55">
        <f t="shared" ref="C234:Q234" si="264">IF(C35&gt;0, 100*(C35+C119/C$203)/C35,"")</f>
        <v>80.502858901199218</v>
      </c>
      <c r="D234" s="55">
        <f t="shared" si="264"/>
        <v>77.196188053620787</v>
      </c>
      <c r="E234" s="55">
        <f t="shared" si="264"/>
        <v>75.061562711629676</v>
      </c>
      <c r="F234" s="55">
        <f t="shared" si="264"/>
        <v>72.421179867696182</v>
      </c>
      <c r="G234" s="56">
        <f t="shared" si="264"/>
        <v>67.207372537977761</v>
      </c>
      <c r="H234" s="57">
        <f t="shared" si="264"/>
        <v>69.305270782317777</v>
      </c>
      <c r="I234" s="55">
        <f t="shared" si="264"/>
        <v>67.325098026777525</v>
      </c>
      <c r="J234" s="55">
        <f t="shared" si="264"/>
        <v>67.033109018898685</v>
      </c>
      <c r="K234" s="55">
        <f t="shared" si="264"/>
        <v>65.83994852480933</v>
      </c>
      <c r="L234" s="56">
        <f t="shared" si="264"/>
        <v>74.36660849312365</v>
      </c>
      <c r="M234" s="55">
        <f t="shared" si="264"/>
        <v>68.234528132307545</v>
      </c>
      <c r="N234" s="55">
        <f t="shared" si="264"/>
        <v>68.106421959408394</v>
      </c>
      <c r="O234" s="55">
        <f t="shared" si="264"/>
        <v>66.432725319713583</v>
      </c>
      <c r="P234" s="55">
        <f t="shared" si="264"/>
        <v>65.92508027299229</v>
      </c>
      <c r="Q234" s="55">
        <f t="shared" si="264"/>
        <v>49.793148971172599</v>
      </c>
    </row>
    <row r="235" spans="1:17" x14ac:dyDescent="0.25">
      <c r="A235" s="90" t="str">
        <f t="shared" si="260"/>
        <v>residual</v>
      </c>
      <c r="B235" s="49" t="s">
        <v>631</v>
      </c>
      <c r="C235" s="55">
        <f t="shared" ref="C235:Q235" si="265">IF(C36&gt;0, 100*(C36+C120/C$203)/C36,"")</f>
        <v>80.502858901199218</v>
      </c>
      <c r="D235" s="55">
        <f t="shared" si="265"/>
        <v>77.196188053620787</v>
      </c>
      <c r="E235" s="55">
        <f t="shared" si="265"/>
        <v>75.061562711629676</v>
      </c>
      <c r="F235" s="55">
        <f t="shared" si="265"/>
        <v>72.421179867696182</v>
      </c>
      <c r="G235" s="56">
        <f t="shared" si="265"/>
        <v>67.207372537977747</v>
      </c>
      <c r="H235" s="57">
        <f t="shared" si="265"/>
        <v>69.305270782317763</v>
      </c>
      <c r="I235" s="55">
        <f t="shared" si="265"/>
        <v>67.325098026777511</v>
      </c>
      <c r="J235" s="55">
        <f t="shared" si="265"/>
        <v>67.033109018898685</v>
      </c>
      <c r="K235" s="55">
        <f t="shared" si="265"/>
        <v>65.839948524809316</v>
      </c>
      <c r="L235" s="56">
        <f t="shared" si="265"/>
        <v>74.36660849312365</v>
      </c>
      <c r="M235" s="55">
        <f t="shared" si="265"/>
        <v>68.234528132307545</v>
      </c>
      <c r="N235" s="55">
        <f t="shared" si="265"/>
        <v>68.106421959408394</v>
      </c>
      <c r="O235" s="55">
        <f t="shared" si="265"/>
        <v>66.432725319713583</v>
      </c>
      <c r="P235" s="55">
        <f t="shared" si="265"/>
        <v>65.925080272992275</v>
      </c>
      <c r="Q235" s="55">
        <f t="shared" si="265"/>
        <v>49.793148971172592</v>
      </c>
    </row>
    <row r="236" spans="1:17" x14ac:dyDescent="0.25">
      <c r="A236" s="90" t="str">
        <f t="shared" si="260"/>
        <v>residual</v>
      </c>
      <c r="B236" s="49" t="s">
        <v>632</v>
      </c>
      <c r="C236" s="55">
        <f t="shared" ref="C236:Q236" si="266">IF(C37&gt;0, 100*(C37+C121/C$203)/C37,"")</f>
        <v>80.502858901199218</v>
      </c>
      <c r="D236" s="55">
        <f t="shared" si="266"/>
        <v>77.196188053620801</v>
      </c>
      <c r="E236" s="55">
        <f t="shared" si="266"/>
        <v>75.061562711629662</v>
      </c>
      <c r="F236" s="55">
        <f t="shared" si="266"/>
        <v>72.421179867696182</v>
      </c>
      <c r="G236" s="56">
        <f t="shared" si="266"/>
        <v>67.207372537977761</v>
      </c>
      <c r="H236" s="57">
        <f t="shared" si="266"/>
        <v>69.305270782317763</v>
      </c>
      <c r="I236" s="55">
        <f t="shared" si="266"/>
        <v>67.325098026777511</v>
      </c>
      <c r="J236" s="55">
        <f t="shared" si="266"/>
        <v>67.033109018898685</v>
      </c>
      <c r="K236" s="55">
        <f t="shared" si="266"/>
        <v>65.83994852480933</v>
      </c>
      <c r="L236" s="56">
        <f t="shared" si="266"/>
        <v>74.366608493123664</v>
      </c>
      <c r="M236" s="55">
        <f t="shared" si="266"/>
        <v>68.234528132307545</v>
      </c>
      <c r="N236" s="55">
        <f t="shared" si="266"/>
        <v>68.10642195940838</v>
      </c>
      <c r="O236" s="55">
        <f t="shared" si="266"/>
        <v>66.432725319713583</v>
      </c>
      <c r="P236" s="55">
        <f t="shared" si="266"/>
        <v>65.925080272992275</v>
      </c>
      <c r="Q236" s="55">
        <f t="shared" si="266"/>
        <v>49.793148971172599</v>
      </c>
    </row>
    <row r="237" spans="1:17" x14ac:dyDescent="0.25">
      <c r="A237" s="84" t="str">
        <f t="shared" si="260"/>
        <v>residual</v>
      </c>
      <c r="B237" s="40" t="s">
        <v>635</v>
      </c>
      <c r="C237" s="43">
        <f t="shared" ref="C237:Q237" si="267">IF(C38&gt;0, 100*(C38+C122/C$203)/C38,"")</f>
        <v>80.502858901199218</v>
      </c>
      <c r="D237" s="43">
        <f t="shared" si="267"/>
        <v>77.196188053620787</v>
      </c>
      <c r="E237" s="43">
        <f t="shared" si="267"/>
        <v>75.061562711629676</v>
      </c>
      <c r="F237" s="43">
        <f t="shared" si="267"/>
        <v>72.421179867696196</v>
      </c>
      <c r="G237" s="50">
        <f t="shared" si="267"/>
        <v>67.207372537977761</v>
      </c>
      <c r="H237" s="51">
        <f t="shared" si="267"/>
        <v>69.305270782317763</v>
      </c>
      <c r="I237" s="43">
        <f t="shared" si="267"/>
        <v>67.325098026777511</v>
      </c>
      <c r="J237" s="43">
        <f t="shared" si="267"/>
        <v>67.033109018898685</v>
      </c>
      <c r="K237" s="43">
        <f t="shared" si="267"/>
        <v>65.839948524809316</v>
      </c>
      <c r="L237" s="50">
        <f t="shared" si="267"/>
        <v>74.36660849312365</v>
      </c>
      <c r="M237" s="43">
        <f t="shared" si="267"/>
        <v>68.234528132307545</v>
      </c>
      <c r="N237" s="43">
        <f t="shared" si="267"/>
        <v>68.10642195940838</v>
      </c>
      <c r="O237" s="43">
        <f t="shared" si="267"/>
        <v>66.432725319713583</v>
      </c>
      <c r="P237" s="43">
        <f t="shared" si="267"/>
        <v>65.925080272992261</v>
      </c>
      <c r="Q237" s="43">
        <f t="shared" si="267"/>
        <v>49.793148971172599</v>
      </c>
    </row>
    <row r="238" spans="1:17" x14ac:dyDescent="0.25">
      <c r="A238" s="162" t="s">
        <v>608</v>
      </c>
      <c r="B238" s="163"/>
      <c r="C238" s="129">
        <f t="shared" ref="C238:Q238" si="268">IF(C39&gt;0, 100*(C39+C123/C$203)/C39,"")</f>
        <v>87.608540823103681</v>
      </c>
      <c r="D238" s="127">
        <f t="shared" si="268"/>
        <v>85.209227708473009</v>
      </c>
      <c r="E238" s="127">
        <f t="shared" si="268"/>
        <v>82.376410702255015</v>
      </c>
      <c r="F238" s="127">
        <f t="shared" si="268"/>
        <v>77.82026050479088</v>
      </c>
      <c r="G238" s="128">
        <f t="shared" si="268"/>
        <v>68.042482135829189</v>
      </c>
      <c r="H238" s="129">
        <f t="shared" si="268"/>
        <v>81.130177231321198</v>
      </c>
      <c r="I238" s="127">
        <f t="shared" si="268"/>
        <v>77.54915985731364</v>
      </c>
      <c r="J238" s="127">
        <f t="shared" si="268"/>
        <v>75.745050939782033</v>
      </c>
      <c r="K238" s="127">
        <f t="shared" si="268"/>
        <v>73.208592517056985</v>
      </c>
      <c r="L238" s="128">
        <f t="shared" si="268"/>
        <v>75.517493941172077</v>
      </c>
      <c r="M238" s="127">
        <f t="shared" si="268"/>
        <v>80.647991065267391</v>
      </c>
      <c r="N238" s="127">
        <f t="shared" si="268"/>
        <v>78.732613052484666</v>
      </c>
      <c r="O238" s="127">
        <f t="shared" si="268"/>
        <v>74.693554851267194</v>
      </c>
      <c r="P238" s="127">
        <f t="shared" si="268"/>
        <v>72.088153374320626</v>
      </c>
      <c r="Q238" s="128">
        <f t="shared" si="268"/>
        <v>47.253909087496979</v>
      </c>
    </row>
    <row r="239" spans="1:17" s="74" customFormat="1" x14ac:dyDescent="0.25">
      <c r="A239" s="160" t="s">
        <v>638</v>
      </c>
      <c r="B239" s="161"/>
      <c r="C239" s="126">
        <f t="shared" ref="C239:Q239" si="269">IF(C40&gt;0, 100*(C40+C124/C$203)/C40,"")</f>
        <v>81.3954325669486</v>
      </c>
      <c r="D239" s="124">
        <f t="shared" si="269"/>
        <v>78.270868695487962</v>
      </c>
      <c r="E239" s="124">
        <f t="shared" si="269"/>
        <v>76.126829480359049</v>
      </c>
      <c r="F239" s="124">
        <f t="shared" si="269"/>
        <v>73.364970947411535</v>
      </c>
      <c r="G239" s="125">
        <f t="shared" si="269"/>
        <v>67.759918723354232</v>
      </c>
      <c r="H239" s="126">
        <f t="shared" si="269"/>
        <v>71.111284844893873</v>
      </c>
      <c r="I239" s="124">
        <f t="shared" si="269"/>
        <v>68.897499337088078</v>
      </c>
      <c r="J239" s="124">
        <f t="shared" si="269"/>
        <v>68.57326460106367</v>
      </c>
      <c r="K239" s="124">
        <f t="shared" si="269"/>
        <v>67.242826003047014</v>
      </c>
      <c r="L239" s="125">
        <f t="shared" si="269"/>
        <v>74.884972590213621</v>
      </c>
      <c r="M239" s="124">
        <f t="shared" si="269"/>
        <v>70.406623492541186</v>
      </c>
      <c r="N239" s="124">
        <f t="shared" si="269"/>
        <v>70.507515642379474</v>
      </c>
      <c r="O239" s="124">
        <f t="shared" si="269"/>
        <v>68.478669235949141</v>
      </c>
      <c r="P239" s="124">
        <f t="shared" si="269"/>
        <v>67.701914005902694</v>
      </c>
      <c r="Q239" s="125">
        <f t="shared" si="269"/>
        <v>51.253759164925697</v>
      </c>
    </row>
    <row r="240" spans="1:17" s="74" customFormat="1" x14ac:dyDescent="0.25">
      <c r="A240" s="162" t="s">
        <v>672</v>
      </c>
      <c r="B240" s="163"/>
      <c r="C240" s="129">
        <f t="shared" ref="C240:Q240" si="270">IF(C41&gt;0, 100*(C41+C125/C$203)/C41,"")</f>
        <v>86.993279261421364</v>
      </c>
      <c r="D240" s="127">
        <f t="shared" si="270"/>
        <v>84.593244320412509</v>
      </c>
      <c r="E240" s="127">
        <f t="shared" si="270"/>
        <v>81.856018166371598</v>
      </c>
      <c r="F240" s="127">
        <f t="shared" si="270"/>
        <v>77.570910977416474</v>
      </c>
      <c r="G240" s="128">
        <f t="shared" si="270"/>
        <v>68.491522897129173</v>
      </c>
      <c r="H240" s="129">
        <f t="shared" si="270"/>
        <v>80.225305173822491</v>
      </c>
      <c r="I240" s="127">
        <f t="shared" si="270"/>
        <v>76.860665355965494</v>
      </c>
      <c r="J240" s="127">
        <f t="shared" si="270"/>
        <v>75.294610569368999</v>
      </c>
      <c r="K240" s="127">
        <f t="shared" si="270"/>
        <v>72.762808730333788</v>
      </c>
      <c r="L240" s="128">
        <f t="shared" si="270"/>
        <v>75.853232230266556</v>
      </c>
      <c r="M240" s="127">
        <f t="shared" si="270"/>
        <v>79.550574702129694</v>
      </c>
      <c r="N240" s="127">
        <f t="shared" si="270"/>
        <v>77.970652104190819</v>
      </c>
      <c r="O240" s="127">
        <f t="shared" si="270"/>
        <v>74.317009096922092</v>
      </c>
      <c r="P240" s="127">
        <f t="shared" si="270"/>
        <v>72.090530159497263</v>
      </c>
      <c r="Q240" s="128">
        <f t="shared" si="270"/>
        <v>51.355668634447923</v>
      </c>
    </row>
    <row r="241" spans="1:70" s="74" customFormat="1" x14ac:dyDescent="0.25">
      <c r="A241" s="160" t="s">
        <v>673</v>
      </c>
      <c r="B241" s="161"/>
      <c r="C241" s="126">
        <f t="shared" ref="C241:Q241" si="271">IF(C42&gt;0, 100*(C42+C126/C$203)/C42,"")</f>
        <v>80.502858901199218</v>
      </c>
      <c r="D241" s="124">
        <f t="shared" si="271"/>
        <v>77.196188053620787</v>
      </c>
      <c r="E241" s="124">
        <f t="shared" si="271"/>
        <v>75.061562711629676</v>
      </c>
      <c r="F241" s="124">
        <f t="shared" si="271"/>
        <v>72.421179867696182</v>
      </c>
      <c r="G241" s="125">
        <f t="shared" si="271"/>
        <v>67.207372537977747</v>
      </c>
      <c r="H241" s="126">
        <f t="shared" si="271"/>
        <v>69.305270782317763</v>
      </c>
      <c r="I241" s="124">
        <f t="shared" si="271"/>
        <v>67.325098026777511</v>
      </c>
      <c r="J241" s="124">
        <f t="shared" si="271"/>
        <v>67.033109018898685</v>
      </c>
      <c r="K241" s="124">
        <f t="shared" si="271"/>
        <v>65.839948524809316</v>
      </c>
      <c r="L241" s="125">
        <f t="shared" si="271"/>
        <v>74.366608493123664</v>
      </c>
      <c r="M241" s="124">
        <f t="shared" si="271"/>
        <v>68.234528132307545</v>
      </c>
      <c r="N241" s="124">
        <f t="shared" si="271"/>
        <v>68.106421959408394</v>
      </c>
      <c r="O241" s="124">
        <f t="shared" si="271"/>
        <v>66.432725319713583</v>
      </c>
      <c r="P241" s="124">
        <f t="shared" si="271"/>
        <v>65.925080272992275</v>
      </c>
      <c r="Q241" s="125">
        <f t="shared" si="271"/>
        <v>49.793148971172592</v>
      </c>
    </row>
    <row r="242" spans="1:70" x14ac:dyDescent="0.25">
      <c r="A242" s="164" t="s">
        <v>127</v>
      </c>
      <c r="B242" s="165"/>
      <c r="C242" s="123">
        <f t="shared" ref="C242:Q242" si="272">IF(C43&gt;0, 100*(C43+C127/C$203)/C43,"")</f>
        <v>83.856180717118548</v>
      </c>
      <c r="D242" s="121">
        <f t="shared" si="272"/>
        <v>81.228193664448654</v>
      </c>
      <c r="E242" s="121">
        <f t="shared" si="272"/>
        <v>78.815795130172702</v>
      </c>
      <c r="F242" s="121">
        <f t="shared" si="272"/>
        <v>75.285909101467183</v>
      </c>
      <c r="G242" s="122">
        <f t="shared" si="272"/>
        <v>67.863280231632984</v>
      </c>
      <c r="H242" s="123">
        <f t="shared" si="272"/>
        <v>75.484628606411832</v>
      </c>
      <c r="I242" s="121">
        <f t="shared" si="272"/>
        <v>72.684963164381898</v>
      </c>
      <c r="J242" s="121">
        <f t="shared" si="272"/>
        <v>71.889294342611763</v>
      </c>
      <c r="K242" s="121">
        <f t="shared" si="272"/>
        <v>69.831650175758767</v>
      </c>
      <c r="L242" s="122">
        <f t="shared" si="272"/>
        <v>75.112643047854164</v>
      </c>
      <c r="M242" s="121">
        <f t="shared" si="272"/>
        <v>74.402242487368852</v>
      </c>
      <c r="N242" s="121">
        <f t="shared" si="272"/>
        <v>73.759750444894152</v>
      </c>
      <c r="O242" s="121">
        <f t="shared" si="272"/>
        <v>70.704245521392281</v>
      </c>
      <c r="P242" s="121">
        <f t="shared" si="272"/>
        <v>69.093749255449183</v>
      </c>
      <c r="Q242" s="122">
        <f t="shared" si="272"/>
        <v>50.444147052293054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</sheetData>
  <mergeCells count="36">
    <mergeCell ref="C216:G216"/>
    <mergeCell ref="H216:L216"/>
    <mergeCell ref="M216:Q216"/>
    <mergeCell ref="C17:G17"/>
    <mergeCell ref="H17:L17"/>
    <mergeCell ref="M17:Q17"/>
    <mergeCell ref="AE17:AI17"/>
    <mergeCell ref="AJ17:AJ18"/>
    <mergeCell ref="C100:G100"/>
    <mergeCell ref="H100:L100"/>
    <mergeCell ref="M100:Q100"/>
    <mergeCell ref="R17:R18"/>
    <mergeCell ref="T100:X100"/>
    <mergeCell ref="Y100:AC100"/>
    <mergeCell ref="AD100:AH100"/>
    <mergeCell ref="U17:Y17"/>
    <mergeCell ref="Z17:AD17"/>
    <mergeCell ref="A123:B123"/>
    <mergeCell ref="B17:B18"/>
    <mergeCell ref="A17:A18"/>
    <mergeCell ref="R115:S115"/>
    <mergeCell ref="A39:B39"/>
    <mergeCell ref="A40:B40"/>
    <mergeCell ref="A43:B43"/>
    <mergeCell ref="R101:S101"/>
    <mergeCell ref="A41:B41"/>
    <mergeCell ref="A42:B42"/>
    <mergeCell ref="A239:B239"/>
    <mergeCell ref="A240:B240"/>
    <mergeCell ref="A241:B241"/>
    <mergeCell ref="A242:B242"/>
    <mergeCell ref="A124:B124"/>
    <mergeCell ref="A125:B125"/>
    <mergeCell ref="A126:B126"/>
    <mergeCell ref="A127:B127"/>
    <mergeCell ref="A238:B238"/>
  </mergeCells>
  <conditionalFormatting sqref="A49:A95">
    <cfRule type="cellIs" dxfId="19" priority="5" operator="equal">
      <formula>1</formula>
    </cfRule>
  </conditionalFormatting>
  <conditionalFormatting sqref="A184:A185">
    <cfRule type="cellIs" dxfId="18" priority="97" operator="equal">
      <formula>1</formula>
    </cfRule>
  </conditionalFormatting>
  <conditionalFormatting sqref="A195:A196">
    <cfRule type="cellIs" dxfId="17" priority="93" operator="equal">
      <formula>1</formula>
    </cfRule>
  </conditionalFormatting>
  <conditionalFormatting sqref="B81:B83">
    <cfRule type="cellIs" dxfId="16" priority="112" operator="equal">
      <formula>1</formula>
    </cfRule>
  </conditionalFormatting>
  <conditionalFormatting sqref="B206:Q206">
    <cfRule type="cellIs" dxfId="15" priority="10" operator="equal">
      <formula>1</formula>
    </cfRule>
  </conditionalFormatting>
  <conditionalFormatting sqref="B209:Q209">
    <cfRule type="cellIs" dxfId="14" priority="11" operator="equal">
      <formula>1</formula>
    </cfRule>
  </conditionalFormatting>
  <conditionalFormatting sqref="B6:BR6 A16 A17:B17 R17 C18:Q18 B48:R86 T48:AJ93 AL48:BR93 C87:R88 B87:Q93 R87:R94 C94:Q94 AL94:BA94 BC94:BR94 B94:B95 T94:T95 A101:R101 T101:AH101 B131:Q177 S131:AH177 B184:Q184 C185:Q185 A191:Q192 B195:Q195 C196:Q196 A199:Q200 B202:Q202 A217:Q217">
    <cfRule type="cellIs" dxfId="13" priority="146" operator="equal">
      <formula>1</formula>
    </cfRule>
  </conditionalFormatting>
  <conditionalFormatting sqref="C51:R53 C57:R58 C61:R61 C65:R65 C77:R77 C80:R81 C83:R83 C90:R90 C92:R94">
    <cfRule type="cellIs" dxfId="12" priority="105" operator="equal">
      <formula>1</formula>
    </cfRule>
  </conditionalFormatting>
  <conditionalFormatting sqref="C73:R75">
    <cfRule type="cellIs" dxfId="11" priority="4" operator="equal">
      <formula>1</formula>
    </cfRule>
  </conditionalFormatting>
  <conditionalFormatting sqref="T81:T83">
    <cfRule type="cellIs" dxfId="10" priority="102" operator="equal">
      <formula>1</formula>
    </cfRule>
  </conditionalFormatting>
  <conditionalFormatting sqref="T18:AI18">
    <cfRule type="cellIs" dxfId="9" priority="27" operator="equal">
      <formula>1</formula>
    </cfRule>
  </conditionalFormatting>
  <conditionalFormatting sqref="U51:AJ53 U57:AJ58 U61:AJ61 U65:AJ65 U77:AJ77 U80:AJ81 U83:AJ83 U90:AJ90 U92:AJ94">
    <cfRule type="cellIs" dxfId="8" priority="113" operator="equal">
      <formula>1</formula>
    </cfRule>
  </conditionalFormatting>
  <conditionalFormatting sqref="U73:AJ75">
    <cfRule type="cellIs" dxfId="7" priority="3" operator="equal">
      <formula>1</formula>
    </cfRule>
  </conditionalFormatting>
  <conditionalFormatting sqref="AJ17">
    <cfRule type="cellIs" dxfId="6" priority="28" operator="equal">
      <formula>1</formula>
    </cfRule>
  </conditionalFormatting>
  <conditionalFormatting sqref="AL81:AL83">
    <cfRule type="cellIs" dxfId="5" priority="147" operator="equal">
      <formula>1</formula>
    </cfRule>
  </conditionalFormatting>
  <conditionalFormatting sqref="AM51:BA53 AM57:BA58 AM61:BA61 AM65:BA65 AM77:BA77 AM80:BA81 AM83:BA83 AM90:BA90 AM92:BA94">
    <cfRule type="cellIs" dxfId="4" priority="131" operator="equal">
      <formula>1</formula>
    </cfRule>
  </conditionalFormatting>
  <conditionalFormatting sqref="AM73:BA75">
    <cfRule type="cellIs" dxfId="3" priority="2" operator="equal">
      <formula>1</formula>
    </cfRule>
  </conditionalFormatting>
  <conditionalFormatting sqref="BC81:BC83">
    <cfRule type="cellIs" dxfId="2" priority="130" operator="equal">
      <formula>1</formula>
    </cfRule>
  </conditionalFormatting>
  <conditionalFormatting sqref="BD53:BR53 BD57:BR58 BD61:BR61 BD65:BR65 BD77:BR77 BD80:BR81 BD83:BR83 BD90:BR90 BD92:BR94">
    <cfRule type="cellIs" dxfId="1" priority="121" operator="equal">
      <formula>1</formula>
    </cfRule>
  </conditionalFormatting>
  <conditionalFormatting sqref="BD73:BR7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S781"/>
  <sheetViews>
    <sheetView showZeros="0" zoomScale="85" zoomScaleNormal="85" workbookViewId="0">
      <pane ySplit="7" topLeftCell="A8" activePane="bottomLeft" state="frozen"/>
      <selection activeCell="D7" sqref="D7:E19"/>
      <selection pane="bottomLeft" activeCell="V18" sqref="V18"/>
    </sheetView>
  </sheetViews>
  <sheetFormatPr defaultRowHeight="15" x14ac:dyDescent="0.25"/>
  <cols>
    <col min="13" max="13" width="28.5703125" customWidth="1"/>
  </cols>
  <sheetData>
    <row r="1" spans="1:19" ht="18.75" x14ac:dyDescent="0.3">
      <c r="A1" s="5" t="s">
        <v>365</v>
      </c>
    </row>
    <row r="2" spans="1:19" x14ac:dyDescent="0.25">
      <c r="A2" s="3" t="s">
        <v>364</v>
      </c>
      <c r="B2" s="4" t="s">
        <v>366</v>
      </c>
    </row>
    <row r="4" spans="1:19" x14ac:dyDescent="0.25">
      <c r="B4" s="19" t="s">
        <v>540</v>
      </c>
      <c r="F4" t="s">
        <v>540</v>
      </c>
    </row>
    <row r="5" spans="1:19" x14ac:dyDescent="0.25">
      <c r="A5" s="1" t="s">
        <v>367</v>
      </c>
      <c r="E5" s="1" t="s">
        <v>372</v>
      </c>
    </row>
    <row r="6" spans="1:19" x14ac:dyDescent="0.25">
      <c r="B6" t="s">
        <v>368</v>
      </c>
      <c r="C6" t="s">
        <v>369</v>
      </c>
      <c r="F6" t="s">
        <v>373</v>
      </c>
      <c r="J6" s="1" t="s">
        <v>432</v>
      </c>
      <c r="M6" s="8" t="s">
        <v>431</v>
      </c>
      <c r="N6" s="9"/>
      <c r="O6" s="9"/>
      <c r="P6" s="9"/>
    </row>
    <row r="7" spans="1:19" x14ac:dyDescent="0.25">
      <c r="B7" t="s">
        <v>370</v>
      </c>
      <c r="C7" t="s">
        <v>371</v>
      </c>
      <c r="F7" t="s">
        <v>374</v>
      </c>
      <c r="G7" t="s">
        <v>375</v>
      </c>
      <c r="K7" t="s">
        <v>433</v>
      </c>
      <c r="M7" s="9"/>
      <c r="N7" s="9" t="s">
        <v>368</v>
      </c>
      <c r="O7" s="9" t="s">
        <v>376</v>
      </c>
      <c r="P7" s="9" t="s">
        <v>377</v>
      </c>
    </row>
    <row r="8" spans="1:19" x14ac:dyDescent="0.25">
      <c r="A8" t="s">
        <v>680</v>
      </c>
      <c r="B8" s="18">
        <f>K8</f>
        <v>1.3</v>
      </c>
      <c r="C8" s="7">
        <f t="shared" ref="C8:C14" si="0">B8</f>
        <v>1.3</v>
      </c>
      <c r="E8" t="s">
        <v>675</v>
      </c>
      <c r="F8" s="68">
        <v>0.5</v>
      </c>
      <c r="G8" s="68">
        <v>0.5</v>
      </c>
      <c r="J8" t="s">
        <v>680</v>
      </c>
      <c r="K8" s="7">
        <f>N10</f>
        <v>1.3</v>
      </c>
      <c r="M8" s="9" t="s">
        <v>378</v>
      </c>
      <c r="N8" s="10">
        <v>5.05</v>
      </c>
      <c r="O8" s="10">
        <v>10.1</v>
      </c>
      <c r="P8" s="10">
        <v>0.24</v>
      </c>
      <c r="R8" s="7">
        <f>P8</f>
        <v>0.24</v>
      </c>
      <c r="S8" s="7">
        <f t="shared" ref="S8:S20" si="1">R8</f>
        <v>0.24</v>
      </c>
    </row>
    <row r="9" spans="1:19" x14ac:dyDescent="0.25">
      <c r="A9" t="s">
        <v>177</v>
      </c>
      <c r="B9" s="18">
        <f>K9</f>
        <v>1.85</v>
      </c>
      <c r="C9" s="7">
        <f t="shared" si="0"/>
        <v>1.85</v>
      </c>
      <c r="E9" t="s">
        <v>138</v>
      </c>
      <c r="F9" s="68">
        <v>0.5</v>
      </c>
      <c r="G9" s="68">
        <v>0.5</v>
      </c>
      <c r="J9" t="s">
        <v>177</v>
      </c>
      <c r="K9" s="7">
        <f>N11</f>
        <v>1.85</v>
      </c>
      <c r="M9" s="9" t="s">
        <v>379</v>
      </c>
      <c r="N9" s="10">
        <v>4.45</v>
      </c>
      <c r="O9" s="10">
        <v>8.9</v>
      </c>
      <c r="P9" s="10">
        <v>0.24</v>
      </c>
      <c r="R9" s="7">
        <f t="shared" ref="R9:R16" si="2">R8</f>
        <v>0.24</v>
      </c>
      <c r="S9" s="7">
        <f t="shared" si="1"/>
        <v>0.24</v>
      </c>
    </row>
    <row r="10" spans="1:19" x14ac:dyDescent="0.25">
      <c r="A10" t="s">
        <v>178</v>
      </c>
      <c r="B10" s="18">
        <f>K10</f>
        <v>2.4500000000000002</v>
      </c>
      <c r="C10" s="7">
        <f t="shared" si="0"/>
        <v>2.4500000000000002</v>
      </c>
      <c r="E10" t="s">
        <v>140</v>
      </c>
      <c r="F10" s="68">
        <v>0.5</v>
      </c>
      <c r="G10" s="68">
        <v>0.5</v>
      </c>
      <c r="J10" t="s">
        <v>178</v>
      </c>
      <c r="K10" s="7">
        <f>N12</f>
        <v>2.4500000000000002</v>
      </c>
      <c r="M10" s="9" t="s">
        <v>380</v>
      </c>
      <c r="N10" s="10">
        <v>1.3</v>
      </c>
      <c r="O10" s="10">
        <v>2.6</v>
      </c>
      <c r="P10" s="10">
        <v>0.24</v>
      </c>
      <c r="R10" s="7">
        <f t="shared" si="2"/>
        <v>0.24</v>
      </c>
      <c r="S10" s="7">
        <f t="shared" si="1"/>
        <v>0.24</v>
      </c>
    </row>
    <row r="11" spans="1:19" x14ac:dyDescent="0.25">
      <c r="A11" t="s">
        <v>179</v>
      </c>
      <c r="B11" s="18">
        <f t="shared" ref="B11:B14" si="3">K11</f>
        <v>1.85</v>
      </c>
      <c r="C11" s="7">
        <f t="shared" si="0"/>
        <v>1.85</v>
      </c>
      <c r="E11" t="s">
        <v>142</v>
      </c>
      <c r="F11" s="68">
        <v>0.5</v>
      </c>
      <c r="G11" s="68">
        <v>0.5</v>
      </c>
      <c r="J11" t="s">
        <v>179</v>
      </c>
      <c r="K11" s="7">
        <f>N11</f>
        <v>1.85</v>
      </c>
      <c r="M11" s="9" t="s">
        <v>381</v>
      </c>
      <c r="N11" s="10">
        <v>1.85</v>
      </c>
      <c r="O11" s="10">
        <v>3.7</v>
      </c>
      <c r="P11" s="10">
        <v>0.24</v>
      </c>
      <c r="R11" s="7">
        <f t="shared" si="2"/>
        <v>0.24</v>
      </c>
      <c r="S11" s="7">
        <f t="shared" si="1"/>
        <v>0.24</v>
      </c>
    </row>
    <row r="12" spans="1:19" x14ac:dyDescent="0.25">
      <c r="A12" t="s">
        <v>180</v>
      </c>
      <c r="B12" s="18">
        <f t="shared" si="3"/>
        <v>1.85</v>
      </c>
      <c r="C12" s="7">
        <f t="shared" si="0"/>
        <v>1.85</v>
      </c>
      <c r="E12" t="s">
        <v>143</v>
      </c>
      <c r="F12" s="68">
        <v>0.5</v>
      </c>
      <c r="G12" s="68">
        <v>0.5</v>
      </c>
      <c r="J12" t="s">
        <v>180</v>
      </c>
      <c r="K12" s="7">
        <f>N11</f>
        <v>1.85</v>
      </c>
      <c r="M12" s="9" t="s">
        <v>382</v>
      </c>
      <c r="N12" s="10">
        <v>2.4500000000000002</v>
      </c>
      <c r="O12" s="10">
        <v>4.9000000000000004</v>
      </c>
      <c r="P12" s="10">
        <v>0.24</v>
      </c>
      <c r="R12" s="7">
        <f t="shared" si="2"/>
        <v>0.24</v>
      </c>
      <c r="S12" s="7">
        <f t="shared" si="1"/>
        <v>0.24</v>
      </c>
    </row>
    <row r="13" spans="1:19" x14ac:dyDescent="0.25">
      <c r="A13" t="s">
        <v>181</v>
      </c>
      <c r="B13" s="18">
        <f t="shared" si="3"/>
        <v>1.85</v>
      </c>
      <c r="C13" s="7">
        <f t="shared" si="0"/>
        <v>1.85</v>
      </c>
      <c r="E13" t="s">
        <v>147</v>
      </c>
      <c r="F13" s="68">
        <v>0.5</v>
      </c>
      <c r="G13" s="68">
        <v>0.5</v>
      </c>
      <c r="J13" t="s">
        <v>181</v>
      </c>
      <c r="K13" s="7">
        <f>N11</f>
        <v>1.85</v>
      </c>
      <c r="M13" s="9" t="s">
        <v>383</v>
      </c>
      <c r="N13" s="10">
        <v>2.7</v>
      </c>
      <c r="O13" s="10">
        <v>5.4</v>
      </c>
      <c r="P13" s="10">
        <v>0.24</v>
      </c>
      <c r="R13" s="7">
        <f t="shared" si="2"/>
        <v>0.24</v>
      </c>
      <c r="S13" s="7">
        <f t="shared" si="1"/>
        <v>0.24</v>
      </c>
    </row>
    <row r="14" spans="1:19" x14ac:dyDescent="0.25">
      <c r="A14" s="32" t="s">
        <v>717</v>
      </c>
      <c r="B14" s="18">
        <f t="shared" si="3"/>
        <v>3.25</v>
      </c>
      <c r="C14" s="7">
        <f t="shared" si="0"/>
        <v>3.25</v>
      </c>
      <c r="E14" s="32" t="s">
        <v>716</v>
      </c>
      <c r="F14" s="68">
        <v>0.5</v>
      </c>
      <c r="G14" s="68">
        <v>0.5</v>
      </c>
      <c r="J14" s="32" t="s">
        <v>717</v>
      </c>
      <c r="K14" s="7">
        <f>N15</f>
        <v>3.25</v>
      </c>
      <c r="M14" s="9" t="s">
        <v>384</v>
      </c>
      <c r="N14" s="10">
        <v>2.5</v>
      </c>
      <c r="O14" s="10">
        <v>5</v>
      </c>
      <c r="P14" s="10">
        <v>0.24</v>
      </c>
      <c r="R14" s="7">
        <f t="shared" si="2"/>
        <v>0.24</v>
      </c>
      <c r="S14" s="7">
        <f t="shared" si="1"/>
        <v>0.24</v>
      </c>
    </row>
    <row r="15" spans="1:19" x14ac:dyDescent="0.25">
      <c r="A15" t="s">
        <v>182</v>
      </c>
      <c r="B15" s="18">
        <f t="shared" ref="B15:B29" si="4">K15</f>
        <v>3.25</v>
      </c>
      <c r="C15" s="7">
        <f t="shared" ref="C15:C29" si="5">B15</f>
        <v>3.25</v>
      </c>
      <c r="E15" t="s">
        <v>148</v>
      </c>
      <c r="F15" s="68">
        <v>0.5</v>
      </c>
      <c r="G15" s="68">
        <v>0.5</v>
      </c>
      <c r="J15" t="s">
        <v>182</v>
      </c>
      <c r="K15" s="7">
        <f>N15</f>
        <v>3.25</v>
      </c>
      <c r="M15" s="9" t="s">
        <v>385</v>
      </c>
      <c r="N15" s="10">
        <v>3.25</v>
      </c>
      <c r="O15" s="10">
        <v>6.5</v>
      </c>
      <c r="P15" s="10">
        <v>0.24</v>
      </c>
      <c r="R15" s="7">
        <f t="shared" si="2"/>
        <v>0.24</v>
      </c>
      <c r="S15" s="7">
        <f t="shared" si="1"/>
        <v>0.24</v>
      </c>
    </row>
    <row r="16" spans="1:19" x14ac:dyDescent="0.25">
      <c r="A16" t="s">
        <v>681</v>
      </c>
      <c r="B16" s="18">
        <f t="shared" si="4"/>
        <v>2</v>
      </c>
      <c r="C16" s="7">
        <f t="shared" si="5"/>
        <v>2</v>
      </c>
      <c r="E16" t="s">
        <v>676</v>
      </c>
      <c r="F16" s="68">
        <v>0.5</v>
      </c>
      <c r="G16" s="68">
        <v>0.5</v>
      </c>
      <c r="J16" t="s">
        <v>681</v>
      </c>
      <c r="K16" s="7">
        <f>N16</f>
        <v>2</v>
      </c>
      <c r="M16" s="9" t="s">
        <v>386</v>
      </c>
      <c r="N16" s="10">
        <v>2</v>
      </c>
      <c r="O16" s="10">
        <v>4</v>
      </c>
      <c r="P16" s="10">
        <v>0.24</v>
      </c>
      <c r="R16" s="7">
        <f t="shared" si="2"/>
        <v>0.24</v>
      </c>
      <c r="S16" s="7">
        <f t="shared" si="1"/>
        <v>0.24</v>
      </c>
    </row>
    <row r="17" spans="1:19" x14ac:dyDescent="0.25">
      <c r="A17" t="s">
        <v>289</v>
      </c>
      <c r="B17" s="18">
        <f t="shared" si="4"/>
        <v>3.65</v>
      </c>
      <c r="C17" s="7">
        <f t="shared" si="5"/>
        <v>3.65</v>
      </c>
      <c r="E17" t="s">
        <v>281</v>
      </c>
      <c r="F17" s="68">
        <v>0.5</v>
      </c>
      <c r="G17" s="68">
        <v>0.5</v>
      </c>
      <c r="J17" t="s">
        <v>289</v>
      </c>
      <c r="K17" s="7">
        <f>N18</f>
        <v>3.65</v>
      </c>
      <c r="M17" s="9" t="s">
        <v>387</v>
      </c>
      <c r="N17" s="10">
        <v>1.3</v>
      </c>
      <c r="O17" s="10">
        <v>2.6</v>
      </c>
      <c r="P17" s="10">
        <v>0.24</v>
      </c>
      <c r="R17" s="7">
        <f>P20</f>
        <v>0.2</v>
      </c>
      <c r="S17" s="7">
        <f t="shared" si="1"/>
        <v>0.2</v>
      </c>
    </row>
    <row r="18" spans="1:19" x14ac:dyDescent="0.25">
      <c r="A18" t="s">
        <v>183</v>
      </c>
      <c r="B18" s="18">
        <f t="shared" si="4"/>
        <v>2.5</v>
      </c>
      <c r="C18" s="7">
        <f t="shared" si="5"/>
        <v>2.5</v>
      </c>
      <c r="E18" t="s">
        <v>151</v>
      </c>
      <c r="F18" s="68">
        <v>0.5</v>
      </c>
      <c r="G18" s="68">
        <v>0.5</v>
      </c>
      <c r="J18" t="s">
        <v>183</v>
      </c>
      <c r="K18" s="7">
        <f>N20</f>
        <v>2.5</v>
      </c>
      <c r="M18" s="9" t="s">
        <v>388</v>
      </c>
      <c r="N18" s="10">
        <v>3.65</v>
      </c>
      <c r="O18" s="10">
        <v>7.3</v>
      </c>
      <c r="P18" s="10">
        <v>0.24</v>
      </c>
      <c r="R18" s="28">
        <f>P21</f>
        <v>0.2</v>
      </c>
      <c r="S18" s="28">
        <f t="shared" si="1"/>
        <v>0.2</v>
      </c>
    </row>
    <row r="19" spans="1:19" x14ac:dyDescent="0.25">
      <c r="A19" s="26" t="s">
        <v>184</v>
      </c>
      <c r="B19" s="45">
        <f t="shared" si="4"/>
        <v>1.25</v>
      </c>
      <c r="C19" s="28">
        <f t="shared" si="5"/>
        <v>1.25</v>
      </c>
      <c r="E19" s="26" t="s">
        <v>152</v>
      </c>
      <c r="F19" s="68">
        <v>0.5</v>
      </c>
      <c r="G19" s="68">
        <v>0.5</v>
      </c>
      <c r="J19" t="s">
        <v>184</v>
      </c>
      <c r="K19" s="7">
        <f>N21</f>
        <v>1.25</v>
      </c>
      <c r="M19" s="9" t="s">
        <v>389</v>
      </c>
      <c r="N19" s="10">
        <v>6.45</v>
      </c>
      <c r="O19" s="10">
        <v>12.9</v>
      </c>
      <c r="P19" s="10">
        <v>0.24</v>
      </c>
      <c r="R19" s="7">
        <f>P23</f>
        <v>0.2</v>
      </c>
      <c r="S19" s="7">
        <f t="shared" si="1"/>
        <v>0.2</v>
      </c>
    </row>
    <row r="20" spans="1:19" x14ac:dyDescent="0.25">
      <c r="A20" t="s">
        <v>682</v>
      </c>
      <c r="B20" s="18">
        <f t="shared" si="4"/>
        <v>5.2</v>
      </c>
      <c r="C20" s="7">
        <f t="shared" si="5"/>
        <v>5.2</v>
      </c>
      <c r="E20" t="s">
        <v>714</v>
      </c>
      <c r="F20" s="68">
        <v>0.5</v>
      </c>
      <c r="G20" s="68">
        <v>0.5</v>
      </c>
      <c r="J20" t="s">
        <v>682</v>
      </c>
      <c r="K20" s="7">
        <f>N23</f>
        <v>5.2</v>
      </c>
      <c r="M20" s="9" t="s">
        <v>3</v>
      </c>
      <c r="N20" s="10">
        <v>2.5</v>
      </c>
      <c r="O20" s="10">
        <v>5</v>
      </c>
      <c r="P20" s="10">
        <v>0.2</v>
      </c>
      <c r="R20" s="28">
        <f>R19</f>
        <v>0.2</v>
      </c>
      <c r="S20" s="28">
        <f t="shared" si="1"/>
        <v>0.2</v>
      </c>
    </row>
    <row r="21" spans="1:19" x14ac:dyDescent="0.25">
      <c r="A21" t="s">
        <v>683</v>
      </c>
      <c r="B21" s="18">
        <f t="shared" si="4"/>
        <v>0.9</v>
      </c>
      <c r="C21" s="7">
        <f t="shared" si="5"/>
        <v>0.9</v>
      </c>
      <c r="E21" s="26" t="s">
        <v>677</v>
      </c>
      <c r="F21" s="68">
        <v>0.5</v>
      </c>
      <c r="G21" s="68">
        <v>0.5</v>
      </c>
      <c r="J21" t="s">
        <v>683</v>
      </c>
      <c r="K21" s="7">
        <f>N25</f>
        <v>0.9</v>
      </c>
      <c r="M21" s="9" t="s">
        <v>12</v>
      </c>
      <c r="N21" s="10">
        <v>1.25</v>
      </c>
      <c r="O21" s="10">
        <v>2.5</v>
      </c>
      <c r="P21" s="10">
        <v>0.2</v>
      </c>
    </row>
    <row r="22" spans="1:19" x14ac:dyDescent="0.25">
      <c r="A22" t="s">
        <v>186</v>
      </c>
      <c r="B22" s="18">
        <f t="shared" si="4"/>
        <v>2.6</v>
      </c>
      <c r="C22" s="7">
        <f t="shared" si="5"/>
        <v>2.6</v>
      </c>
      <c r="E22" t="s">
        <v>154</v>
      </c>
      <c r="F22" s="7">
        <f>P26</f>
        <v>1.1200000000000001</v>
      </c>
      <c r="G22" s="7">
        <f t="shared" ref="G22:G53" si="6">F22</f>
        <v>1.1200000000000001</v>
      </c>
      <c r="J22" t="s">
        <v>186</v>
      </c>
      <c r="K22" s="7">
        <f>N30</f>
        <v>2.6</v>
      </c>
      <c r="M22" s="9" t="s">
        <v>390</v>
      </c>
      <c r="N22" s="10">
        <v>3.05</v>
      </c>
      <c r="O22" s="10">
        <v>6.1</v>
      </c>
      <c r="P22" s="10">
        <v>0.2</v>
      </c>
    </row>
    <row r="23" spans="1:19" x14ac:dyDescent="0.25">
      <c r="A23" t="s">
        <v>293</v>
      </c>
      <c r="B23" s="18">
        <f t="shared" si="4"/>
        <v>3.3</v>
      </c>
      <c r="C23" s="7">
        <f t="shared" si="5"/>
        <v>3.3</v>
      </c>
      <c r="E23" t="s">
        <v>287</v>
      </c>
      <c r="F23" s="7">
        <f>F22</f>
        <v>1.1200000000000001</v>
      </c>
      <c r="G23" s="7">
        <f t="shared" si="6"/>
        <v>1.1200000000000001</v>
      </c>
      <c r="J23" t="s">
        <v>293</v>
      </c>
      <c r="K23" s="7">
        <f>N28</f>
        <v>3.3</v>
      </c>
      <c r="M23" s="9" t="s">
        <v>391</v>
      </c>
      <c r="N23" s="10">
        <v>5.2</v>
      </c>
      <c r="O23" s="10">
        <v>10.4</v>
      </c>
      <c r="P23" s="10">
        <v>0.2</v>
      </c>
    </row>
    <row r="24" spans="1:19" x14ac:dyDescent="0.25">
      <c r="A24" t="s">
        <v>292</v>
      </c>
      <c r="B24" s="18">
        <f t="shared" si="4"/>
        <v>3.65</v>
      </c>
      <c r="C24" s="7">
        <f t="shared" si="5"/>
        <v>3.65</v>
      </c>
      <c r="E24" t="s">
        <v>286</v>
      </c>
      <c r="F24" s="7">
        <f t="shared" ref="F24:F29" si="7">F23</f>
        <v>1.1200000000000001</v>
      </c>
      <c r="G24" s="7">
        <f t="shared" si="6"/>
        <v>1.1200000000000001</v>
      </c>
      <c r="J24" t="s">
        <v>292</v>
      </c>
      <c r="K24" s="7">
        <f>N29</f>
        <v>3.65</v>
      </c>
      <c r="M24" s="9" t="s">
        <v>392</v>
      </c>
      <c r="N24" s="10">
        <v>17.2</v>
      </c>
      <c r="O24" s="10">
        <v>34.4</v>
      </c>
      <c r="P24" s="10">
        <v>0.2</v>
      </c>
    </row>
    <row r="25" spans="1:19" x14ac:dyDescent="0.25">
      <c r="A25" t="s">
        <v>185</v>
      </c>
      <c r="B25" s="18">
        <f t="shared" si="4"/>
        <v>3.85</v>
      </c>
      <c r="C25" s="7">
        <f t="shared" si="5"/>
        <v>3.85</v>
      </c>
      <c r="E25" t="s">
        <v>153</v>
      </c>
      <c r="F25" s="7">
        <f t="shared" si="7"/>
        <v>1.1200000000000001</v>
      </c>
      <c r="G25" s="7">
        <f t="shared" si="6"/>
        <v>1.1200000000000001</v>
      </c>
      <c r="J25" t="s">
        <v>185</v>
      </c>
      <c r="K25" s="7">
        <f>N26</f>
        <v>3.85</v>
      </c>
      <c r="M25" s="9" t="s">
        <v>393</v>
      </c>
      <c r="N25" s="10">
        <v>0.9</v>
      </c>
      <c r="O25" s="10">
        <v>1.8</v>
      </c>
      <c r="P25" s="10">
        <v>0.2</v>
      </c>
    </row>
    <row r="26" spans="1:19" x14ac:dyDescent="0.25">
      <c r="A26" t="s">
        <v>290</v>
      </c>
      <c r="B26" s="18">
        <f t="shared" si="4"/>
        <v>4.4000000000000004</v>
      </c>
      <c r="C26" s="7">
        <f t="shared" si="5"/>
        <v>4.4000000000000004</v>
      </c>
      <c r="E26" t="s">
        <v>284</v>
      </c>
      <c r="F26" s="7">
        <f t="shared" si="7"/>
        <v>1.1200000000000001</v>
      </c>
      <c r="G26" s="7">
        <f t="shared" si="6"/>
        <v>1.1200000000000001</v>
      </c>
      <c r="J26" t="s">
        <v>290</v>
      </c>
      <c r="K26" s="7">
        <f>N27</f>
        <v>4.4000000000000004</v>
      </c>
      <c r="M26" s="9" t="s">
        <v>394</v>
      </c>
      <c r="N26" s="10">
        <v>3.85</v>
      </c>
      <c r="O26" s="10">
        <v>7.7</v>
      </c>
      <c r="P26" s="10">
        <v>1.1200000000000001</v>
      </c>
    </row>
    <row r="27" spans="1:19" x14ac:dyDescent="0.25">
      <c r="A27" t="s">
        <v>291</v>
      </c>
      <c r="B27" s="18">
        <f t="shared" si="4"/>
        <v>3.3</v>
      </c>
      <c r="C27" s="7">
        <f t="shared" si="5"/>
        <v>3.3</v>
      </c>
      <c r="E27" t="s">
        <v>285</v>
      </c>
      <c r="F27" s="7">
        <f t="shared" si="7"/>
        <v>1.1200000000000001</v>
      </c>
      <c r="G27" s="7">
        <f t="shared" si="6"/>
        <v>1.1200000000000001</v>
      </c>
      <c r="J27" t="s">
        <v>291</v>
      </c>
      <c r="K27" s="7">
        <f>N28</f>
        <v>3.3</v>
      </c>
      <c r="M27" s="9" t="s">
        <v>395</v>
      </c>
      <c r="N27" s="10">
        <v>4.4000000000000004</v>
      </c>
      <c r="O27" s="10">
        <v>8.8000000000000007</v>
      </c>
      <c r="P27" s="10">
        <v>1.1200000000000001</v>
      </c>
    </row>
    <row r="28" spans="1:19" x14ac:dyDescent="0.25">
      <c r="A28" t="s">
        <v>684</v>
      </c>
      <c r="B28" s="18">
        <f t="shared" si="4"/>
        <v>2</v>
      </c>
      <c r="C28" s="7">
        <f t="shared" si="5"/>
        <v>2</v>
      </c>
      <c r="E28" t="s">
        <v>678</v>
      </c>
      <c r="F28" s="7">
        <f t="shared" si="7"/>
        <v>1.1200000000000001</v>
      </c>
      <c r="G28" s="7">
        <f t="shared" si="6"/>
        <v>1.1200000000000001</v>
      </c>
      <c r="J28" t="s">
        <v>684</v>
      </c>
      <c r="K28" s="7">
        <f>N32</f>
        <v>2</v>
      </c>
      <c r="M28" s="9" t="s">
        <v>396</v>
      </c>
      <c r="N28" s="10">
        <v>3.3</v>
      </c>
      <c r="O28" s="10">
        <v>6.6</v>
      </c>
      <c r="P28" s="10">
        <v>1.1200000000000001</v>
      </c>
    </row>
    <row r="29" spans="1:19" x14ac:dyDescent="0.25">
      <c r="A29" s="26" t="s">
        <v>685</v>
      </c>
      <c r="B29" s="45">
        <f t="shared" si="4"/>
        <v>3.75</v>
      </c>
      <c r="C29" s="28">
        <f t="shared" si="5"/>
        <v>3.75</v>
      </c>
      <c r="E29" s="26" t="s">
        <v>679</v>
      </c>
      <c r="F29" s="28">
        <f t="shared" si="7"/>
        <v>1.1200000000000001</v>
      </c>
      <c r="G29" s="28">
        <f t="shared" si="6"/>
        <v>1.1200000000000001</v>
      </c>
      <c r="J29" t="s">
        <v>685</v>
      </c>
      <c r="K29" s="7">
        <f>N34</f>
        <v>3.75</v>
      </c>
      <c r="M29" s="9" t="s">
        <v>397</v>
      </c>
      <c r="N29" s="10">
        <v>3.65</v>
      </c>
      <c r="O29" s="10">
        <v>7.3</v>
      </c>
      <c r="P29" s="10">
        <v>1.1200000000000001</v>
      </c>
    </row>
    <row r="30" spans="1:19" x14ac:dyDescent="0.25">
      <c r="A30" s="150" t="s">
        <v>187</v>
      </c>
      <c r="B30" s="151">
        <v>0.5</v>
      </c>
      <c r="C30" s="151">
        <f t="shared" ref="C30:C38" si="8">K30</f>
        <v>3.75</v>
      </c>
      <c r="E30" t="s">
        <v>155</v>
      </c>
      <c r="F30" s="7">
        <f>P34</f>
        <v>1.26</v>
      </c>
      <c r="G30" s="7">
        <f t="shared" si="6"/>
        <v>1.26</v>
      </c>
      <c r="J30" t="s">
        <v>187</v>
      </c>
      <c r="K30" s="7">
        <f>N34</f>
        <v>3.75</v>
      </c>
      <c r="M30" s="9" t="s">
        <v>398</v>
      </c>
      <c r="N30" s="10">
        <v>2.6</v>
      </c>
      <c r="O30" s="10">
        <v>5.2</v>
      </c>
      <c r="P30" s="10">
        <v>1.1200000000000001</v>
      </c>
    </row>
    <row r="31" spans="1:19" x14ac:dyDescent="0.25">
      <c r="A31" s="150" t="s">
        <v>188</v>
      </c>
      <c r="B31" s="151">
        <v>0.5</v>
      </c>
      <c r="C31" s="151">
        <f t="shared" si="8"/>
        <v>3.4</v>
      </c>
      <c r="E31" t="s">
        <v>156</v>
      </c>
      <c r="F31" s="7">
        <f>P37</f>
        <v>1.26</v>
      </c>
      <c r="G31" s="7">
        <f t="shared" si="6"/>
        <v>1.26</v>
      </c>
      <c r="J31" t="s">
        <v>188</v>
      </c>
      <c r="K31" s="7">
        <f>N37</f>
        <v>3.4</v>
      </c>
      <c r="M31" s="9" t="s">
        <v>399</v>
      </c>
      <c r="N31" s="10">
        <v>2.7</v>
      </c>
      <c r="O31" s="10">
        <v>5.4</v>
      </c>
      <c r="P31" s="10">
        <v>1.1200000000000001</v>
      </c>
    </row>
    <row r="32" spans="1:19" x14ac:dyDescent="0.25">
      <c r="A32" s="150" t="s">
        <v>189</v>
      </c>
      <c r="B32" s="151">
        <v>0.5</v>
      </c>
      <c r="C32" s="151">
        <f t="shared" si="8"/>
        <v>2.1</v>
      </c>
      <c r="E32" t="s">
        <v>288</v>
      </c>
      <c r="F32" s="7">
        <f>P39</f>
        <v>1.26</v>
      </c>
      <c r="G32" s="7">
        <f t="shared" si="6"/>
        <v>1.26</v>
      </c>
      <c r="J32" t="s">
        <v>189</v>
      </c>
      <c r="K32" s="7">
        <f>N39</f>
        <v>2.1</v>
      </c>
      <c r="M32" s="9" t="s">
        <v>400</v>
      </c>
      <c r="N32" s="10">
        <v>2</v>
      </c>
      <c r="O32" s="10">
        <v>4</v>
      </c>
      <c r="P32" s="10">
        <v>1.1200000000000001</v>
      </c>
    </row>
    <row r="33" spans="1:16" x14ac:dyDescent="0.25">
      <c r="A33" s="150" t="s">
        <v>190</v>
      </c>
      <c r="B33" s="151">
        <v>0.5</v>
      </c>
      <c r="C33" s="151">
        <f t="shared" si="8"/>
        <v>3.3</v>
      </c>
      <c r="E33" t="s">
        <v>157</v>
      </c>
      <c r="F33" s="7">
        <f>P40</f>
        <v>1.26</v>
      </c>
      <c r="G33" s="7">
        <f t="shared" si="6"/>
        <v>1.26</v>
      </c>
      <c r="J33" t="s">
        <v>190</v>
      </c>
      <c r="K33" s="7">
        <f>N40</f>
        <v>3.3</v>
      </c>
      <c r="M33" s="9" t="s">
        <v>401</v>
      </c>
      <c r="N33" s="10">
        <v>1.1499999999999999</v>
      </c>
      <c r="O33" s="10">
        <v>2.2999999999999998</v>
      </c>
      <c r="P33" s="10">
        <v>1.1200000000000001</v>
      </c>
    </row>
    <row r="34" spans="1:16" x14ac:dyDescent="0.25">
      <c r="A34" s="150" t="s">
        <v>191</v>
      </c>
      <c r="B34" s="151">
        <v>0.5</v>
      </c>
      <c r="C34" s="151">
        <f t="shared" si="8"/>
        <v>3.3</v>
      </c>
      <c r="E34" t="s">
        <v>158</v>
      </c>
      <c r="F34" s="7">
        <f>F33</f>
        <v>1.26</v>
      </c>
      <c r="G34" s="7">
        <f t="shared" si="6"/>
        <v>1.26</v>
      </c>
      <c r="J34" t="s">
        <v>191</v>
      </c>
      <c r="K34" s="7">
        <f>N40</f>
        <v>3.3</v>
      </c>
      <c r="M34" s="9" t="s">
        <v>4</v>
      </c>
      <c r="N34" s="10">
        <v>3.75</v>
      </c>
      <c r="O34" s="10">
        <v>7.5</v>
      </c>
      <c r="P34" s="10">
        <v>1.26</v>
      </c>
    </row>
    <row r="35" spans="1:16" x14ac:dyDescent="0.25">
      <c r="A35" s="150" t="s">
        <v>192</v>
      </c>
      <c r="B35" s="151">
        <v>0.5</v>
      </c>
      <c r="C35" s="151">
        <f t="shared" si="8"/>
        <v>2.9</v>
      </c>
      <c r="E35" t="s">
        <v>159</v>
      </c>
      <c r="F35" s="7">
        <f t="shared" ref="F35:F40" si="9">F34</f>
        <v>1.26</v>
      </c>
      <c r="G35" s="7">
        <f t="shared" si="6"/>
        <v>1.26</v>
      </c>
      <c r="J35" t="s">
        <v>192</v>
      </c>
      <c r="K35" s="7">
        <f>N41</f>
        <v>2.9</v>
      </c>
      <c r="M35" s="9" t="s">
        <v>402</v>
      </c>
      <c r="N35" s="10">
        <v>3.7</v>
      </c>
      <c r="O35" s="10">
        <v>7.4</v>
      </c>
      <c r="P35" s="10">
        <v>1.26</v>
      </c>
    </row>
    <row r="36" spans="1:16" x14ac:dyDescent="0.25">
      <c r="A36" s="150" t="s">
        <v>193</v>
      </c>
      <c r="B36" s="151">
        <v>0.5</v>
      </c>
      <c r="C36" s="151">
        <f t="shared" si="8"/>
        <v>2.95</v>
      </c>
      <c r="E36" t="s">
        <v>160</v>
      </c>
      <c r="F36" s="7">
        <f t="shared" si="9"/>
        <v>1.26</v>
      </c>
      <c r="G36" s="7">
        <f t="shared" si="6"/>
        <v>1.26</v>
      </c>
      <c r="J36" t="s">
        <v>193</v>
      </c>
      <c r="K36" s="7">
        <f>N42</f>
        <v>2.95</v>
      </c>
      <c r="M36" s="9" t="s">
        <v>403</v>
      </c>
      <c r="N36" s="10">
        <v>4.05</v>
      </c>
      <c r="O36" s="10">
        <v>8.1</v>
      </c>
      <c r="P36" s="10">
        <v>1.26</v>
      </c>
    </row>
    <row r="37" spans="1:16" x14ac:dyDescent="0.25">
      <c r="A37" s="150" t="s">
        <v>194</v>
      </c>
      <c r="B37" s="151">
        <v>0.5</v>
      </c>
      <c r="C37" s="151">
        <f t="shared" si="8"/>
        <v>4.4000000000000004</v>
      </c>
      <c r="E37" t="s">
        <v>161</v>
      </c>
      <c r="F37" s="7">
        <f t="shared" si="9"/>
        <v>1.26</v>
      </c>
      <c r="G37" s="7">
        <f t="shared" si="6"/>
        <v>1.26</v>
      </c>
      <c r="J37" t="s">
        <v>194</v>
      </c>
      <c r="K37" s="7">
        <f>N47</f>
        <v>4.4000000000000004</v>
      </c>
      <c r="M37" s="9" t="s">
        <v>404</v>
      </c>
      <c r="N37" s="10">
        <v>3.4</v>
      </c>
      <c r="O37" s="10">
        <v>6.8</v>
      </c>
      <c r="P37" s="10">
        <v>1.26</v>
      </c>
    </row>
    <row r="38" spans="1:16" x14ac:dyDescent="0.25">
      <c r="A38" s="150" t="s">
        <v>195</v>
      </c>
      <c r="B38" s="151">
        <v>0.5</v>
      </c>
      <c r="C38" s="151">
        <f t="shared" si="8"/>
        <v>3.75</v>
      </c>
      <c r="E38" s="26" t="s">
        <v>162</v>
      </c>
      <c r="F38" s="28">
        <f t="shared" si="9"/>
        <v>1.26</v>
      </c>
      <c r="G38" s="28">
        <f t="shared" si="6"/>
        <v>1.26</v>
      </c>
      <c r="J38" t="s">
        <v>195</v>
      </c>
      <c r="K38" s="7">
        <f>N49</f>
        <v>3.75</v>
      </c>
      <c r="M38" s="9" t="s">
        <v>405</v>
      </c>
      <c r="N38" s="10">
        <v>2.95</v>
      </c>
      <c r="O38" s="10">
        <v>5.9</v>
      </c>
      <c r="P38" s="10">
        <v>1.26</v>
      </c>
    </row>
    <row r="39" spans="1:16" x14ac:dyDescent="0.25">
      <c r="A39" t="s">
        <v>196</v>
      </c>
      <c r="B39" s="18">
        <f t="shared" ref="B39:B53" si="10">K39</f>
        <v>2.8</v>
      </c>
      <c r="C39" s="7">
        <f t="shared" ref="C39:C53" si="11">B39</f>
        <v>2.8</v>
      </c>
      <c r="E39" t="s">
        <v>163</v>
      </c>
      <c r="F39" s="7">
        <f>F38</f>
        <v>1.26</v>
      </c>
      <c r="G39" s="7">
        <f t="shared" si="6"/>
        <v>1.26</v>
      </c>
      <c r="J39" t="s">
        <v>196</v>
      </c>
      <c r="K39" s="7">
        <f>N50</f>
        <v>2.8</v>
      </c>
      <c r="M39" s="9" t="s">
        <v>406</v>
      </c>
      <c r="N39" s="10">
        <v>2.1</v>
      </c>
      <c r="O39" s="10">
        <v>4.2</v>
      </c>
      <c r="P39" s="10">
        <v>1.26</v>
      </c>
    </row>
    <row r="40" spans="1:16" x14ac:dyDescent="0.25">
      <c r="A40" s="26" t="s">
        <v>197</v>
      </c>
      <c r="B40" s="45">
        <f t="shared" si="10"/>
        <v>2.8</v>
      </c>
      <c r="C40" s="28">
        <f t="shared" si="11"/>
        <v>2.8</v>
      </c>
      <c r="E40" t="s">
        <v>164</v>
      </c>
      <c r="F40" s="7">
        <f t="shared" si="9"/>
        <v>1.26</v>
      </c>
      <c r="G40" s="7">
        <f t="shared" si="6"/>
        <v>1.26</v>
      </c>
      <c r="J40" t="s">
        <v>197</v>
      </c>
      <c r="K40" s="7">
        <f>N52</f>
        <v>2.8</v>
      </c>
      <c r="M40" s="9" t="s">
        <v>407</v>
      </c>
      <c r="N40" s="10">
        <v>3.3</v>
      </c>
      <c r="O40" s="10">
        <v>6.6</v>
      </c>
      <c r="P40" s="10">
        <v>1.26</v>
      </c>
    </row>
    <row r="41" spans="1:16" x14ac:dyDescent="0.25">
      <c r="A41" s="68" t="s">
        <v>198</v>
      </c>
      <c r="B41" s="152">
        <f t="shared" si="10"/>
        <v>0.5</v>
      </c>
      <c r="C41" s="153">
        <f t="shared" si="11"/>
        <v>0.5</v>
      </c>
      <c r="E41" s="26" t="s">
        <v>165</v>
      </c>
      <c r="F41" s="28">
        <f>P54</f>
        <v>1.68</v>
      </c>
      <c r="G41" s="28">
        <f t="shared" si="6"/>
        <v>1.68</v>
      </c>
      <c r="J41" t="s">
        <v>198</v>
      </c>
      <c r="K41" s="7">
        <v>0.5</v>
      </c>
      <c r="M41" s="9" t="s">
        <v>408</v>
      </c>
      <c r="N41" s="10">
        <v>2.9</v>
      </c>
      <c r="O41" s="10">
        <v>5.8</v>
      </c>
      <c r="P41" s="10">
        <v>1.26</v>
      </c>
    </row>
    <row r="42" spans="1:16" x14ac:dyDescent="0.25">
      <c r="A42" s="68" t="s">
        <v>199</v>
      </c>
      <c r="B42" s="152">
        <f t="shared" si="10"/>
        <v>0.5</v>
      </c>
      <c r="C42" s="153">
        <f t="shared" si="11"/>
        <v>0.5</v>
      </c>
      <c r="E42" t="s">
        <v>166</v>
      </c>
      <c r="F42" s="7">
        <f>F41</f>
        <v>1.68</v>
      </c>
      <c r="G42" s="7">
        <f t="shared" si="6"/>
        <v>1.68</v>
      </c>
      <c r="J42" t="s">
        <v>199</v>
      </c>
      <c r="K42" s="7">
        <v>0.5</v>
      </c>
      <c r="M42" s="9" t="s">
        <v>409</v>
      </c>
      <c r="N42" s="10">
        <v>2.95</v>
      </c>
      <c r="O42" s="10">
        <v>5.9</v>
      </c>
      <c r="P42" s="10">
        <v>1.26</v>
      </c>
    </row>
    <row r="43" spans="1:16" x14ac:dyDescent="0.25">
      <c r="A43" s="68" t="s">
        <v>200</v>
      </c>
      <c r="B43" s="152">
        <f t="shared" si="10"/>
        <v>0.5</v>
      </c>
      <c r="C43" s="153">
        <f t="shared" si="11"/>
        <v>0.5</v>
      </c>
      <c r="E43" t="s">
        <v>167</v>
      </c>
      <c r="F43" s="7">
        <f>F42</f>
        <v>1.68</v>
      </c>
      <c r="G43" s="7">
        <f t="shared" si="6"/>
        <v>1.68</v>
      </c>
      <c r="J43" t="s">
        <v>200</v>
      </c>
      <c r="K43" s="7">
        <v>0.5</v>
      </c>
      <c r="M43" s="9" t="s">
        <v>410</v>
      </c>
      <c r="N43" s="10">
        <v>4.2</v>
      </c>
      <c r="O43" s="10">
        <v>8.4</v>
      </c>
      <c r="P43" s="10">
        <v>1.26</v>
      </c>
    </row>
    <row r="44" spans="1:16" x14ac:dyDescent="0.25">
      <c r="A44" s="68" t="s">
        <v>201</v>
      </c>
      <c r="B44" s="152">
        <f t="shared" si="10"/>
        <v>0.5</v>
      </c>
      <c r="C44" s="153">
        <f t="shared" si="11"/>
        <v>0.5</v>
      </c>
      <c r="E44" t="s">
        <v>168</v>
      </c>
      <c r="F44" s="7">
        <f>P62</f>
        <v>1.26</v>
      </c>
      <c r="G44" s="7">
        <f t="shared" si="6"/>
        <v>1.26</v>
      </c>
      <c r="J44" t="s">
        <v>201</v>
      </c>
      <c r="K44" s="7">
        <v>0.5</v>
      </c>
      <c r="M44" s="9" t="s">
        <v>411</v>
      </c>
      <c r="N44" s="10">
        <v>3.75</v>
      </c>
      <c r="O44" s="10">
        <v>7.5</v>
      </c>
      <c r="P44" s="10">
        <v>1.26</v>
      </c>
    </row>
    <row r="45" spans="1:16" x14ac:dyDescent="0.25">
      <c r="A45" s="68" t="s">
        <v>549</v>
      </c>
      <c r="B45" s="152">
        <f t="shared" si="10"/>
        <v>0.5</v>
      </c>
      <c r="C45" s="153">
        <f t="shared" si="11"/>
        <v>0.5</v>
      </c>
      <c r="E45" t="s">
        <v>548</v>
      </c>
      <c r="F45" s="7">
        <f>F44</f>
        <v>1.26</v>
      </c>
      <c r="G45" s="7">
        <f t="shared" si="6"/>
        <v>1.26</v>
      </c>
      <c r="J45" t="s">
        <v>549</v>
      </c>
      <c r="K45" s="7">
        <v>0.5</v>
      </c>
      <c r="M45" s="9" t="s">
        <v>412</v>
      </c>
      <c r="N45" s="10">
        <v>2.8</v>
      </c>
      <c r="O45" s="10">
        <v>5.6</v>
      </c>
      <c r="P45" s="10">
        <v>1.26</v>
      </c>
    </row>
    <row r="46" spans="1:16" x14ac:dyDescent="0.25">
      <c r="A46" s="68" t="s">
        <v>202</v>
      </c>
      <c r="B46" s="152">
        <f t="shared" si="10"/>
        <v>0.5</v>
      </c>
      <c r="C46" s="153">
        <f t="shared" si="11"/>
        <v>0.5</v>
      </c>
      <c r="E46" t="s">
        <v>169</v>
      </c>
      <c r="F46" s="7">
        <f t="shared" ref="F46:F53" si="12">F45</f>
        <v>1.26</v>
      </c>
      <c r="G46" s="7">
        <f t="shared" si="6"/>
        <v>1.26</v>
      </c>
      <c r="J46" t="s">
        <v>202</v>
      </c>
      <c r="K46" s="7">
        <v>0.5</v>
      </c>
      <c r="M46" s="9" t="s">
        <v>413</v>
      </c>
      <c r="N46" s="10">
        <v>4.3</v>
      </c>
      <c r="O46" s="10">
        <v>8.6</v>
      </c>
      <c r="P46" s="10">
        <v>1.26</v>
      </c>
    </row>
    <row r="47" spans="1:16" x14ac:dyDescent="0.25">
      <c r="A47" s="68" t="s">
        <v>203</v>
      </c>
      <c r="B47" s="152">
        <f t="shared" si="10"/>
        <v>0.5</v>
      </c>
      <c r="C47" s="153">
        <f t="shared" si="11"/>
        <v>0.5</v>
      </c>
      <c r="E47" t="s">
        <v>170</v>
      </c>
      <c r="F47" s="7">
        <f t="shared" si="12"/>
        <v>1.26</v>
      </c>
      <c r="G47" s="7">
        <f t="shared" si="6"/>
        <v>1.26</v>
      </c>
      <c r="J47" t="s">
        <v>203</v>
      </c>
      <c r="K47" s="7">
        <v>0.5</v>
      </c>
      <c r="M47" s="9" t="s">
        <v>414</v>
      </c>
      <c r="N47" s="10">
        <v>4.4000000000000004</v>
      </c>
      <c r="O47" s="10">
        <v>8.8000000000000007</v>
      </c>
      <c r="P47" s="10">
        <v>1.26</v>
      </c>
    </row>
    <row r="48" spans="1:16" x14ac:dyDescent="0.25">
      <c r="A48" s="68" t="s">
        <v>204</v>
      </c>
      <c r="B48" s="152">
        <f t="shared" si="10"/>
        <v>0.5</v>
      </c>
      <c r="C48" s="153">
        <f t="shared" si="11"/>
        <v>0.5</v>
      </c>
      <c r="E48" t="s">
        <v>171</v>
      </c>
      <c r="F48" s="7">
        <f t="shared" si="12"/>
        <v>1.26</v>
      </c>
      <c r="G48" s="7">
        <f t="shared" si="6"/>
        <v>1.26</v>
      </c>
      <c r="J48" t="s">
        <v>204</v>
      </c>
      <c r="K48" s="7">
        <v>0.5</v>
      </c>
      <c r="M48" s="9" t="s">
        <v>415</v>
      </c>
      <c r="N48" s="10">
        <v>4.05</v>
      </c>
      <c r="O48" s="10">
        <v>8.1</v>
      </c>
      <c r="P48" s="10">
        <v>1.26</v>
      </c>
    </row>
    <row r="49" spans="1:16" x14ac:dyDescent="0.25">
      <c r="A49" s="68" t="s">
        <v>205</v>
      </c>
      <c r="B49" s="152">
        <f t="shared" si="10"/>
        <v>0.5</v>
      </c>
      <c r="C49" s="153">
        <f t="shared" si="11"/>
        <v>0.5</v>
      </c>
      <c r="E49" t="s">
        <v>172</v>
      </c>
      <c r="F49" s="7">
        <f t="shared" si="12"/>
        <v>1.26</v>
      </c>
      <c r="G49" s="7">
        <f t="shared" si="6"/>
        <v>1.26</v>
      </c>
      <c r="J49" t="s">
        <v>205</v>
      </c>
      <c r="K49" s="7">
        <v>0.5</v>
      </c>
      <c r="M49" s="9" t="s">
        <v>416</v>
      </c>
      <c r="N49" s="10">
        <v>3.75</v>
      </c>
      <c r="O49" s="10">
        <v>7.5</v>
      </c>
      <c r="P49" s="10">
        <v>1.26</v>
      </c>
    </row>
    <row r="50" spans="1:16" x14ac:dyDescent="0.25">
      <c r="A50" s="68" t="s">
        <v>206</v>
      </c>
      <c r="B50" s="152">
        <f t="shared" si="10"/>
        <v>0.5</v>
      </c>
      <c r="C50" s="153">
        <f t="shared" si="11"/>
        <v>0.5</v>
      </c>
      <c r="E50" t="s">
        <v>173</v>
      </c>
      <c r="F50" s="7">
        <f t="shared" si="12"/>
        <v>1.26</v>
      </c>
      <c r="G50" s="7">
        <f t="shared" si="6"/>
        <v>1.26</v>
      </c>
      <c r="J50" t="s">
        <v>206</v>
      </c>
      <c r="K50" s="7">
        <v>0.5</v>
      </c>
      <c r="M50" s="9" t="s">
        <v>417</v>
      </c>
      <c r="N50" s="10">
        <v>2.8</v>
      </c>
      <c r="O50" s="10">
        <v>5.6</v>
      </c>
      <c r="P50" s="10">
        <v>1.26</v>
      </c>
    </row>
    <row r="51" spans="1:16" x14ac:dyDescent="0.25">
      <c r="A51" s="68" t="s">
        <v>207</v>
      </c>
      <c r="B51" s="152">
        <f t="shared" si="10"/>
        <v>0.5</v>
      </c>
      <c r="C51" s="153">
        <f t="shared" si="11"/>
        <v>0.5</v>
      </c>
      <c r="E51" t="s">
        <v>174</v>
      </c>
      <c r="F51" s="7">
        <f t="shared" si="12"/>
        <v>1.26</v>
      </c>
      <c r="G51" s="7">
        <f t="shared" si="6"/>
        <v>1.26</v>
      </c>
      <c r="J51" t="s">
        <v>207</v>
      </c>
      <c r="K51" s="7">
        <v>0.5</v>
      </c>
      <c r="M51" s="9" t="s">
        <v>418</v>
      </c>
      <c r="N51" s="10">
        <v>2.8</v>
      </c>
      <c r="O51" s="10">
        <v>5.6</v>
      </c>
      <c r="P51" s="10">
        <v>1.26</v>
      </c>
    </row>
    <row r="52" spans="1:16" x14ac:dyDescent="0.25">
      <c r="A52" s="68" t="s">
        <v>208</v>
      </c>
      <c r="B52" s="152">
        <f t="shared" si="10"/>
        <v>0.5</v>
      </c>
      <c r="C52" s="153">
        <f t="shared" si="11"/>
        <v>0.5</v>
      </c>
      <c r="E52" t="s">
        <v>175</v>
      </c>
      <c r="F52" s="7">
        <f t="shared" si="12"/>
        <v>1.26</v>
      </c>
      <c r="G52" s="7">
        <f t="shared" si="6"/>
        <v>1.26</v>
      </c>
      <c r="J52" t="s">
        <v>208</v>
      </c>
      <c r="K52" s="7">
        <v>0.5</v>
      </c>
      <c r="M52" s="9" t="s">
        <v>419</v>
      </c>
      <c r="N52" s="10">
        <v>2.8</v>
      </c>
      <c r="O52" s="10">
        <v>5.6</v>
      </c>
      <c r="P52" s="10">
        <v>1.26</v>
      </c>
    </row>
    <row r="53" spans="1:16" x14ac:dyDescent="0.25">
      <c r="A53" s="68" t="s">
        <v>209</v>
      </c>
      <c r="B53" s="152">
        <f t="shared" si="10"/>
        <v>0.5</v>
      </c>
      <c r="C53" s="153">
        <f t="shared" si="11"/>
        <v>0.5</v>
      </c>
      <c r="E53" t="s">
        <v>176</v>
      </c>
      <c r="F53" s="7">
        <f t="shared" si="12"/>
        <v>1.26</v>
      </c>
      <c r="G53" s="7">
        <f t="shared" si="6"/>
        <v>1.26</v>
      </c>
      <c r="J53" t="s">
        <v>209</v>
      </c>
      <c r="K53" s="7">
        <v>0.5</v>
      </c>
      <c r="M53" s="9" t="s">
        <v>6</v>
      </c>
      <c r="N53" s="10">
        <v>1.9</v>
      </c>
      <c r="O53" s="10">
        <v>3.8</v>
      </c>
      <c r="P53" s="10">
        <v>1.68</v>
      </c>
    </row>
    <row r="54" spans="1:16" x14ac:dyDescent="0.25">
      <c r="M54" s="9" t="s">
        <v>420</v>
      </c>
      <c r="N54" s="10">
        <v>1.9</v>
      </c>
      <c r="O54" s="10">
        <v>3.8</v>
      </c>
      <c r="P54" s="10">
        <v>1.68</v>
      </c>
    </row>
    <row r="55" spans="1:16" x14ac:dyDescent="0.25">
      <c r="M55" s="9" t="s">
        <v>421</v>
      </c>
      <c r="N55" s="10">
        <v>1.9</v>
      </c>
      <c r="O55" s="10">
        <v>3.8</v>
      </c>
      <c r="P55" s="10">
        <v>1.68</v>
      </c>
    </row>
    <row r="56" spans="1:16" x14ac:dyDescent="0.25">
      <c r="M56" s="9" t="s">
        <v>422</v>
      </c>
      <c r="N56" s="10">
        <v>1.9</v>
      </c>
      <c r="O56" s="10">
        <v>3.8</v>
      </c>
      <c r="P56" s="10">
        <v>1.68</v>
      </c>
    </row>
    <row r="57" spans="1:16" x14ac:dyDescent="0.25">
      <c r="M57" s="9" t="s">
        <v>423</v>
      </c>
      <c r="N57" s="10">
        <v>1.9</v>
      </c>
      <c r="O57" s="10">
        <v>3.8</v>
      </c>
      <c r="P57" s="10">
        <v>1.68</v>
      </c>
    </row>
    <row r="58" spans="1:16" x14ac:dyDescent="0.25">
      <c r="M58" s="9" t="s">
        <v>424</v>
      </c>
      <c r="N58" s="10">
        <v>1.9</v>
      </c>
      <c r="O58" s="10">
        <v>3.8</v>
      </c>
      <c r="P58" s="10">
        <v>1.26</v>
      </c>
    </row>
    <row r="59" spans="1:16" x14ac:dyDescent="0.25">
      <c r="M59" s="9" t="s">
        <v>425</v>
      </c>
      <c r="N59" s="10">
        <v>1.9</v>
      </c>
      <c r="O59" s="10">
        <v>3.8</v>
      </c>
      <c r="P59" s="10">
        <v>1.26</v>
      </c>
    </row>
    <row r="60" spans="1:16" x14ac:dyDescent="0.25">
      <c r="M60" s="9" t="s">
        <v>426</v>
      </c>
      <c r="N60" s="10">
        <v>1.9</v>
      </c>
      <c r="O60" s="10">
        <v>3.8</v>
      </c>
      <c r="P60" s="10">
        <v>1.26</v>
      </c>
    </row>
    <row r="61" spans="1:16" x14ac:dyDescent="0.25">
      <c r="M61" s="9" t="s">
        <v>427</v>
      </c>
      <c r="N61" s="10">
        <v>1.9</v>
      </c>
      <c r="O61" s="10">
        <v>3.8</v>
      </c>
      <c r="P61" s="10">
        <v>1.26</v>
      </c>
    </row>
    <row r="62" spans="1:16" x14ac:dyDescent="0.25">
      <c r="M62" s="9" t="s">
        <v>428</v>
      </c>
      <c r="N62" s="10">
        <v>1.9</v>
      </c>
      <c r="O62" s="10">
        <v>3.8</v>
      </c>
      <c r="P62" s="10">
        <v>1.26</v>
      </c>
    </row>
    <row r="63" spans="1:16" x14ac:dyDescent="0.25">
      <c r="M63" s="9" t="s">
        <v>429</v>
      </c>
      <c r="N63" s="10">
        <v>1.9</v>
      </c>
      <c r="O63" s="10">
        <v>3.8</v>
      </c>
      <c r="P63" s="10">
        <v>1.26</v>
      </c>
    </row>
    <row r="64" spans="1:16" x14ac:dyDescent="0.25">
      <c r="M64" s="9" t="s">
        <v>430</v>
      </c>
      <c r="N64" s="10">
        <v>1.9</v>
      </c>
      <c r="O64" s="10">
        <v>3.8</v>
      </c>
      <c r="P64" s="10">
        <v>1.26</v>
      </c>
    </row>
    <row r="98" spans="6:7" x14ac:dyDescent="0.25">
      <c r="F98" s="7"/>
      <c r="G98" s="7"/>
    </row>
    <row r="99" spans="6:7" x14ac:dyDescent="0.25">
      <c r="F99" s="7"/>
      <c r="G99" s="7"/>
    </row>
    <row r="100" spans="6:7" x14ac:dyDescent="0.25">
      <c r="F100" s="7"/>
      <c r="G100" s="7"/>
    </row>
    <row r="101" spans="6:7" x14ac:dyDescent="0.25">
      <c r="F101" s="7"/>
      <c r="G101" s="7"/>
    </row>
    <row r="102" spans="6:7" x14ac:dyDescent="0.25">
      <c r="F102" s="7"/>
      <c r="G102" s="7"/>
    </row>
    <row r="103" spans="6:7" x14ac:dyDescent="0.25">
      <c r="F103" s="7"/>
      <c r="G103" s="7"/>
    </row>
    <row r="104" spans="6:7" x14ac:dyDescent="0.25">
      <c r="F104" s="7"/>
      <c r="G104" s="7"/>
    </row>
    <row r="105" spans="6:7" x14ac:dyDescent="0.25">
      <c r="F105" s="7"/>
      <c r="G105" s="7"/>
    </row>
    <row r="106" spans="6:7" x14ac:dyDescent="0.25">
      <c r="F106" s="7"/>
      <c r="G106" s="7"/>
    </row>
    <row r="107" spans="6:7" x14ac:dyDescent="0.25">
      <c r="F107" s="7"/>
      <c r="G107" s="7"/>
    </row>
    <row r="108" spans="6:7" x14ac:dyDescent="0.25">
      <c r="F108" s="7"/>
      <c r="G108" s="7"/>
    </row>
    <row r="109" spans="6:7" x14ac:dyDescent="0.25">
      <c r="F109" s="7"/>
      <c r="G109" s="7"/>
    </row>
    <row r="110" spans="6:7" x14ac:dyDescent="0.25">
      <c r="F110" s="7"/>
      <c r="G110" s="7"/>
    </row>
    <row r="111" spans="6:7" x14ac:dyDescent="0.25">
      <c r="F111" s="7"/>
      <c r="G111" s="7"/>
    </row>
    <row r="112" spans="6:7" x14ac:dyDescent="0.25">
      <c r="F112" s="7"/>
      <c r="G112" s="7"/>
    </row>
    <row r="113" spans="6:7" x14ac:dyDescent="0.25">
      <c r="F113" s="7"/>
      <c r="G113" s="7"/>
    </row>
    <row r="114" spans="6:7" x14ac:dyDescent="0.25">
      <c r="F114" s="7"/>
      <c r="G114" s="7"/>
    </row>
    <row r="115" spans="6:7" x14ac:dyDescent="0.25">
      <c r="F115" s="7"/>
      <c r="G115" s="7"/>
    </row>
    <row r="116" spans="6:7" x14ac:dyDescent="0.25">
      <c r="F116" s="7"/>
      <c r="G116" s="7"/>
    </row>
    <row r="117" spans="6:7" x14ac:dyDescent="0.25">
      <c r="F117" s="7"/>
      <c r="G117" s="7"/>
    </row>
    <row r="118" spans="6:7" x14ac:dyDescent="0.25">
      <c r="F118" s="7"/>
      <c r="G118" s="7"/>
    </row>
    <row r="119" spans="6:7" x14ac:dyDescent="0.25">
      <c r="F119" s="7"/>
      <c r="G119" s="7"/>
    </row>
    <row r="120" spans="6:7" x14ac:dyDescent="0.25">
      <c r="F120" s="7"/>
      <c r="G120" s="7"/>
    </row>
    <row r="121" spans="6:7" x14ac:dyDescent="0.25">
      <c r="F121" s="7"/>
      <c r="G121" s="7"/>
    </row>
    <row r="122" spans="6:7" x14ac:dyDescent="0.25">
      <c r="F122" s="7"/>
      <c r="G122" s="7"/>
    </row>
    <row r="123" spans="6:7" x14ac:dyDescent="0.25">
      <c r="F123" s="7"/>
      <c r="G123" s="7"/>
    </row>
    <row r="124" spans="6:7" x14ac:dyDescent="0.25">
      <c r="F124" s="7"/>
      <c r="G124" s="7"/>
    </row>
    <row r="125" spans="6:7" x14ac:dyDescent="0.25">
      <c r="F125" s="7"/>
      <c r="G125" s="7"/>
    </row>
    <row r="126" spans="6:7" x14ac:dyDescent="0.25">
      <c r="F126" s="7"/>
      <c r="G126" s="7"/>
    </row>
    <row r="127" spans="6:7" x14ac:dyDescent="0.25">
      <c r="F127" s="7"/>
      <c r="G127" s="7"/>
    </row>
    <row r="128" spans="6:7" x14ac:dyDescent="0.25">
      <c r="F128" s="7"/>
      <c r="G128" s="7"/>
    </row>
    <row r="129" spans="6:7" x14ac:dyDescent="0.25">
      <c r="F129" s="7"/>
      <c r="G129" s="7"/>
    </row>
    <row r="130" spans="6:7" x14ac:dyDescent="0.25">
      <c r="F130" s="7"/>
      <c r="G130" s="7"/>
    </row>
    <row r="131" spans="6:7" x14ac:dyDescent="0.25">
      <c r="F131" s="7"/>
      <c r="G131" s="7"/>
    </row>
    <row r="132" spans="6:7" x14ac:dyDescent="0.25">
      <c r="F132" s="7"/>
      <c r="G132" s="7"/>
    </row>
    <row r="133" spans="6:7" x14ac:dyDescent="0.25">
      <c r="F133" s="7"/>
      <c r="G133" s="7"/>
    </row>
    <row r="134" spans="6:7" x14ac:dyDescent="0.25">
      <c r="F134" s="7"/>
      <c r="G134" s="7"/>
    </row>
    <row r="135" spans="6:7" x14ac:dyDescent="0.25">
      <c r="F135" s="7"/>
      <c r="G135" s="7"/>
    </row>
    <row r="136" spans="6:7" x14ac:dyDescent="0.25">
      <c r="F136" s="7"/>
      <c r="G136" s="7"/>
    </row>
    <row r="137" spans="6:7" x14ac:dyDescent="0.25">
      <c r="F137" s="7"/>
      <c r="G137" s="7"/>
    </row>
    <row r="138" spans="6:7" x14ac:dyDescent="0.25">
      <c r="F138" s="7"/>
      <c r="G138" s="7"/>
    </row>
    <row r="139" spans="6:7" x14ac:dyDescent="0.25">
      <c r="F139" s="7"/>
      <c r="G139" s="7"/>
    </row>
    <row r="140" spans="6:7" x14ac:dyDescent="0.25">
      <c r="F140" s="7"/>
      <c r="G140" s="7"/>
    </row>
    <row r="141" spans="6:7" x14ac:dyDescent="0.25">
      <c r="F141" s="7"/>
      <c r="G141" s="7"/>
    </row>
    <row r="142" spans="6:7" x14ac:dyDescent="0.25">
      <c r="F142" s="7"/>
      <c r="G142" s="7"/>
    </row>
    <row r="143" spans="6:7" x14ac:dyDescent="0.25">
      <c r="F143" s="7"/>
      <c r="G143" s="7"/>
    </row>
    <row r="144" spans="6:7" x14ac:dyDescent="0.25">
      <c r="F144" s="7"/>
      <c r="G144" s="7"/>
    </row>
    <row r="145" spans="6:7" x14ac:dyDescent="0.25">
      <c r="F145" s="7"/>
      <c r="G145" s="7"/>
    </row>
    <row r="146" spans="6:7" x14ac:dyDescent="0.25">
      <c r="F146" s="7"/>
      <c r="G146" s="7"/>
    </row>
    <row r="147" spans="6:7" x14ac:dyDescent="0.25">
      <c r="F147" s="7"/>
      <c r="G147" s="7"/>
    </row>
    <row r="148" spans="6:7" x14ac:dyDescent="0.25">
      <c r="F148" s="7"/>
      <c r="G148" s="7"/>
    </row>
    <row r="149" spans="6:7" x14ac:dyDescent="0.25">
      <c r="F149" s="7"/>
      <c r="G149" s="7"/>
    </row>
    <row r="150" spans="6:7" x14ac:dyDescent="0.25">
      <c r="F150" s="7"/>
      <c r="G150" s="7"/>
    </row>
    <row r="151" spans="6:7" x14ac:dyDescent="0.25">
      <c r="F151" s="7"/>
      <c r="G151" s="7"/>
    </row>
    <row r="152" spans="6:7" x14ac:dyDescent="0.25">
      <c r="F152" s="7"/>
      <c r="G152" s="7"/>
    </row>
    <row r="153" spans="6:7" x14ac:dyDescent="0.25">
      <c r="F153" s="7"/>
      <c r="G153" s="7"/>
    </row>
    <row r="154" spans="6:7" x14ac:dyDescent="0.25">
      <c r="F154" s="7"/>
      <c r="G154" s="7"/>
    </row>
    <row r="155" spans="6:7" x14ac:dyDescent="0.25">
      <c r="F155" s="7"/>
      <c r="G155" s="7"/>
    </row>
    <row r="156" spans="6:7" x14ac:dyDescent="0.25">
      <c r="F156" s="7"/>
      <c r="G156" s="7"/>
    </row>
    <row r="157" spans="6:7" x14ac:dyDescent="0.25">
      <c r="F157" s="7"/>
      <c r="G157" s="7"/>
    </row>
    <row r="158" spans="6:7" x14ac:dyDescent="0.25">
      <c r="F158" s="7"/>
      <c r="G158" s="7"/>
    </row>
    <row r="159" spans="6:7" x14ac:dyDescent="0.25">
      <c r="F159" s="7"/>
      <c r="G159" s="7"/>
    </row>
    <row r="160" spans="6:7" x14ac:dyDescent="0.25">
      <c r="F160" s="7"/>
      <c r="G160" s="7"/>
    </row>
    <row r="161" spans="6:7" x14ac:dyDescent="0.25">
      <c r="F161" s="7"/>
      <c r="G161" s="7"/>
    </row>
    <row r="162" spans="6:7" x14ac:dyDescent="0.25">
      <c r="F162" s="7"/>
      <c r="G162" s="7"/>
    </row>
    <row r="163" spans="6:7" x14ac:dyDescent="0.25">
      <c r="F163" s="7"/>
      <c r="G163" s="7"/>
    </row>
    <row r="164" spans="6:7" x14ac:dyDescent="0.25">
      <c r="F164" s="7"/>
      <c r="G164" s="7"/>
    </row>
    <row r="165" spans="6:7" x14ac:dyDescent="0.25">
      <c r="F165" s="7"/>
      <c r="G165" s="7"/>
    </row>
    <row r="166" spans="6:7" x14ac:dyDescent="0.25">
      <c r="F166" s="7"/>
      <c r="G166" s="7"/>
    </row>
    <row r="167" spans="6:7" x14ac:dyDescent="0.25">
      <c r="F167" s="7"/>
      <c r="G167" s="7"/>
    </row>
    <row r="168" spans="6:7" x14ac:dyDescent="0.25">
      <c r="F168" s="7"/>
      <c r="G168" s="7"/>
    </row>
    <row r="169" spans="6:7" x14ac:dyDescent="0.25">
      <c r="F169" s="7"/>
      <c r="G169" s="7"/>
    </row>
    <row r="170" spans="6:7" x14ac:dyDescent="0.25">
      <c r="F170" s="7"/>
      <c r="G170" s="7"/>
    </row>
    <row r="171" spans="6:7" x14ac:dyDescent="0.25">
      <c r="F171" s="7"/>
      <c r="G171" s="7"/>
    </row>
    <row r="172" spans="6:7" x14ac:dyDescent="0.25">
      <c r="F172" s="7"/>
      <c r="G172" s="7"/>
    </row>
    <row r="173" spans="6:7" x14ac:dyDescent="0.25">
      <c r="F173" s="7"/>
      <c r="G173" s="7"/>
    </row>
    <row r="174" spans="6:7" x14ac:dyDescent="0.25">
      <c r="F174" s="7"/>
      <c r="G174" s="7"/>
    </row>
    <row r="175" spans="6:7" x14ac:dyDescent="0.25">
      <c r="F175" s="7"/>
      <c r="G175" s="7"/>
    </row>
    <row r="176" spans="6:7" x14ac:dyDescent="0.25">
      <c r="F176" s="7"/>
      <c r="G176" s="7"/>
    </row>
    <row r="177" spans="6:7" x14ac:dyDescent="0.25">
      <c r="F177" s="7"/>
      <c r="G177" s="7"/>
    </row>
    <row r="178" spans="6:7" x14ac:dyDescent="0.25">
      <c r="F178" s="7"/>
      <c r="G178" s="7"/>
    </row>
    <row r="179" spans="6:7" x14ac:dyDescent="0.25">
      <c r="F179" s="7"/>
      <c r="G179" s="7"/>
    </row>
    <row r="180" spans="6:7" x14ac:dyDescent="0.25">
      <c r="F180" s="7"/>
      <c r="G180" s="7"/>
    </row>
    <row r="181" spans="6:7" x14ac:dyDescent="0.25">
      <c r="F181" s="7"/>
      <c r="G181" s="7"/>
    </row>
    <row r="182" spans="6:7" x14ac:dyDescent="0.25">
      <c r="F182" s="7"/>
      <c r="G182" s="7"/>
    </row>
    <row r="183" spans="6:7" x14ac:dyDescent="0.25">
      <c r="F183" s="7"/>
      <c r="G183" s="7"/>
    </row>
    <row r="184" spans="6:7" x14ac:dyDescent="0.25">
      <c r="F184" s="7"/>
      <c r="G184" s="7"/>
    </row>
    <row r="185" spans="6:7" x14ac:dyDescent="0.25">
      <c r="F185" s="7"/>
      <c r="G185" s="7"/>
    </row>
    <row r="186" spans="6:7" x14ac:dyDescent="0.25">
      <c r="F186" s="7"/>
      <c r="G186" s="7"/>
    </row>
    <row r="187" spans="6:7" x14ac:dyDescent="0.25">
      <c r="F187" s="7"/>
      <c r="G187" s="7"/>
    </row>
    <row r="188" spans="6:7" x14ac:dyDescent="0.25">
      <c r="F188" s="7"/>
      <c r="G188" s="7"/>
    </row>
    <row r="189" spans="6:7" x14ac:dyDescent="0.25">
      <c r="F189" s="7"/>
      <c r="G189" s="7"/>
    </row>
    <row r="190" spans="6:7" x14ac:dyDescent="0.25">
      <c r="F190" s="7"/>
      <c r="G190" s="7"/>
    </row>
    <row r="191" spans="6:7" x14ac:dyDescent="0.25">
      <c r="F191" s="7"/>
      <c r="G191" s="7"/>
    </row>
    <row r="192" spans="6:7" x14ac:dyDescent="0.25">
      <c r="F192" s="7"/>
      <c r="G192" s="7"/>
    </row>
    <row r="193" spans="6:7" x14ac:dyDescent="0.25">
      <c r="F193" s="7"/>
      <c r="G193" s="7"/>
    </row>
    <row r="194" spans="6:7" x14ac:dyDescent="0.25">
      <c r="F194" s="7"/>
      <c r="G194" s="7"/>
    </row>
    <row r="195" spans="6:7" x14ac:dyDescent="0.25">
      <c r="F195" s="7"/>
      <c r="G195" s="7"/>
    </row>
    <row r="196" spans="6:7" x14ac:dyDescent="0.25">
      <c r="F196" s="7"/>
      <c r="G196" s="7"/>
    </row>
    <row r="197" spans="6:7" x14ac:dyDescent="0.25">
      <c r="F197" s="7"/>
      <c r="G197" s="7"/>
    </row>
    <row r="198" spans="6:7" x14ac:dyDescent="0.25">
      <c r="F198" s="7"/>
      <c r="G198" s="7"/>
    </row>
    <row r="199" spans="6:7" x14ac:dyDescent="0.25">
      <c r="F199" s="7"/>
      <c r="G199" s="7"/>
    </row>
    <row r="200" spans="6:7" x14ac:dyDescent="0.25">
      <c r="F200" s="7"/>
      <c r="G200" s="7"/>
    </row>
    <row r="201" spans="6:7" x14ac:dyDescent="0.25">
      <c r="F201" s="7"/>
      <c r="G201" s="7"/>
    </row>
    <row r="202" spans="6:7" x14ac:dyDescent="0.25">
      <c r="F202" s="7"/>
      <c r="G202" s="7"/>
    </row>
    <row r="203" spans="6:7" x14ac:dyDescent="0.25">
      <c r="F203" s="7"/>
      <c r="G203" s="7"/>
    </row>
    <row r="204" spans="6:7" x14ac:dyDescent="0.25">
      <c r="F204" s="7"/>
      <c r="G204" s="7"/>
    </row>
    <row r="205" spans="6:7" x14ac:dyDescent="0.25">
      <c r="F205" s="7"/>
      <c r="G205" s="7"/>
    </row>
    <row r="206" spans="6:7" x14ac:dyDescent="0.25">
      <c r="F206" s="7"/>
      <c r="G206" s="7"/>
    </row>
    <row r="207" spans="6:7" x14ac:dyDescent="0.25">
      <c r="F207" s="7"/>
      <c r="G207" s="7"/>
    </row>
    <row r="208" spans="6:7" x14ac:dyDescent="0.25">
      <c r="F208" s="7"/>
      <c r="G208" s="7"/>
    </row>
    <row r="209" spans="6:7" x14ac:dyDescent="0.25">
      <c r="F209" s="7"/>
      <c r="G209" s="7"/>
    </row>
    <row r="210" spans="6:7" x14ac:dyDescent="0.25">
      <c r="F210" s="7"/>
      <c r="G210" s="7"/>
    </row>
    <row r="211" spans="6:7" x14ac:dyDescent="0.25">
      <c r="F211" s="7"/>
      <c r="G211" s="7"/>
    </row>
    <row r="212" spans="6:7" x14ac:dyDescent="0.25">
      <c r="F212" s="7"/>
      <c r="G212" s="7"/>
    </row>
    <row r="213" spans="6:7" x14ac:dyDescent="0.25">
      <c r="F213" s="7"/>
      <c r="G213" s="7"/>
    </row>
    <row r="214" spans="6:7" x14ac:dyDescent="0.25">
      <c r="F214" s="7"/>
      <c r="G214" s="7"/>
    </row>
    <row r="215" spans="6:7" x14ac:dyDescent="0.25">
      <c r="F215" s="7"/>
      <c r="G215" s="7"/>
    </row>
    <row r="216" spans="6:7" x14ac:dyDescent="0.25">
      <c r="F216" s="7"/>
      <c r="G216" s="7"/>
    </row>
    <row r="217" spans="6:7" x14ac:dyDescent="0.25">
      <c r="F217" s="7"/>
      <c r="G217" s="7"/>
    </row>
    <row r="218" spans="6:7" x14ac:dyDescent="0.25">
      <c r="F218" s="7"/>
      <c r="G218" s="7"/>
    </row>
    <row r="219" spans="6:7" x14ac:dyDescent="0.25">
      <c r="F219" s="7"/>
      <c r="G219" s="7"/>
    </row>
    <row r="220" spans="6:7" x14ac:dyDescent="0.25">
      <c r="F220" s="7"/>
      <c r="G220" s="7"/>
    </row>
    <row r="221" spans="6:7" x14ac:dyDescent="0.25">
      <c r="F221" s="7"/>
      <c r="G221" s="7"/>
    </row>
    <row r="222" spans="6:7" x14ac:dyDescent="0.25">
      <c r="F222" s="7"/>
      <c r="G222" s="7"/>
    </row>
    <row r="223" spans="6:7" x14ac:dyDescent="0.25">
      <c r="F223" s="7"/>
      <c r="G223" s="7"/>
    </row>
    <row r="224" spans="6:7" x14ac:dyDescent="0.25">
      <c r="F224" s="7"/>
      <c r="G224" s="7"/>
    </row>
    <row r="225" spans="6:7" x14ac:dyDescent="0.25">
      <c r="F225" s="7"/>
      <c r="G225" s="7"/>
    </row>
    <row r="226" spans="6:7" x14ac:dyDescent="0.25">
      <c r="F226" s="7"/>
      <c r="G226" s="7"/>
    </row>
    <row r="227" spans="6:7" x14ac:dyDescent="0.25">
      <c r="F227" s="7"/>
      <c r="G227" s="7"/>
    </row>
    <row r="228" spans="6:7" x14ac:dyDescent="0.25">
      <c r="F228" s="7"/>
      <c r="G228" s="7"/>
    </row>
    <row r="229" spans="6:7" x14ac:dyDescent="0.25">
      <c r="F229" s="7"/>
      <c r="G229" s="7"/>
    </row>
    <row r="230" spans="6:7" x14ac:dyDescent="0.25">
      <c r="F230" s="7"/>
      <c r="G230" s="7"/>
    </row>
    <row r="231" spans="6:7" x14ac:dyDescent="0.25">
      <c r="F231" s="7"/>
      <c r="G231" s="7"/>
    </row>
    <row r="232" spans="6:7" x14ac:dyDescent="0.25">
      <c r="F232" s="7"/>
      <c r="G232" s="7"/>
    </row>
    <row r="233" spans="6:7" x14ac:dyDescent="0.25">
      <c r="F233" s="7"/>
      <c r="G233" s="7"/>
    </row>
    <row r="234" spans="6:7" x14ac:dyDescent="0.25">
      <c r="F234" s="7"/>
      <c r="G234" s="7"/>
    </row>
    <row r="235" spans="6:7" x14ac:dyDescent="0.25">
      <c r="F235" s="7"/>
      <c r="G235" s="7"/>
    </row>
    <row r="236" spans="6:7" x14ac:dyDescent="0.25">
      <c r="F236" s="7"/>
      <c r="G236" s="7"/>
    </row>
    <row r="237" spans="6:7" x14ac:dyDescent="0.25">
      <c r="F237" s="7"/>
      <c r="G237" s="7"/>
    </row>
    <row r="238" spans="6:7" x14ac:dyDescent="0.25">
      <c r="F238" s="7"/>
      <c r="G238" s="7"/>
    </row>
    <row r="239" spans="6:7" x14ac:dyDescent="0.25">
      <c r="F239" s="7"/>
      <c r="G239" s="7"/>
    </row>
    <row r="240" spans="6:7" x14ac:dyDescent="0.25">
      <c r="F240" s="7"/>
      <c r="G240" s="7"/>
    </row>
    <row r="241" spans="6:7" x14ac:dyDescent="0.25">
      <c r="F241" s="7"/>
      <c r="G241" s="7"/>
    </row>
    <row r="242" spans="6:7" x14ac:dyDescent="0.25">
      <c r="F242" s="7"/>
      <c r="G242" s="7"/>
    </row>
    <row r="243" spans="6:7" x14ac:dyDescent="0.25">
      <c r="F243" s="7"/>
      <c r="G243" s="7"/>
    </row>
    <row r="244" spans="6:7" x14ac:dyDescent="0.25">
      <c r="F244" s="7"/>
      <c r="G244" s="7"/>
    </row>
    <row r="245" spans="6:7" x14ac:dyDescent="0.25">
      <c r="F245" s="7"/>
      <c r="G245" s="7"/>
    </row>
    <row r="246" spans="6:7" x14ac:dyDescent="0.25">
      <c r="F246" s="7"/>
      <c r="G246" s="7"/>
    </row>
    <row r="247" spans="6:7" x14ac:dyDescent="0.25">
      <c r="F247" s="7"/>
      <c r="G247" s="7"/>
    </row>
    <row r="248" spans="6:7" x14ac:dyDescent="0.25">
      <c r="F248" s="7"/>
      <c r="G248" s="7"/>
    </row>
    <row r="249" spans="6:7" x14ac:dyDescent="0.25">
      <c r="F249" s="7"/>
      <c r="G249" s="7"/>
    </row>
    <row r="250" spans="6:7" x14ac:dyDescent="0.25">
      <c r="F250" s="7"/>
      <c r="G250" s="7"/>
    </row>
    <row r="251" spans="6:7" x14ac:dyDescent="0.25">
      <c r="F251" s="7"/>
      <c r="G251" s="7"/>
    </row>
    <row r="252" spans="6:7" x14ac:dyDescent="0.25">
      <c r="F252" s="7"/>
      <c r="G252" s="7"/>
    </row>
    <row r="253" spans="6:7" x14ac:dyDescent="0.25">
      <c r="F253" s="7"/>
      <c r="G253" s="7"/>
    </row>
    <row r="254" spans="6:7" x14ac:dyDescent="0.25">
      <c r="F254" s="7"/>
      <c r="G254" s="7"/>
    </row>
    <row r="255" spans="6:7" x14ac:dyDescent="0.25">
      <c r="F255" s="7"/>
      <c r="G255" s="7"/>
    </row>
    <row r="256" spans="6:7" x14ac:dyDescent="0.25">
      <c r="F256" s="7"/>
      <c r="G256" s="7"/>
    </row>
    <row r="257" spans="6:7" x14ac:dyDescent="0.25">
      <c r="F257" s="7"/>
      <c r="G257" s="7"/>
    </row>
    <row r="258" spans="6:7" x14ac:dyDescent="0.25">
      <c r="F258" s="7"/>
      <c r="G258" s="7"/>
    </row>
    <row r="259" spans="6:7" x14ac:dyDescent="0.25">
      <c r="F259" s="7"/>
      <c r="G259" s="7"/>
    </row>
    <row r="260" spans="6:7" x14ac:dyDescent="0.25">
      <c r="F260" s="7"/>
      <c r="G260" s="7"/>
    </row>
    <row r="261" spans="6:7" x14ac:dyDescent="0.25">
      <c r="F261" s="7"/>
      <c r="G261" s="7"/>
    </row>
    <row r="262" spans="6:7" x14ac:dyDescent="0.25">
      <c r="F262" s="7"/>
      <c r="G262" s="7"/>
    </row>
    <row r="263" spans="6:7" x14ac:dyDescent="0.25">
      <c r="F263" s="7"/>
      <c r="G263" s="7"/>
    </row>
    <row r="264" spans="6:7" x14ac:dyDescent="0.25">
      <c r="F264" s="7"/>
      <c r="G264" s="7"/>
    </row>
    <row r="265" spans="6:7" x14ac:dyDescent="0.25">
      <c r="F265" s="7"/>
      <c r="G265" s="7"/>
    </row>
    <row r="266" spans="6:7" x14ac:dyDescent="0.25">
      <c r="F266" s="7"/>
      <c r="G266" s="7"/>
    </row>
    <row r="267" spans="6:7" x14ac:dyDescent="0.25">
      <c r="F267" s="7"/>
      <c r="G267" s="7"/>
    </row>
    <row r="268" spans="6:7" x14ac:dyDescent="0.25">
      <c r="F268" s="7"/>
      <c r="G268" s="7"/>
    </row>
    <row r="269" spans="6:7" x14ac:dyDescent="0.25">
      <c r="F269" s="7"/>
      <c r="G269" s="7"/>
    </row>
    <row r="270" spans="6:7" x14ac:dyDescent="0.25">
      <c r="F270" s="7"/>
      <c r="G270" s="7"/>
    </row>
    <row r="271" spans="6:7" x14ac:dyDescent="0.25">
      <c r="F271" s="7"/>
      <c r="G271" s="7"/>
    </row>
    <row r="272" spans="6:7" x14ac:dyDescent="0.25">
      <c r="F272" s="7"/>
      <c r="G272" s="7"/>
    </row>
    <row r="273" spans="6:7" x14ac:dyDescent="0.25">
      <c r="F273" s="7"/>
      <c r="G273" s="7"/>
    </row>
    <row r="274" spans="6:7" x14ac:dyDescent="0.25">
      <c r="F274" s="7"/>
      <c r="G274" s="7"/>
    </row>
    <row r="275" spans="6:7" x14ac:dyDescent="0.25">
      <c r="F275" s="7"/>
      <c r="G275" s="7"/>
    </row>
    <row r="276" spans="6:7" x14ac:dyDescent="0.25">
      <c r="F276" s="7"/>
      <c r="G276" s="7"/>
    </row>
    <row r="277" spans="6:7" x14ac:dyDescent="0.25">
      <c r="F277" s="7"/>
      <c r="G277" s="7"/>
    </row>
    <row r="278" spans="6:7" x14ac:dyDescent="0.25">
      <c r="F278" s="7"/>
      <c r="G278" s="7"/>
    </row>
    <row r="279" spans="6:7" x14ac:dyDescent="0.25">
      <c r="F279" s="7"/>
      <c r="G279" s="7"/>
    </row>
    <row r="280" spans="6:7" x14ac:dyDescent="0.25">
      <c r="F280" s="7"/>
      <c r="G280" s="7"/>
    </row>
    <row r="281" spans="6:7" x14ac:dyDescent="0.25">
      <c r="F281" s="7"/>
      <c r="G281" s="7"/>
    </row>
    <row r="282" spans="6:7" x14ac:dyDescent="0.25">
      <c r="F282" s="7"/>
      <c r="G282" s="7"/>
    </row>
    <row r="283" spans="6:7" x14ac:dyDescent="0.25">
      <c r="F283" s="7"/>
      <c r="G283" s="7"/>
    </row>
    <row r="284" spans="6:7" x14ac:dyDescent="0.25">
      <c r="F284" s="7"/>
      <c r="G284" s="7"/>
    </row>
    <row r="285" spans="6:7" x14ac:dyDescent="0.25">
      <c r="F285" s="7"/>
      <c r="G285" s="7"/>
    </row>
    <row r="286" spans="6:7" x14ac:dyDescent="0.25">
      <c r="F286" s="7"/>
      <c r="G286" s="7"/>
    </row>
    <row r="287" spans="6:7" x14ac:dyDescent="0.25">
      <c r="F287" s="7"/>
      <c r="G287" s="7"/>
    </row>
    <row r="288" spans="6:7" x14ac:dyDescent="0.25">
      <c r="F288" s="7"/>
      <c r="G288" s="7"/>
    </row>
    <row r="289" spans="6:7" x14ac:dyDescent="0.25">
      <c r="F289" s="7"/>
      <c r="G289" s="7"/>
    </row>
    <row r="290" spans="6:7" x14ac:dyDescent="0.25">
      <c r="F290" s="7"/>
      <c r="G290" s="7"/>
    </row>
    <row r="291" spans="6:7" x14ac:dyDescent="0.25">
      <c r="F291" s="7"/>
      <c r="G291" s="7"/>
    </row>
    <row r="292" spans="6:7" x14ac:dyDescent="0.25">
      <c r="F292" s="7"/>
      <c r="G292" s="7"/>
    </row>
    <row r="293" spans="6:7" x14ac:dyDescent="0.25">
      <c r="F293" s="7"/>
      <c r="G293" s="7"/>
    </row>
    <row r="294" spans="6:7" x14ac:dyDescent="0.25">
      <c r="F294" s="7"/>
      <c r="G294" s="7"/>
    </row>
    <row r="295" spans="6:7" x14ac:dyDescent="0.25">
      <c r="F295" s="7"/>
      <c r="G295" s="7"/>
    </row>
    <row r="296" spans="6:7" x14ac:dyDescent="0.25">
      <c r="F296" s="7"/>
      <c r="G296" s="7"/>
    </row>
    <row r="297" spans="6:7" x14ac:dyDescent="0.25">
      <c r="F297" s="7"/>
      <c r="G297" s="7"/>
    </row>
    <row r="298" spans="6:7" x14ac:dyDescent="0.25">
      <c r="F298" s="7"/>
      <c r="G298" s="7"/>
    </row>
    <row r="299" spans="6:7" x14ac:dyDescent="0.25">
      <c r="F299" s="7"/>
      <c r="G299" s="7"/>
    </row>
    <row r="300" spans="6:7" x14ac:dyDescent="0.25">
      <c r="F300" s="7"/>
      <c r="G300" s="7"/>
    </row>
    <row r="301" spans="6:7" x14ac:dyDescent="0.25">
      <c r="F301" s="7"/>
      <c r="G301" s="7"/>
    </row>
    <row r="302" spans="6:7" x14ac:dyDescent="0.25">
      <c r="F302" s="7"/>
      <c r="G302" s="7"/>
    </row>
    <row r="303" spans="6:7" x14ac:dyDescent="0.25">
      <c r="F303" s="7"/>
      <c r="G303" s="7"/>
    </row>
    <row r="304" spans="6:7" x14ac:dyDescent="0.25">
      <c r="F304" s="7"/>
      <c r="G304" s="7"/>
    </row>
    <row r="305" spans="6:7" x14ac:dyDescent="0.25">
      <c r="F305" s="7"/>
      <c r="G305" s="7"/>
    </row>
    <row r="306" spans="6:7" x14ac:dyDescent="0.25">
      <c r="F306" s="7"/>
      <c r="G306" s="7"/>
    </row>
    <row r="307" spans="6:7" x14ac:dyDescent="0.25">
      <c r="F307" s="7"/>
      <c r="G307" s="7"/>
    </row>
    <row r="308" spans="6:7" x14ac:dyDescent="0.25">
      <c r="F308" s="7"/>
      <c r="G308" s="7"/>
    </row>
    <row r="309" spans="6:7" x14ac:dyDescent="0.25">
      <c r="F309" s="7"/>
      <c r="G309" s="7"/>
    </row>
    <row r="310" spans="6:7" x14ac:dyDescent="0.25">
      <c r="F310" s="7"/>
      <c r="G310" s="7"/>
    </row>
    <row r="311" spans="6:7" x14ac:dyDescent="0.25">
      <c r="F311" s="7"/>
      <c r="G311" s="7"/>
    </row>
    <row r="312" spans="6:7" x14ac:dyDescent="0.25">
      <c r="F312" s="7"/>
      <c r="G312" s="7"/>
    </row>
    <row r="313" spans="6:7" x14ac:dyDescent="0.25">
      <c r="F313" s="7"/>
      <c r="G313" s="7"/>
    </row>
    <row r="314" spans="6:7" x14ac:dyDescent="0.25">
      <c r="F314" s="7"/>
      <c r="G314" s="7"/>
    </row>
    <row r="315" spans="6:7" x14ac:dyDescent="0.25">
      <c r="F315" s="7"/>
      <c r="G315" s="7"/>
    </row>
    <row r="316" spans="6:7" x14ac:dyDescent="0.25">
      <c r="F316" s="7"/>
      <c r="G316" s="7"/>
    </row>
    <row r="317" spans="6:7" x14ac:dyDescent="0.25">
      <c r="F317" s="7"/>
      <c r="G317" s="7"/>
    </row>
    <row r="318" spans="6:7" x14ac:dyDescent="0.25">
      <c r="F318" s="7"/>
      <c r="G318" s="7"/>
    </row>
    <row r="319" spans="6:7" x14ac:dyDescent="0.25">
      <c r="F319" s="7"/>
      <c r="G319" s="7"/>
    </row>
    <row r="320" spans="6:7" x14ac:dyDescent="0.25">
      <c r="F320" s="7"/>
      <c r="G320" s="7"/>
    </row>
    <row r="321" spans="6:7" x14ac:dyDescent="0.25">
      <c r="F321" s="7"/>
      <c r="G321" s="7"/>
    </row>
    <row r="322" spans="6:7" x14ac:dyDescent="0.25">
      <c r="F322" s="7"/>
      <c r="G322" s="7"/>
    </row>
    <row r="323" spans="6:7" x14ac:dyDescent="0.25">
      <c r="F323" s="7"/>
      <c r="G323" s="7"/>
    </row>
    <row r="324" spans="6:7" x14ac:dyDescent="0.25">
      <c r="F324" s="7"/>
      <c r="G324" s="7"/>
    </row>
    <row r="325" spans="6:7" x14ac:dyDescent="0.25">
      <c r="F325" s="7"/>
      <c r="G325" s="7"/>
    </row>
    <row r="326" spans="6:7" x14ac:dyDescent="0.25">
      <c r="F326" s="7"/>
      <c r="G326" s="7"/>
    </row>
    <row r="327" spans="6:7" x14ac:dyDescent="0.25">
      <c r="F327" s="7"/>
      <c r="G327" s="7"/>
    </row>
    <row r="328" spans="6:7" x14ac:dyDescent="0.25">
      <c r="F328" s="7"/>
      <c r="G328" s="7"/>
    </row>
    <row r="329" spans="6:7" x14ac:dyDescent="0.25">
      <c r="F329" s="7"/>
      <c r="G329" s="7"/>
    </row>
    <row r="330" spans="6:7" x14ac:dyDescent="0.25">
      <c r="F330" s="7"/>
      <c r="G330" s="7"/>
    </row>
    <row r="331" spans="6:7" x14ac:dyDescent="0.25">
      <c r="F331" s="7"/>
      <c r="G331" s="7"/>
    </row>
    <row r="332" spans="6:7" x14ac:dyDescent="0.25">
      <c r="F332" s="7"/>
      <c r="G332" s="7"/>
    </row>
    <row r="333" spans="6:7" x14ac:dyDescent="0.25">
      <c r="F333" s="7"/>
      <c r="G333" s="7"/>
    </row>
    <row r="334" spans="6:7" x14ac:dyDescent="0.25">
      <c r="F334" s="7"/>
      <c r="G334" s="7"/>
    </row>
    <row r="335" spans="6:7" x14ac:dyDescent="0.25">
      <c r="F335" s="7"/>
      <c r="G335" s="7"/>
    </row>
    <row r="336" spans="6:7" x14ac:dyDescent="0.25">
      <c r="F336" s="7"/>
      <c r="G336" s="7"/>
    </row>
    <row r="337" spans="6:7" x14ac:dyDescent="0.25">
      <c r="F337" s="7"/>
      <c r="G337" s="7"/>
    </row>
    <row r="338" spans="6:7" x14ac:dyDescent="0.25">
      <c r="F338" s="7"/>
      <c r="G338" s="7"/>
    </row>
    <row r="339" spans="6:7" x14ac:dyDescent="0.25">
      <c r="F339" s="7"/>
      <c r="G339" s="7"/>
    </row>
    <row r="340" spans="6:7" x14ac:dyDescent="0.25">
      <c r="F340" s="7"/>
      <c r="G340" s="7"/>
    </row>
    <row r="341" spans="6:7" x14ac:dyDescent="0.25">
      <c r="F341" s="7"/>
      <c r="G341" s="7"/>
    </row>
    <row r="342" spans="6:7" x14ac:dyDescent="0.25">
      <c r="F342" s="7"/>
      <c r="G342" s="7"/>
    </row>
    <row r="343" spans="6:7" x14ac:dyDescent="0.25">
      <c r="F343" s="7"/>
      <c r="G343" s="7"/>
    </row>
    <row r="344" spans="6:7" x14ac:dyDescent="0.25">
      <c r="F344" s="7"/>
      <c r="G344" s="7"/>
    </row>
    <row r="345" spans="6:7" x14ac:dyDescent="0.25">
      <c r="F345" s="7"/>
      <c r="G345" s="7"/>
    </row>
    <row r="346" spans="6:7" x14ac:dyDescent="0.25">
      <c r="F346" s="7"/>
      <c r="G346" s="7"/>
    </row>
    <row r="347" spans="6:7" x14ac:dyDescent="0.25">
      <c r="F347" s="7"/>
      <c r="G347" s="7"/>
    </row>
    <row r="348" spans="6:7" x14ac:dyDescent="0.25">
      <c r="F348" s="7"/>
      <c r="G348" s="7"/>
    </row>
    <row r="349" spans="6:7" x14ac:dyDescent="0.25">
      <c r="F349" s="7"/>
      <c r="G349" s="7"/>
    </row>
    <row r="350" spans="6:7" x14ac:dyDescent="0.25">
      <c r="F350" s="7"/>
      <c r="G350" s="7"/>
    </row>
    <row r="351" spans="6:7" x14ac:dyDescent="0.25">
      <c r="F351" s="7"/>
      <c r="G351" s="7"/>
    </row>
    <row r="352" spans="6:7" x14ac:dyDescent="0.25">
      <c r="F352" s="7"/>
      <c r="G352" s="7"/>
    </row>
    <row r="353" spans="6:7" x14ac:dyDescent="0.25">
      <c r="F353" s="7"/>
      <c r="G353" s="7"/>
    </row>
    <row r="354" spans="6:7" x14ac:dyDescent="0.25">
      <c r="F354" s="7"/>
      <c r="G354" s="7"/>
    </row>
    <row r="355" spans="6:7" x14ac:dyDescent="0.25">
      <c r="F355" s="7"/>
      <c r="G355" s="7"/>
    </row>
    <row r="356" spans="6:7" x14ac:dyDescent="0.25">
      <c r="F356" s="7"/>
      <c r="G356" s="7"/>
    </row>
    <row r="357" spans="6:7" x14ac:dyDescent="0.25">
      <c r="F357" s="7"/>
      <c r="G357" s="7"/>
    </row>
    <row r="358" spans="6:7" x14ac:dyDescent="0.25">
      <c r="F358" s="7"/>
      <c r="G358" s="7"/>
    </row>
    <row r="359" spans="6:7" x14ac:dyDescent="0.25">
      <c r="F359" s="7"/>
      <c r="G359" s="7"/>
    </row>
    <row r="360" spans="6:7" x14ac:dyDescent="0.25">
      <c r="F360" s="7"/>
      <c r="G360" s="7"/>
    </row>
    <row r="361" spans="6:7" x14ac:dyDescent="0.25">
      <c r="F361" s="7"/>
      <c r="G361" s="7"/>
    </row>
    <row r="362" spans="6:7" x14ac:dyDescent="0.25">
      <c r="F362" s="7"/>
      <c r="G362" s="7"/>
    </row>
    <row r="363" spans="6:7" x14ac:dyDescent="0.25">
      <c r="F363" s="7"/>
      <c r="G363" s="7"/>
    </row>
    <row r="364" spans="6:7" x14ac:dyDescent="0.25">
      <c r="F364" s="7"/>
      <c r="G364" s="7"/>
    </row>
    <row r="365" spans="6:7" x14ac:dyDescent="0.25">
      <c r="F365" s="7"/>
      <c r="G365" s="7"/>
    </row>
    <row r="366" spans="6:7" x14ac:dyDescent="0.25">
      <c r="F366" s="7"/>
      <c r="G366" s="7"/>
    </row>
    <row r="367" spans="6:7" x14ac:dyDescent="0.25">
      <c r="F367" s="7"/>
      <c r="G367" s="7"/>
    </row>
    <row r="368" spans="6:7" x14ac:dyDescent="0.25">
      <c r="F368" s="7"/>
      <c r="G368" s="7"/>
    </row>
    <row r="369" spans="6:7" x14ac:dyDescent="0.25">
      <c r="F369" s="7"/>
      <c r="G369" s="7"/>
    </row>
    <row r="370" spans="6:7" x14ac:dyDescent="0.25">
      <c r="F370" s="7"/>
      <c r="G370" s="7"/>
    </row>
    <row r="371" spans="6:7" x14ac:dyDescent="0.25">
      <c r="F371" s="7"/>
      <c r="G371" s="7"/>
    </row>
    <row r="372" spans="6:7" x14ac:dyDescent="0.25">
      <c r="F372" s="7"/>
      <c r="G372" s="7"/>
    </row>
    <row r="373" spans="6:7" x14ac:dyDescent="0.25">
      <c r="F373" s="7"/>
      <c r="G373" s="7"/>
    </row>
    <row r="374" spans="6:7" x14ac:dyDescent="0.25">
      <c r="F374" s="7"/>
      <c r="G374" s="7"/>
    </row>
    <row r="375" spans="6:7" x14ac:dyDescent="0.25">
      <c r="F375" s="7"/>
      <c r="G375" s="7"/>
    </row>
    <row r="376" spans="6:7" x14ac:dyDescent="0.25">
      <c r="F376" s="7"/>
      <c r="G376" s="7"/>
    </row>
    <row r="377" spans="6:7" x14ac:dyDescent="0.25">
      <c r="F377" s="7"/>
      <c r="G377" s="7"/>
    </row>
    <row r="378" spans="6:7" x14ac:dyDescent="0.25">
      <c r="F378" s="7"/>
      <c r="G378" s="7"/>
    </row>
    <row r="379" spans="6:7" x14ac:dyDescent="0.25">
      <c r="F379" s="7"/>
      <c r="G379" s="7"/>
    </row>
    <row r="380" spans="6:7" x14ac:dyDescent="0.25">
      <c r="F380" s="7"/>
      <c r="G380" s="7"/>
    </row>
    <row r="381" spans="6:7" x14ac:dyDescent="0.25">
      <c r="F381" s="7"/>
      <c r="G381" s="7"/>
    </row>
    <row r="382" spans="6:7" x14ac:dyDescent="0.25">
      <c r="F382" s="7"/>
      <c r="G382" s="7"/>
    </row>
    <row r="383" spans="6:7" x14ac:dyDescent="0.25">
      <c r="F383" s="7"/>
      <c r="G383" s="7"/>
    </row>
    <row r="384" spans="6:7" x14ac:dyDescent="0.25">
      <c r="F384" s="7"/>
      <c r="G384" s="7"/>
    </row>
    <row r="385" spans="6:7" x14ac:dyDescent="0.25">
      <c r="F385" s="7"/>
      <c r="G385" s="7"/>
    </row>
    <row r="386" spans="6:7" x14ac:dyDescent="0.25">
      <c r="F386" s="7"/>
      <c r="G386" s="7"/>
    </row>
    <row r="387" spans="6:7" x14ac:dyDescent="0.25">
      <c r="F387" s="7"/>
      <c r="G387" s="7"/>
    </row>
    <row r="388" spans="6:7" x14ac:dyDescent="0.25">
      <c r="F388" s="7"/>
      <c r="G388" s="7"/>
    </row>
    <row r="389" spans="6:7" x14ac:dyDescent="0.25">
      <c r="F389" s="7"/>
      <c r="G389" s="7"/>
    </row>
    <row r="390" spans="6:7" x14ac:dyDescent="0.25">
      <c r="F390" s="7"/>
      <c r="G390" s="7"/>
    </row>
    <row r="391" spans="6:7" x14ac:dyDescent="0.25">
      <c r="F391" s="7"/>
      <c r="G391" s="7"/>
    </row>
    <row r="392" spans="6:7" x14ac:dyDescent="0.25">
      <c r="F392" s="7"/>
      <c r="G392" s="7"/>
    </row>
    <row r="393" spans="6:7" x14ac:dyDescent="0.25">
      <c r="F393" s="7"/>
      <c r="G393" s="7"/>
    </row>
    <row r="394" spans="6:7" x14ac:dyDescent="0.25">
      <c r="F394" s="7"/>
      <c r="G394" s="7"/>
    </row>
    <row r="395" spans="6:7" x14ac:dyDescent="0.25">
      <c r="F395" s="7"/>
      <c r="G395" s="7"/>
    </row>
    <row r="396" spans="6:7" x14ac:dyDescent="0.25">
      <c r="F396" s="7"/>
      <c r="G396" s="7"/>
    </row>
    <row r="397" spans="6:7" x14ac:dyDescent="0.25">
      <c r="F397" s="7"/>
      <c r="G397" s="7"/>
    </row>
    <row r="398" spans="6:7" x14ac:dyDescent="0.25">
      <c r="F398" s="7"/>
      <c r="G398" s="7"/>
    </row>
    <row r="399" spans="6:7" x14ac:dyDescent="0.25">
      <c r="F399" s="7"/>
      <c r="G399" s="7"/>
    </row>
    <row r="400" spans="6:7" x14ac:dyDescent="0.25">
      <c r="F400" s="7"/>
      <c r="G400" s="7"/>
    </row>
    <row r="401" spans="6:7" x14ac:dyDescent="0.25">
      <c r="F401" s="7"/>
      <c r="G401" s="7"/>
    </row>
    <row r="402" spans="6:7" x14ac:dyDescent="0.25">
      <c r="F402" s="7"/>
      <c r="G402" s="7"/>
    </row>
    <row r="403" spans="6:7" x14ac:dyDescent="0.25">
      <c r="F403" s="7"/>
      <c r="G403" s="7"/>
    </row>
    <row r="404" spans="6:7" x14ac:dyDescent="0.25">
      <c r="F404" s="7"/>
      <c r="G404" s="7"/>
    </row>
    <row r="405" spans="6:7" x14ac:dyDescent="0.25">
      <c r="F405" s="7"/>
      <c r="G405" s="7"/>
    </row>
    <row r="406" spans="6:7" x14ac:dyDescent="0.25">
      <c r="F406" s="7"/>
      <c r="G406" s="7"/>
    </row>
    <row r="407" spans="6:7" x14ac:dyDescent="0.25">
      <c r="F407" s="7"/>
      <c r="G407" s="7"/>
    </row>
    <row r="408" spans="6:7" x14ac:dyDescent="0.25">
      <c r="F408" s="7"/>
      <c r="G408" s="7"/>
    </row>
    <row r="409" spans="6:7" x14ac:dyDescent="0.25">
      <c r="F409" s="7"/>
      <c r="G409" s="7"/>
    </row>
    <row r="410" spans="6:7" x14ac:dyDescent="0.25">
      <c r="F410" s="7"/>
      <c r="G410" s="7"/>
    </row>
    <row r="411" spans="6:7" x14ac:dyDescent="0.25">
      <c r="F411" s="7"/>
      <c r="G411" s="7"/>
    </row>
    <row r="412" spans="6:7" x14ac:dyDescent="0.25">
      <c r="F412" s="7"/>
      <c r="G412" s="7"/>
    </row>
    <row r="413" spans="6:7" x14ac:dyDescent="0.25">
      <c r="F413" s="7"/>
      <c r="G413" s="7"/>
    </row>
    <row r="414" spans="6:7" x14ac:dyDescent="0.25">
      <c r="F414" s="7"/>
      <c r="G414" s="7"/>
    </row>
    <row r="415" spans="6:7" x14ac:dyDescent="0.25">
      <c r="F415" s="7"/>
      <c r="G415" s="7"/>
    </row>
    <row r="416" spans="6:7" x14ac:dyDescent="0.25">
      <c r="F416" s="7"/>
      <c r="G416" s="7"/>
    </row>
    <row r="417" spans="6:7" x14ac:dyDescent="0.25">
      <c r="F417" s="7"/>
      <c r="G417" s="7"/>
    </row>
    <row r="418" spans="6:7" x14ac:dyDescent="0.25">
      <c r="F418" s="7"/>
      <c r="G418" s="7"/>
    </row>
    <row r="419" spans="6:7" x14ac:dyDescent="0.25">
      <c r="F419" s="7"/>
      <c r="G419" s="7"/>
    </row>
    <row r="420" spans="6:7" x14ac:dyDescent="0.25">
      <c r="F420" s="7"/>
      <c r="G420" s="7"/>
    </row>
    <row r="421" spans="6:7" x14ac:dyDescent="0.25">
      <c r="F421" s="7"/>
      <c r="G421" s="7"/>
    </row>
    <row r="422" spans="6:7" x14ac:dyDescent="0.25">
      <c r="F422" s="7"/>
      <c r="G422" s="7"/>
    </row>
    <row r="423" spans="6:7" x14ac:dyDescent="0.25">
      <c r="F423" s="7"/>
      <c r="G423" s="7"/>
    </row>
    <row r="424" spans="6:7" x14ac:dyDescent="0.25">
      <c r="F424" s="7"/>
      <c r="G424" s="7"/>
    </row>
    <row r="425" spans="6:7" x14ac:dyDescent="0.25">
      <c r="F425" s="7"/>
      <c r="G425" s="7"/>
    </row>
    <row r="426" spans="6:7" x14ac:dyDescent="0.25">
      <c r="F426" s="7"/>
      <c r="G426" s="7"/>
    </row>
    <row r="427" spans="6:7" x14ac:dyDescent="0.25">
      <c r="F427" s="7"/>
      <c r="G427" s="7"/>
    </row>
    <row r="428" spans="6:7" x14ac:dyDescent="0.25">
      <c r="F428" s="7"/>
      <c r="G428" s="7"/>
    </row>
    <row r="429" spans="6:7" x14ac:dyDescent="0.25">
      <c r="F429" s="7"/>
      <c r="G429" s="7"/>
    </row>
    <row r="430" spans="6:7" x14ac:dyDescent="0.25">
      <c r="F430" s="7"/>
      <c r="G430" s="7"/>
    </row>
    <row r="431" spans="6:7" x14ac:dyDescent="0.25">
      <c r="F431" s="7"/>
      <c r="G431" s="7"/>
    </row>
    <row r="432" spans="6:7" x14ac:dyDescent="0.25">
      <c r="F432" s="7"/>
      <c r="G432" s="7"/>
    </row>
    <row r="433" spans="6:7" x14ac:dyDescent="0.25">
      <c r="F433" s="7"/>
      <c r="G433" s="7"/>
    </row>
    <row r="434" spans="6:7" x14ac:dyDescent="0.25">
      <c r="F434" s="7"/>
      <c r="G434" s="7"/>
    </row>
    <row r="435" spans="6:7" x14ac:dyDescent="0.25">
      <c r="F435" s="7"/>
      <c r="G435" s="7"/>
    </row>
    <row r="436" spans="6:7" x14ac:dyDescent="0.25">
      <c r="F436" s="7"/>
      <c r="G436" s="7"/>
    </row>
    <row r="437" spans="6:7" x14ac:dyDescent="0.25">
      <c r="F437" s="7"/>
      <c r="G437" s="7"/>
    </row>
    <row r="438" spans="6:7" x14ac:dyDescent="0.25">
      <c r="F438" s="7"/>
      <c r="G438" s="7"/>
    </row>
    <row r="439" spans="6:7" x14ac:dyDescent="0.25">
      <c r="F439" s="7"/>
      <c r="G439" s="7"/>
    </row>
    <row r="440" spans="6:7" x14ac:dyDescent="0.25">
      <c r="F440" s="7"/>
      <c r="G440" s="7"/>
    </row>
    <row r="441" spans="6:7" x14ac:dyDescent="0.25">
      <c r="F441" s="7"/>
      <c r="G441" s="7"/>
    </row>
    <row r="442" spans="6:7" x14ac:dyDescent="0.25">
      <c r="F442" s="7"/>
      <c r="G442" s="7"/>
    </row>
    <row r="443" spans="6:7" x14ac:dyDescent="0.25">
      <c r="F443" s="7"/>
      <c r="G443" s="7"/>
    </row>
    <row r="444" spans="6:7" x14ac:dyDescent="0.25">
      <c r="F444" s="7"/>
      <c r="G444" s="7"/>
    </row>
    <row r="445" spans="6:7" x14ac:dyDescent="0.25">
      <c r="F445" s="7"/>
      <c r="G445" s="7"/>
    </row>
    <row r="446" spans="6:7" x14ac:dyDescent="0.25">
      <c r="F446" s="7"/>
      <c r="G446" s="7"/>
    </row>
    <row r="447" spans="6:7" x14ac:dyDescent="0.25">
      <c r="F447" s="7"/>
      <c r="G447" s="7"/>
    </row>
    <row r="448" spans="6:7" x14ac:dyDescent="0.25">
      <c r="F448" s="7"/>
      <c r="G448" s="7"/>
    </row>
    <row r="449" spans="6:7" x14ac:dyDescent="0.25">
      <c r="F449" s="7"/>
      <c r="G449" s="7"/>
    </row>
    <row r="450" spans="6:7" x14ac:dyDescent="0.25">
      <c r="F450" s="7"/>
      <c r="G450" s="7"/>
    </row>
    <row r="451" spans="6:7" x14ac:dyDescent="0.25">
      <c r="F451" s="7"/>
      <c r="G451" s="7"/>
    </row>
    <row r="452" spans="6:7" x14ac:dyDescent="0.25">
      <c r="F452" s="7"/>
      <c r="G452" s="7"/>
    </row>
    <row r="453" spans="6:7" x14ac:dyDescent="0.25">
      <c r="F453" s="7"/>
      <c r="G453" s="7"/>
    </row>
    <row r="454" spans="6:7" x14ac:dyDescent="0.25">
      <c r="F454" s="7"/>
      <c r="G454" s="7"/>
    </row>
    <row r="455" spans="6:7" x14ac:dyDescent="0.25">
      <c r="F455" s="7"/>
      <c r="G455" s="7"/>
    </row>
    <row r="456" spans="6:7" x14ac:dyDescent="0.25">
      <c r="F456" s="7"/>
      <c r="G456" s="7"/>
    </row>
    <row r="457" spans="6:7" x14ac:dyDescent="0.25">
      <c r="F457" s="7"/>
      <c r="G457" s="7"/>
    </row>
    <row r="458" spans="6:7" x14ac:dyDescent="0.25">
      <c r="F458" s="7"/>
      <c r="G458" s="7"/>
    </row>
    <row r="459" spans="6:7" x14ac:dyDescent="0.25">
      <c r="F459" s="7"/>
      <c r="G459" s="7"/>
    </row>
    <row r="460" spans="6:7" x14ac:dyDescent="0.25">
      <c r="F460" s="7"/>
      <c r="G460" s="7"/>
    </row>
    <row r="461" spans="6:7" x14ac:dyDescent="0.25">
      <c r="F461" s="7"/>
      <c r="G461" s="7"/>
    </row>
    <row r="462" spans="6:7" x14ac:dyDescent="0.25">
      <c r="F462" s="7"/>
      <c r="G462" s="7"/>
    </row>
    <row r="463" spans="6:7" x14ac:dyDescent="0.25">
      <c r="F463" s="7"/>
      <c r="G463" s="7"/>
    </row>
    <row r="464" spans="6:7" x14ac:dyDescent="0.25">
      <c r="F464" s="7"/>
      <c r="G464" s="7"/>
    </row>
    <row r="465" spans="6:7" x14ac:dyDescent="0.25">
      <c r="F465" s="7"/>
      <c r="G465" s="7"/>
    </row>
    <row r="466" spans="6:7" x14ac:dyDescent="0.25">
      <c r="F466" s="7"/>
      <c r="G466" s="7"/>
    </row>
    <row r="467" spans="6:7" x14ac:dyDescent="0.25">
      <c r="F467" s="7"/>
      <c r="G467" s="7"/>
    </row>
    <row r="468" spans="6:7" x14ac:dyDescent="0.25">
      <c r="F468" s="7"/>
      <c r="G468" s="7"/>
    </row>
    <row r="469" spans="6:7" x14ac:dyDescent="0.25">
      <c r="F469" s="7"/>
      <c r="G469" s="7"/>
    </row>
    <row r="470" spans="6:7" x14ac:dyDescent="0.25">
      <c r="F470" s="7"/>
      <c r="G470" s="7"/>
    </row>
    <row r="471" spans="6:7" x14ac:dyDescent="0.25">
      <c r="F471" s="7"/>
      <c r="G471" s="7"/>
    </row>
    <row r="472" spans="6:7" x14ac:dyDescent="0.25">
      <c r="F472" s="7"/>
      <c r="G472" s="7"/>
    </row>
    <row r="473" spans="6:7" x14ac:dyDescent="0.25">
      <c r="F473" s="7"/>
      <c r="G473" s="7"/>
    </row>
    <row r="474" spans="6:7" x14ac:dyDescent="0.25">
      <c r="F474" s="7"/>
      <c r="G474" s="7"/>
    </row>
    <row r="475" spans="6:7" x14ac:dyDescent="0.25">
      <c r="F475" s="7"/>
      <c r="G475" s="7"/>
    </row>
    <row r="476" spans="6:7" x14ac:dyDescent="0.25">
      <c r="F476" s="7"/>
      <c r="G476" s="7"/>
    </row>
    <row r="477" spans="6:7" x14ac:dyDescent="0.25">
      <c r="F477" s="7"/>
      <c r="G477" s="7"/>
    </row>
    <row r="478" spans="6:7" x14ac:dyDescent="0.25">
      <c r="F478" s="7"/>
      <c r="G478" s="7"/>
    </row>
    <row r="479" spans="6:7" x14ac:dyDescent="0.25">
      <c r="F479" s="7"/>
      <c r="G479" s="7"/>
    </row>
    <row r="480" spans="6:7" x14ac:dyDescent="0.25">
      <c r="F480" s="7"/>
      <c r="G480" s="7"/>
    </row>
    <row r="481" spans="6:7" x14ac:dyDescent="0.25">
      <c r="F481" s="7"/>
      <c r="G481" s="7"/>
    </row>
    <row r="482" spans="6:7" x14ac:dyDescent="0.25">
      <c r="F482" s="7"/>
      <c r="G482" s="7"/>
    </row>
    <row r="483" spans="6:7" x14ac:dyDescent="0.25">
      <c r="F483" s="7"/>
      <c r="G483" s="7"/>
    </row>
    <row r="484" spans="6:7" x14ac:dyDescent="0.25">
      <c r="F484" s="7"/>
      <c r="G484" s="7"/>
    </row>
    <row r="485" spans="6:7" x14ac:dyDescent="0.25">
      <c r="F485" s="7"/>
      <c r="G485" s="7"/>
    </row>
    <row r="486" spans="6:7" x14ac:dyDescent="0.25">
      <c r="F486" s="7"/>
      <c r="G486" s="7"/>
    </row>
    <row r="487" spans="6:7" x14ac:dyDescent="0.25">
      <c r="F487" s="7"/>
      <c r="G487" s="7"/>
    </row>
    <row r="488" spans="6:7" x14ac:dyDescent="0.25">
      <c r="F488" s="7"/>
      <c r="G488" s="7"/>
    </row>
    <row r="489" spans="6:7" x14ac:dyDescent="0.25">
      <c r="F489" s="7"/>
      <c r="G489" s="7"/>
    </row>
    <row r="490" spans="6:7" x14ac:dyDescent="0.25">
      <c r="F490" s="7"/>
      <c r="G490" s="7"/>
    </row>
    <row r="491" spans="6:7" x14ac:dyDescent="0.25">
      <c r="F491" s="7"/>
      <c r="G491" s="7"/>
    </row>
    <row r="492" spans="6:7" x14ac:dyDescent="0.25">
      <c r="F492" s="7"/>
      <c r="G492" s="7"/>
    </row>
    <row r="493" spans="6:7" x14ac:dyDescent="0.25">
      <c r="F493" s="7"/>
      <c r="G493" s="7"/>
    </row>
    <row r="494" spans="6:7" x14ac:dyDescent="0.25">
      <c r="F494" s="7"/>
      <c r="G494" s="7"/>
    </row>
    <row r="495" spans="6:7" x14ac:dyDescent="0.25">
      <c r="F495" s="7"/>
      <c r="G495" s="7"/>
    </row>
    <row r="496" spans="6:7" x14ac:dyDescent="0.25">
      <c r="F496" s="7"/>
      <c r="G496" s="7"/>
    </row>
    <row r="497" spans="6:7" x14ac:dyDescent="0.25">
      <c r="F497" s="7"/>
      <c r="G497" s="7"/>
    </row>
    <row r="498" spans="6:7" x14ac:dyDescent="0.25">
      <c r="F498" s="7"/>
      <c r="G498" s="7"/>
    </row>
    <row r="499" spans="6:7" x14ac:dyDescent="0.25">
      <c r="F499" s="7"/>
      <c r="G499" s="7"/>
    </row>
    <row r="500" spans="6:7" x14ac:dyDescent="0.25">
      <c r="F500" s="7"/>
      <c r="G500" s="7"/>
    </row>
    <row r="501" spans="6:7" x14ac:dyDescent="0.25">
      <c r="F501" s="7"/>
      <c r="G501" s="7"/>
    </row>
    <row r="502" spans="6:7" x14ac:dyDescent="0.25">
      <c r="F502" s="7"/>
      <c r="G502" s="7"/>
    </row>
    <row r="503" spans="6:7" x14ac:dyDescent="0.25">
      <c r="F503" s="7"/>
      <c r="G503" s="7"/>
    </row>
    <row r="504" spans="6:7" x14ac:dyDescent="0.25">
      <c r="F504" s="7"/>
      <c r="G504" s="7"/>
    </row>
    <row r="505" spans="6:7" x14ac:dyDescent="0.25">
      <c r="F505" s="7"/>
      <c r="G505" s="7"/>
    </row>
    <row r="506" spans="6:7" x14ac:dyDescent="0.25">
      <c r="F506" s="7"/>
      <c r="G506" s="7"/>
    </row>
    <row r="507" spans="6:7" x14ac:dyDescent="0.25">
      <c r="F507" s="7"/>
      <c r="G507" s="7"/>
    </row>
    <row r="508" spans="6:7" x14ac:dyDescent="0.25">
      <c r="F508" s="7"/>
      <c r="G508" s="7"/>
    </row>
    <row r="509" spans="6:7" x14ac:dyDescent="0.25">
      <c r="F509" s="7"/>
      <c r="G509" s="7"/>
    </row>
    <row r="510" spans="6:7" x14ac:dyDescent="0.25">
      <c r="F510" s="7"/>
      <c r="G510" s="7"/>
    </row>
    <row r="511" spans="6:7" x14ac:dyDescent="0.25">
      <c r="F511" s="7"/>
      <c r="G511" s="7"/>
    </row>
    <row r="512" spans="6:7" x14ac:dyDescent="0.25">
      <c r="F512" s="7"/>
      <c r="G512" s="7"/>
    </row>
    <row r="513" spans="6:7" x14ac:dyDescent="0.25">
      <c r="F513" s="7"/>
      <c r="G513" s="7"/>
    </row>
    <row r="514" spans="6:7" x14ac:dyDescent="0.25">
      <c r="F514" s="7"/>
      <c r="G514" s="7"/>
    </row>
    <row r="515" spans="6:7" x14ac:dyDescent="0.25">
      <c r="F515" s="7"/>
      <c r="G515" s="7"/>
    </row>
    <row r="516" spans="6:7" x14ac:dyDescent="0.25">
      <c r="F516" s="7"/>
      <c r="G516" s="7"/>
    </row>
    <row r="517" spans="6:7" x14ac:dyDescent="0.25">
      <c r="F517" s="7"/>
      <c r="G517" s="7"/>
    </row>
    <row r="518" spans="6:7" x14ac:dyDescent="0.25">
      <c r="F518" s="7"/>
      <c r="G518" s="7"/>
    </row>
    <row r="519" spans="6:7" x14ac:dyDescent="0.25">
      <c r="F519" s="7"/>
      <c r="G519" s="7"/>
    </row>
    <row r="520" spans="6:7" x14ac:dyDescent="0.25">
      <c r="F520" s="7"/>
      <c r="G520" s="7"/>
    </row>
    <row r="521" spans="6:7" x14ac:dyDescent="0.25">
      <c r="F521" s="7"/>
      <c r="G521" s="7"/>
    </row>
    <row r="522" spans="6:7" x14ac:dyDescent="0.25">
      <c r="F522" s="7"/>
      <c r="G522" s="7"/>
    </row>
    <row r="523" spans="6:7" x14ac:dyDescent="0.25">
      <c r="F523" s="7"/>
      <c r="G523" s="7"/>
    </row>
    <row r="524" spans="6:7" x14ac:dyDescent="0.25">
      <c r="F524" s="7"/>
      <c r="G524" s="7"/>
    </row>
    <row r="525" spans="6:7" x14ac:dyDescent="0.25">
      <c r="F525" s="7"/>
      <c r="G525" s="7"/>
    </row>
    <row r="526" spans="6:7" x14ac:dyDescent="0.25">
      <c r="F526" s="7"/>
      <c r="G526" s="7"/>
    </row>
    <row r="527" spans="6:7" x14ac:dyDescent="0.25">
      <c r="F527" s="7"/>
      <c r="G527" s="7"/>
    </row>
    <row r="528" spans="6:7" x14ac:dyDescent="0.25">
      <c r="F528" s="7"/>
      <c r="G528" s="7"/>
    </row>
    <row r="529" spans="6:7" x14ac:dyDescent="0.25">
      <c r="F529" s="7"/>
      <c r="G529" s="7"/>
    </row>
    <row r="530" spans="6:7" x14ac:dyDescent="0.25">
      <c r="F530" s="7"/>
      <c r="G530" s="7"/>
    </row>
    <row r="531" spans="6:7" x14ac:dyDescent="0.25">
      <c r="F531" s="7"/>
      <c r="G531" s="7"/>
    </row>
    <row r="532" spans="6:7" x14ac:dyDescent="0.25">
      <c r="F532" s="7"/>
      <c r="G532" s="7"/>
    </row>
    <row r="533" spans="6:7" x14ac:dyDescent="0.25">
      <c r="F533" s="7"/>
      <c r="G533" s="7"/>
    </row>
    <row r="534" spans="6:7" x14ac:dyDescent="0.25">
      <c r="F534" s="7"/>
      <c r="G534" s="7"/>
    </row>
    <row r="535" spans="6:7" x14ac:dyDescent="0.25">
      <c r="F535" s="7"/>
      <c r="G535" s="7"/>
    </row>
    <row r="536" spans="6:7" x14ac:dyDescent="0.25">
      <c r="F536" s="7"/>
      <c r="G536" s="7"/>
    </row>
    <row r="537" spans="6:7" x14ac:dyDescent="0.25">
      <c r="F537" s="7"/>
      <c r="G537" s="7"/>
    </row>
    <row r="538" spans="6:7" x14ac:dyDescent="0.25">
      <c r="F538" s="7"/>
      <c r="G538" s="7"/>
    </row>
    <row r="539" spans="6:7" x14ac:dyDescent="0.25">
      <c r="F539" s="7"/>
      <c r="G539" s="7"/>
    </row>
    <row r="540" spans="6:7" x14ac:dyDescent="0.25">
      <c r="F540" s="7"/>
      <c r="G540" s="7"/>
    </row>
    <row r="541" spans="6:7" x14ac:dyDescent="0.25">
      <c r="F541" s="7"/>
      <c r="G541" s="7"/>
    </row>
    <row r="542" spans="6:7" x14ac:dyDescent="0.25">
      <c r="F542" s="7"/>
      <c r="G542" s="7"/>
    </row>
    <row r="543" spans="6:7" x14ac:dyDescent="0.25">
      <c r="F543" s="7"/>
      <c r="G543" s="7"/>
    </row>
    <row r="544" spans="6:7" x14ac:dyDescent="0.25">
      <c r="F544" s="7"/>
      <c r="G544" s="7"/>
    </row>
    <row r="545" spans="6:7" x14ac:dyDescent="0.25">
      <c r="F545" s="7"/>
      <c r="G545" s="7"/>
    </row>
    <row r="546" spans="6:7" x14ac:dyDescent="0.25">
      <c r="F546" s="7"/>
      <c r="G546" s="7"/>
    </row>
    <row r="547" spans="6:7" x14ac:dyDescent="0.25">
      <c r="F547" s="7"/>
      <c r="G547" s="7"/>
    </row>
    <row r="548" spans="6:7" x14ac:dyDescent="0.25">
      <c r="F548" s="7"/>
      <c r="G548" s="7"/>
    </row>
    <row r="549" spans="6:7" x14ac:dyDescent="0.25">
      <c r="F549" s="7"/>
      <c r="G549" s="7"/>
    </row>
    <row r="550" spans="6:7" x14ac:dyDescent="0.25">
      <c r="F550" s="7"/>
      <c r="G550" s="7"/>
    </row>
    <row r="551" spans="6:7" x14ac:dyDescent="0.25">
      <c r="F551" s="7"/>
      <c r="G551" s="7"/>
    </row>
    <row r="552" spans="6:7" x14ac:dyDescent="0.25">
      <c r="F552" s="7"/>
      <c r="G552" s="7"/>
    </row>
    <row r="553" spans="6:7" x14ac:dyDescent="0.25">
      <c r="F553" s="7"/>
      <c r="G553" s="7"/>
    </row>
    <row r="554" spans="6:7" x14ac:dyDescent="0.25">
      <c r="F554" s="7"/>
      <c r="G554" s="7"/>
    </row>
    <row r="555" spans="6:7" x14ac:dyDescent="0.25">
      <c r="F555" s="7"/>
      <c r="G555" s="7"/>
    </row>
    <row r="556" spans="6:7" x14ac:dyDescent="0.25">
      <c r="F556" s="7"/>
      <c r="G556" s="7"/>
    </row>
    <row r="557" spans="6:7" x14ac:dyDescent="0.25">
      <c r="F557" s="7"/>
      <c r="G557" s="7"/>
    </row>
    <row r="558" spans="6:7" x14ac:dyDescent="0.25">
      <c r="F558" s="7"/>
      <c r="G558" s="7"/>
    </row>
    <row r="559" spans="6:7" x14ac:dyDescent="0.25">
      <c r="F559" s="7"/>
      <c r="G559" s="7"/>
    </row>
    <row r="560" spans="6:7" x14ac:dyDescent="0.25">
      <c r="F560" s="7"/>
      <c r="G560" s="7"/>
    </row>
    <row r="561" spans="6:7" x14ac:dyDescent="0.25">
      <c r="F561" s="7"/>
      <c r="G561" s="7"/>
    </row>
    <row r="562" spans="6:7" x14ac:dyDescent="0.25">
      <c r="F562" s="7"/>
      <c r="G562" s="7"/>
    </row>
    <row r="563" spans="6:7" x14ac:dyDescent="0.25">
      <c r="F563" s="7"/>
      <c r="G563" s="7"/>
    </row>
    <row r="564" spans="6:7" x14ac:dyDescent="0.25">
      <c r="F564" s="7"/>
      <c r="G564" s="7"/>
    </row>
    <row r="565" spans="6:7" x14ac:dyDescent="0.25">
      <c r="F565" s="7"/>
      <c r="G565" s="7"/>
    </row>
    <row r="566" spans="6:7" x14ac:dyDescent="0.25">
      <c r="F566" s="7"/>
      <c r="G566" s="7"/>
    </row>
    <row r="567" spans="6:7" x14ac:dyDescent="0.25">
      <c r="F567" s="7"/>
      <c r="G567" s="7"/>
    </row>
    <row r="568" spans="6:7" x14ac:dyDescent="0.25">
      <c r="F568" s="7"/>
      <c r="G568" s="7"/>
    </row>
    <row r="569" spans="6:7" x14ac:dyDescent="0.25">
      <c r="F569" s="7"/>
      <c r="G569" s="7"/>
    </row>
    <row r="570" spans="6:7" x14ac:dyDescent="0.25">
      <c r="F570" s="7"/>
      <c r="G570" s="7"/>
    </row>
    <row r="571" spans="6:7" x14ac:dyDescent="0.25">
      <c r="F571" s="7"/>
      <c r="G571" s="7"/>
    </row>
    <row r="572" spans="6:7" x14ac:dyDescent="0.25">
      <c r="F572" s="7"/>
      <c r="G572" s="7"/>
    </row>
    <row r="573" spans="6:7" x14ac:dyDescent="0.25">
      <c r="F573" s="7"/>
      <c r="G573" s="7"/>
    </row>
    <row r="574" spans="6:7" x14ac:dyDescent="0.25">
      <c r="F574" s="7"/>
      <c r="G574" s="7"/>
    </row>
    <row r="575" spans="6:7" x14ac:dyDescent="0.25">
      <c r="F575" s="7"/>
      <c r="G575" s="7"/>
    </row>
    <row r="576" spans="6:7" x14ac:dyDescent="0.25">
      <c r="F576" s="7"/>
      <c r="G576" s="7"/>
    </row>
    <row r="577" spans="6:7" x14ac:dyDescent="0.25">
      <c r="F577" s="7"/>
      <c r="G577" s="7"/>
    </row>
    <row r="578" spans="6:7" x14ac:dyDescent="0.25">
      <c r="F578" s="7"/>
      <c r="G578" s="7"/>
    </row>
    <row r="579" spans="6:7" x14ac:dyDescent="0.25">
      <c r="F579" s="7"/>
      <c r="G579" s="7"/>
    </row>
    <row r="580" spans="6:7" x14ac:dyDescent="0.25">
      <c r="F580" s="7"/>
      <c r="G580" s="7"/>
    </row>
    <row r="581" spans="6:7" x14ac:dyDescent="0.25">
      <c r="F581" s="7"/>
      <c r="G581" s="7"/>
    </row>
    <row r="582" spans="6:7" x14ac:dyDescent="0.25">
      <c r="F582" s="7"/>
      <c r="G582" s="7"/>
    </row>
    <row r="583" spans="6:7" x14ac:dyDescent="0.25">
      <c r="F583" s="7"/>
      <c r="G583" s="7"/>
    </row>
    <row r="584" spans="6:7" x14ac:dyDescent="0.25">
      <c r="F584" s="7"/>
      <c r="G584" s="7"/>
    </row>
    <row r="585" spans="6:7" x14ac:dyDescent="0.25">
      <c r="F585" s="7"/>
      <c r="G585" s="7"/>
    </row>
    <row r="586" spans="6:7" x14ac:dyDescent="0.25">
      <c r="F586" s="7"/>
      <c r="G586" s="7"/>
    </row>
    <row r="587" spans="6:7" x14ac:dyDescent="0.25">
      <c r="F587" s="7"/>
      <c r="G587" s="7"/>
    </row>
    <row r="588" spans="6:7" x14ac:dyDescent="0.25">
      <c r="F588" s="7"/>
      <c r="G588" s="7"/>
    </row>
    <row r="589" spans="6:7" x14ac:dyDescent="0.25">
      <c r="F589" s="7"/>
      <c r="G589" s="7"/>
    </row>
    <row r="590" spans="6:7" x14ac:dyDescent="0.25">
      <c r="F590" s="7"/>
      <c r="G590" s="7"/>
    </row>
    <row r="591" spans="6:7" x14ac:dyDescent="0.25">
      <c r="F591" s="7"/>
      <c r="G591" s="7"/>
    </row>
    <row r="592" spans="6:7" x14ac:dyDescent="0.25">
      <c r="F592" s="7"/>
      <c r="G592" s="7"/>
    </row>
    <row r="593" spans="6:7" x14ac:dyDescent="0.25">
      <c r="F593" s="7"/>
      <c r="G593" s="7"/>
    </row>
    <row r="594" spans="6:7" x14ac:dyDescent="0.25">
      <c r="F594" s="7"/>
      <c r="G594" s="7"/>
    </row>
    <row r="595" spans="6:7" x14ac:dyDescent="0.25">
      <c r="F595" s="7"/>
      <c r="G595" s="7"/>
    </row>
    <row r="596" spans="6:7" x14ac:dyDescent="0.25">
      <c r="F596" s="7"/>
      <c r="G596" s="7"/>
    </row>
    <row r="597" spans="6:7" x14ac:dyDescent="0.25">
      <c r="F597" s="7"/>
      <c r="G597" s="7"/>
    </row>
    <row r="598" spans="6:7" x14ac:dyDescent="0.25">
      <c r="F598" s="7"/>
      <c r="G598" s="7"/>
    </row>
    <row r="599" spans="6:7" x14ac:dyDescent="0.25">
      <c r="F599" s="7"/>
      <c r="G599" s="7"/>
    </row>
    <row r="600" spans="6:7" x14ac:dyDescent="0.25">
      <c r="F600" s="7"/>
      <c r="G600" s="7"/>
    </row>
    <row r="601" spans="6:7" x14ac:dyDescent="0.25">
      <c r="F601" s="7"/>
      <c r="G601" s="7"/>
    </row>
    <row r="602" spans="6:7" x14ac:dyDescent="0.25">
      <c r="F602" s="7"/>
      <c r="G602" s="7"/>
    </row>
    <row r="603" spans="6:7" x14ac:dyDescent="0.25">
      <c r="F603" s="7"/>
      <c r="G603" s="7"/>
    </row>
    <row r="604" spans="6:7" x14ac:dyDescent="0.25">
      <c r="F604" s="7"/>
      <c r="G604" s="7"/>
    </row>
    <row r="605" spans="6:7" x14ac:dyDescent="0.25">
      <c r="F605" s="7"/>
      <c r="G605" s="7"/>
    </row>
    <row r="606" spans="6:7" x14ac:dyDescent="0.25">
      <c r="F606" s="7"/>
      <c r="G606" s="7"/>
    </row>
    <row r="607" spans="6:7" x14ac:dyDescent="0.25">
      <c r="F607" s="7"/>
      <c r="G607" s="7"/>
    </row>
    <row r="608" spans="6:7" x14ac:dyDescent="0.25">
      <c r="F608" s="7"/>
      <c r="G608" s="7"/>
    </row>
    <row r="609" spans="6:7" x14ac:dyDescent="0.25">
      <c r="F609" s="7"/>
      <c r="G609" s="7"/>
    </row>
    <row r="610" spans="6:7" x14ac:dyDescent="0.25">
      <c r="F610" s="7"/>
      <c r="G610" s="7"/>
    </row>
    <row r="611" spans="6:7" x14ac:dyDescent="0.25">
      <c r="F611" s="7"/>
      <c r="G611" s="7"/>
    </row>
    <row r="612" spans="6:7" x14ac:dyDescent="0.25">
      <c r="F612" s="7"/>
      <c r="G612" s="7"/>
    </row>
    <row r="613" spans="6:7" x14ac:dyDescent="0.25">
      <c r="F613" s="7"/>
      <c r="G613" s="7"/>
    </row>
    <row r="614" spans="6:7" x14ac:dyDescent="0.25">
      <c r="F614" s="7"/>
      <c r="G614" s="7"/>
    </row>
    <row r="615" spans="6:7" x14ac:dyDescent="0.25">
      <c r="F615" s="7"/>
      <c r="G615" s="7"/>
    </row>
    <row r="616" spans="6:7" x14ac:dyDescent="0.25">
      <c r="F616" s="7"/>
      <c r="G616" s="7"/>
    </row>
    <row r="617" spans="6:7" x14ac:dyDescent="0.25">
      <c r="F617" s="7"/>
      <c r="G617" s="7"/>
    </row>
    <row r="618" spans="6:7" x14ac:dyDescent="0.25">
      <c r="F618" s="7"/>
      <c r="G618" s="7"/>
    </row>
    <row r="619" spans="6:7" x14ac:dyDescent="0.25">
      <c r="F619" s="7"/>
      <c r="G619" s="7"/>
    </row>
    <row r="620" spans="6:7" x14ac:dyDescent="0.25">
      <c r="F620" s="7"/>
      <c r="G620" s="7"/>
    </row>
    <row r="621" spans="6:7" x14ac:dyDescent="0.25">
      <c r="F621" s="7"/>
      <c r="G621" s="7"/>
    </row>
    <row r="622" spans="6:7" x14ac:dyDescent="0.25">
      <c r="F622" s="7"/>
      <c r="G622" s="7"/>
    </row>
    <row r="623" spans="6:7" x14ac:dyDescent="0.25">
      <c r="F623" s="7"/>
      <c r="G623" s="7"/>
    </row>
    <row r="624" spans="6:7" x14ac:dyDescent="0.25">
      <c r="F624" s="7"/>
      <c r="G624" s="7"/>
    </row>
    <row r="625" spans="6:7" x14ac:dyDescent="0.25">
      <c r="F625" s="7"/>
      <c r="G625" s="7"/>
    </row>
    <row r="626" spans="6:7" x14ac:dyDescent="0.25">
      <c r="F626" s="7"/>
      <c r="G626" s="7"/>
    </row>
    <row r="627" spans="6:7" x14ac:dyDescent="0.25">
      <c r="F627" s="7"/>
      <c r="G627" s="7"/>
    </row>
    <row r="628" spans="6:7" x14ac:dyDescent="0.25">
      <c r="F628" s="7"/>
      <c r="G628" s="7"/>
    </row>
    <row r="629" spans="6:7" x14ac:dyDescent="0.25">
      <c r="F629" s="7"/>
      <c r="G629" s="7"/>
    </row>
    <row r="630" spans="6:7" x14ac:dyDescent="0.25">
      <c r="F630" s="7"/>
      <c r="G630" s="7"/>
    </row>
    <row r="631" spans="6:7" x14ac:dyDescent="0.25">
      <c r="F631" s="7"/>
      <c r="G631" s="7"/>
    </row>
    <row r="632" spans="6:7" x14ac:dyDescent="0.25">
      <c r="F632" s="7"/>
      <c r="G632" s="7"/>
    </row>
    <row r="633" spans="6:7" x14ac:dyDescent="0.25">
      <c r="F633" s="7"/>
      <c r="G633" s="7"/>
    </row>
    <row r="634" spans="6:7" x14ac:dyDescent="0.25">
      <c r="F634" s="7"/>
      <c r="G634" s="7"/>
    </row>
    <row r="635" spans="6:7" x14ac:dyDescent="0.25">
      <c r="F635" s="7"/>
      <c r="G635" s="7"/>
    </row>
    <row r="636" spans="6:7" x14ac:dyDescent="0.25">
      <c r="F636" s="7"/>
      <c r="G636" s="7"/>
    </row>
    <row r="637" spans="6:7" x14ac:dyDescent="0.25">
      <c r="F637" s="7"/>
      <c r="G637" s="7"/>
    </row>
    <row r="638" spans="6:7" x14ac:dyDescent="0.25">
      <c r="F638" s="7"/>
      <c r="G638" s="7"/>
    </row>
    <row r="639" spans="6:7" x14ac:dyDescent="0.25">
      <c r="F639" s="7"/>
      <c r="G639" s="7"/>
    </row>
    <row r="640" spans="6:7" x14ac:dyDescent="0.25">
      <c r="F640" s="7"/>
      <c r="G640" s="7"/>
    </row>
    <row r="641" spans="6:7" x14ac:dyDescent="0.25">
      <c r="F641" s="7"/>
      <c r="G641" s="7"/>
    </row>
    <row r="642" spans="6:7" x14ac:dyDescent="0.25">
      <c r="F642" s="7"/>
      <c r="G642" s="7"/>
    </row>
    <row r="643" spans="6:7" x14ac:dyDescent="0.25">
      <c r="F643" s="7"/>
      <c r="G643" s="7"/>
    </row>
    <row r="644" spans="6:7" x14ac:dyDescent="0.25">
      <c r="F644" s="7"/>
      <c r="G644" s="7"/>
    </row>
    <row r="645" spans="6:7" x14ac:dyDescent="0.25">
      <c r="F645" s="7"/>
      <c r="G645" s="7"/>
    </row>
    <row r="646" spans="6:7" x14ac:dyDescent="0.25">
      <c r="F646" s="7"/>
      <c r="G646" s="7"/>
    </row>
    <row r="647" spans="6:7" x14ac:dyDescent="0.25">
      <c r="F647" s="7"/>
      <c r="G647" s="7"/>
    </row>
    <row r="648" spans="6:7" x14ac:dyDescent="0.25">
      <c r="F648" s="7"/>
      <c r="G648" s="7"/>
    </row>
    <row r="649" spans="6:7" x14ac:dyDescent="0.25">
      <c r="F649" s="7"/>
      <c r="G649" s="7"/>
    </row>
    <row r="650" spans="6:7" x14ac:dyDescent="0.25">
      <c r="F650" s="7"/>
      <c r="G650" s="7"/>
    </row>
    <row r="651" spans="6:7" x14ac:dyDescent="0.25">
      <c r="F651" s="7"/>
      <c r="G651" s="7"/>
    </row>
    <row r="652" spans="6:7" x14ac:dyDescent="0.25">
      <c r="F652" s="7"/>
      <c r="G652" s="7"/>
    </row>
    <row r="653" spans="6:7" x14ac:dyDescent="0.25">
      <c r="F653" s="7"/>
      <c r="G653" s="7"/>
    </row>
    <row r="654" spans="6:7" x14ac:dyDescent="0.25">
      <c r="F654" s="7"/>
      <c r="G654" s="7"/>
    </row>
    <row r="655" spans="6:7" x14ac:dyDescent="0.25">
      <c r="F655" s="7"/>
      <c r="G655" s="7"/>
    </row>
    <row r="656" spans="6:7" x14ac:dyDescent="0.25">
      <c r="F656" s="7"/>
      <c r="G656" s="7"/>
    </row>
    <row r="657" spans="6:7" x14ac:dyDescent="0.25">
      <c r="F657" s="7"/>
      <c r="G657" s="7"/>
    </row>
    <row r="658" spans="6:7" x14ac:dyDescent="0.25">
      <c r="F658" s="7"/>
      <c r="G658" s="7"/>
    </row>
    <row r="659" spans="6:7" x14ac:dyDescent="0.25">
      <c r="F659" s="7"/>
      <c r="G659" s="7"/>
    </row>
    <row r="660" spans="6:7" x14ac:dyDescent="0.25">
      <c r="F660" s="7"/>
      <c r="G660" s="7"/>
    </row>
    <row r="661" spans="6:7" x14ac:dyDescent="0.25">
      <c r="F661" s="7"/>
      <c r="G661" s="7"/>
    </row>
    <row r="662" spans="6:7" x14ac:dyDescent="0.25">
      <c r="F662" s="7"/>
      <c r="G662" s="7"/>
    </row>
    <row r="663" spans="6:7" x14ac:dyDescent="0.25">
      <c r="F663" s="7"/>
      <c r="G663" s="7"/>
    </row>
    <row r="664" spans="6:7" x14ac:dyDescent="0.25">
      <c r="F664" s="7"/>
      <c r="G664" s="7"/>
    </row>
    <row r="665" spans="6:7" x14ac:dyDescent="0.25">
      <c r="F665" s="7"/>
      <c r="G665" s="7"/>
    </row>
    <row r="666" spans="6:7" x14ac:dyDescent="0.25">
      <c r="F666" s="7"/>
      <c r="G666" s="7"/>
    </row>
    <row r="667" spans="6:7" x14ac:dyDescent="0.25">
      <c r="F667" s="7"/>
      <c r="G667" s="7"/>
    </row>
    <row r="668" spans="6:7" x14ac:dyDescent="0.25">
      <c r="F668" s="7"/>
      <c r="G668" s="7"/>
    </row>
    <row r="669" spans="6:7" x14ac:dyDescent="0.25">
      <c r="F669" s="7"/>
      <c r="G669" s="7"/>
    </row>
    <row r="670" spans="6:7" x14ac:dyDescent="0.25">
      <c r="F670" s="7"/>
      <c r="G670" s="7"/>
    </row>
    <row r="671" spans="6:7" x14ac:dyDescent="0.25">
      <c r="F671" s="7"/>
      <c r="G671" s="7"/>
    </row>
    <row r="672" spans="6:7" x14ac:dyDescent="0.25">
      <c r="F672" s="7"/>
      <c r="G672" s="7"/>
    </row>
    <row r="673" spans="6:7" x14ac:dyDescent="0.25">
      <c r="F673" s="7"/>
      <c r="G673" s="7"/>
    </row>
    <row r="674" spans="6:7" x14ac:dyDescent="0.25">
      <c r="F674" s="7"/>
      <c r="G674" s="7"/>
    </row>
    <row r="675" spans="6:7" x14ac:dyDescent="0.25">
      <c r="F675" s="7"/>
      <c r="G675" s="7"/>
    </row>
    <row r="676" spans="6:7" x14ac:dyDescent="0.25">
      <c r="F676" s="7"/>
      <c r="G676" s="7"/>
    </row>
    <row r="677" spans="6:7" x14ac:dyDescent="0.25">
      <c r="F677" s="7"/>
      <c r="G677" s="7"/>
    </row>
    <row r="678" spans="6:7" x14ac:dyDescent="0.25">
      <c r="F678" s="7"/>
      <c r="G678" s="7"/>
    </row>
    <row r="679" spans="6:7" x14ac:dyDescent="0.25">
      <c r="F679" s="7"/>
      <c r="G679" s="7"/>
    </row>
    <row r="680" spans="6:7" x14ac:dyDescent="0.25">
      <c r="F680" s="7"/>
      <c r="G680" s="7"/>
    </row>
    <row r="681" spans="6:7" x14ac:dyDescent="0.25">
      <c r="F681" s="7"/>
      <c r="G681" s="7"/>
    </row>
    <row r="682" spans="6:7" x14ac:dyDescent="0.25">
      <c r="F682" s="7"/>
      <c r="G682" s="7"/>
    </row>
    <row r="683" spans="6:7" x14ac:dyDescent="0.25">
      <c r="F683" s="7"/>
      <c r="G683" s="7"/>
    </row>
    <row r="684" spans="6:7" x14ac:dyDescent="0.25">
      <c r="F684" s="7"/>
      <c r="G684" s="7"/>
    </row>
    <row r="685" spans="6:7" x14ac:dyDescent="0.25">
      <c r="F685" s="7"/>
      <c r="G685" s="7"/>
    </row>
    <row r="686" spans="6:7" x14ac:dyDescent="0.25">
      <c r="F686" s="7"/>
      <c r="G686" s="7"/>
    </row>
    <row r="687" spans="6:7" x14ac:dyDescent="0.25">
      <c r="F687" s="7"/>
      <c r="G687" s="7"/>
    </row>
    <row r="688" spans="6:7" x14ac:dyDescent="0.25">
      <c r="F688" s="7"/>
      <c r="G688" s="7"/>
    </row>
    <row r="689" spans="6:7" x14ac:dyDescent="0.25">
      <c r="F689" s="7"/>
      <c r="G689" s="7"/>
    </row>
    <row r="690" spans="6:7" x14ac:dyDescent="0.25">
      <c r="F690" s="7"/>
      <c r="G690" s="7"/>
    </row>
    <row r="691" spans="6:7" x14ac:dyDescent="0.25">
      <c r="F691" s="7"/>
      <c r="G691" s="7"/>
    </row>
    <row r="692" spans="6:7" x14ac:dyDescent="0.25">
      <c r="F692" s="7"/>
      <c r="G692" s="7"/>
    </row>
    <row r="693" spans="6:7" x14ac:dyDescent="0.25">
      <c r="F693" s="7"/>
      <c r="G693" s="7"/>
    </row>
    <row r="694" spans="6:7" x14ac:dyDescent="0.25">
      <c r="F694" s="7"/>
      <c r="G694" s="7"/>
    </row>
    <row r="695" spans="6:7" x14ac:dyDescent="0.25">
      <c r="F695" s="7"/>
      <c r="G695" s="7"/>
    </row>
    <row r="696" spans="6:7" x14ac:dyDescent="0.25">
      <c r="F696" s="7"/>
      <c r="G696" s="7"/>
    </row>
    <row r="697" spans="6:7" x14ac:dyDescent="0.25">
      <c r="F697" s="7"/>
      <c r="G697" s="7"/>
    </row>
    <row r="698" spans="6:7" x14ac:dyDescent="0.25">
      <c r="F698" s="7"/>
      <c r="G698" s="7"/>
    </row>
    <row r="699" spans="6:7" x14ac:dyDescent="0.25">
      <c r="F699" s="7"/>
      <c r="G699" s="7"/>
    </row>
    <row r="700" spans="6:7" x14ac:dyDescent="0.25">
      <c r="F700" s="7"/>
      <c r="G700" s="7"/>
    </row>
    <row r="701" spans="6:7" x14ac:dyDescent="0.25">
      <c r="F701" s="7"/>
      <c r="G701" s="7"/>
    </row>
    <row r="702" spans="6:7" x14ac:dyDescent="0.25">
      <c r="F702" s="7"/>
      <c r="G702" s="7"/>
    </row>
    <row r="703" spans="6:7" x14ac:dyDescent="0.25">
      <c r="F703" s="7"/>
      <c r="G703" s="7"/>
    </row>
    <row r="704" spans="6:7" x14ac:dyDescent="0.25">
      <c r="F704" s="7"/>
      <c r="G704" s="7"/>
    </row>
    <row r="705" spans="6:7" x14ac:dyDescent="0.25">
      <c r="F705" s="7"/>
      <c r="G705" s="7"/>
    </row>
    <row r="706" spans="6:7" x14ac:dyDescent="0.25">
      <c r="F706" s="7"/>
      <c r="G706" s="7"/>
    </row>
    <row r="707" spans="6:7" x14ac:dyDescent="0.25">
      <c r="F707" s="7"/>
      <c r="G707" s="7"/>
    </row>
    <row r="708" spans="6:7" x14ac:dyDescent="0.25">
      <c r="F708" s="7"/>
      <c r="G708" s="7"/>
    </row>
    <row r="709" spans="6:7" x14ac:dyDescent="0.25">
      <c r="F709" s="7"/>
      <c r="G709" s="7"/>
    </row>
    <row r="710" spans="6:7" x14ac:dyDescent="0.25">
      <c r="F710" s="7"/>
      <c r="G710" s="7"/>
    </row>
    <row r="711" spans="6:7" x14ac:dyDescent="0.25">
      <c r="F711" s="7"/>
      <c r="G711" s="7"/>
    </row>
    <row r="712" spans="6:7" x14ac:dyDescent="0.25">
      <c r="F712" s="7"/>
      <c r="G712" s="7"/>
    </row>
    <row r="713" spans="6:7" x14ac:dyDescent="0.25">
      <c r="F713" s="7"/>
      <c r="G713" s="7"/>
    </row>
    <row r="714" spans="6:7" x14ac:dyDescent="0.25">
      <c r="F714" s="7"/>
      <c r="G714" s="7"/>
    </row>
    <row r="715" spans="6:7" x14ac:dyDescent="0.25">
      <c r="F715" s="7"/>
      <c r="G715" s="7"/>
    </row>
    <row r="716" spans="6:7" x14ac:dyDescent="0.25">
      <c r="F716" s="7"/>
      <c r="G716" s="7"/>
    </row>
    <row r="717" spans="6:7" x14ac:dyDescent="0.25">
      <c r="F717" s="7"/>
      <c r="G717" s="7"/>
    </row>
    <row r="718" spans="6:7" x14ac:dyDescent="0.25">
      <c r="F718" s="7"/>
      <c r="G718" s="7"/>
    </row>
    <row r="719" spans="6:7" x14ac:dyDescent="0.25">
      <c r="F719" s="7"/>
      <c r="G719" s="7"/>
    </row>
    <row r="720" spans="6:7" x14ac:dyDescent="0.25">
      <c r="F720" s="7"/>
      <c r="G720" s="7"/>
    </row>
    <row r="721" spans="6:7" x14ac:dyDescent="0.25">
      <c r="F721" s="7"/>
      <c r="G721" s="7"/>
    </row>
    <row r="722" spans="6:7" x14ac:dyDescent="0.25">
      <c r="F722" s="7"/>
      <c r="G722" s="7"/>
    </row>
    <row r="723" spans="6:7" x14ac:dyDescent="0.25">
      <c r="F723" s="7"/>
      <c r="G723" s="7"/>
    </row>
    <row r="724" spans="6:7" x14ac:dyDescent="0.25">
      <c r="F724" s="7"/>
      <c r="G724" s="7"/>
    </row>
    <row r="725" spans="6:7" x14ac:dyDescent="0.25">
      <c r="F725" s="7"/>
      <c r="G725" s="7"/>
    </row>
    <row r="726" spans="6:7" x14ac:dyDescent="0.25">
      <c r="F726" s="7"/>
      <c r="G726" s="7"/>
    </row>
    <row r="727" spans="6:7" x14ac:dyDescent="0.25">
      <c r="F727" s="7"/>
      <c r="G727" s="7"/>
    </row>
    <row r="728" spans="6:7" x14ac:dyDescent="0.25">
      <c r="F728" s="7"/>
      <c r="G728" s="7"/>
    </row>
    <row r="729" spans="6:7" x14ac:dyDescent="0.25">
      <c r="F729" s="7"/>
      <c r="G729" s="7"/>
    </row>
    <row r="730" spans="6:7" x14ac:dyDescent="0.25">
      <c r="F730" s="7"/>
      <c r="G730" s="7"/>
    </row>
    <row r="731" spans="6:7" x14ac:dyDescent="0.25">
      <c r="F731" s="7"/>
      <c r="G731" s="7"/>
    </row>
    <row r="732" spans="6:7" x14ac:dyDescent="0.25">
      <c r="F732" s="7"/>
      <c r="G732" s="7"/>
    </row>
    <row r="733" spans="6:7" x14ac:dyDescent="0.25">
      <c r="F733" s="7"/>
      <c r="G733" s="7"/>
    </row>
    <row r="734" spans="6:7" x14ac:dyDescent="0.25">
      <c r="F734" s="7"/>
      <c r="G734" s="7"/>
    </row>
    <row r="735" spans="6:7" x14ac:dyDescent="0.25">
      <c r="F735" s="7"/>
      <c r="G735" s="7"/>
    </row>
    <row r="736" spans="6:7" x14ac:dyDescent="0.25">
      <c r="F736" s="7"/>
      <c r="G736" s="7"/>
    </row>
    <row r="737" spans="6:7" x14ac:dyDescent="0.25">
      <c r="F737" s="7"/>
      <c r="G737" s="7"/>
    </row>
    <row r="738" spans="6:7" x14ac:dyDescent="0.25">
      <c r="F738" s="7"/>
      <c r="G738" s="7"/>
    </row>
    <row r="739" spans="6:7" x14ac:dyDescent="0.25">
      <c r="F739" s="7"/>
      <c r="G739" s="7"/>
    </row>
    <row r="740" spans="6:7" x14ac:dyDescent="0.25">
      <c r="F740" s="7"/>
      <c r="G740" s="7"/>
    </row>
    <row r="741" spans="6:7" x14ac:dyDescent="0.25">
      <c r="F741" s="7"/>
      <c r="G741" s="7"/>
    </row>
    <row r="742" spans="6:7" x14ac:dyDescent="0.25">
      <c r="F742" s="7"/>
      <c r="G742" s="7"/>
    </row>
    <row r="743" spans="6:7" x14ac:dyDescent="0.25">
      <c r="F743" s="7"/>
      <c r="G743" s="7"/>
    </row>
    <row r="744" spans="6:7" x14ac:dyDescent="0.25">
      <c r="F744" s="7"/>
      <c r="G744" s="7"/>
    </row>
    <row r="745" spans="6:7" x14ac:dyDescent="0.25">
      <c r="F745" s="7"/>
      <c r="G745" s="7"/>
    </row>
    <row r="746" spans="6:7" x14ac:dyDescent="0.25">
      <c r="F746" s="7"/>
      <c r="G746" s="7"/>
    </row>
    <row r="747" spans="6:7" x14ac:dyDescent="0.25">
      <c r="F747" s="7"/>
      <c r="G747" s="7"/>
    </row>
    <row r="748" spans="6:7" x14ac:dyDescent="0.25">
      <c r="F748" s="7"/>
      <c r="G748" s="7"/>
    </row>
    <row r="749" spans="6:7" x14ac:dyDescent="0.25">
      <c r="F749" s="7"/>
      <c r="G749" s="7"/>
    </row>
    <row r="750" spans="6:7" x14ac:dyDescent="0.25">
      <c r="F750" s="7"/>
      <c r="G750" s="7"/>
    </row>
    <row r="751" spans="6:7" x14ac:dyDescent="0.25">
      <c r="F751" s="7"/>
      <c r="G751" s="7"/>
    </row>
    <row r="752" spans="6:7" x14ac:dyDescent="0.25">
      <c r="F752" s="7"/>
      <c r="G752" s="7"/>
    </row>
    <row r="753" spans="6:7" x14ac:dyDescent="0.25">
      <c r="F753" s="7"/>
      <c r="G753" s="7"/>
    </row>
    <row r="754" spans="6:7" x14ac:dyDescent="0.25">
      <c r="F754" s="7"/>
      <c r="G754" s="7"/>
    </row>
    <row r="755" spans="6:7" x14ac:dyDescent="0.25">
      <c r="F755" s="7"/>
      <c r="G755" s="7"/>
    </row>
    <row r="756" spans="6:7" x14ac:dyDescent="0.25">
      <c r="F756" s="7"/>
      <c r="G756" s="7"/>
    </row>
    <row r="757" spans="6:7" x14ac:dyDescent="0.25">
      <c r="F757" s="7"/>
      <c r="G757" s="7"/>
    </row>
    <row r="758" spans="6:7" x14ac:dyDescent="0.25">
      <c r="F758" s="7"/>
      <c r="G758" s="7"/>
    </row>
    <row r="759" spans="6:7" x14ac:dyDescent="0.25">
      <c r="F759" s="7"/>
      <c r="G759" s="7"/>
    </row>
    <row r="760" spans="6:7" x14ac:dyDescent="0.25">
      <c r="F760" s="7"/>
      <c r="G760" s="7"/>
    </row>
    <row r="761" spans="6:7" x14ac:dyDescent="0.25">
      <c r="F761" s="7"/>
      <c r="G761" s="7"/>
    </row>
    <row r="762" spans="6:7" x14ac:dyDescent="0.25">
      <c r="F762" s="7"/>
      <c r="G762" s="7"/>
    </row>
    <row r="763" spans="6:7" x14ac:dyDescent="0.25">
      <c r="F763" s="7"/>
      <c r="G763" s="7"/>
    </row>
    <row r="764" spans="6:7" x14ac:dyDescent="0.25">
      <c r="F764" s="7"/>
      <c r="G764" s="7"/>
    </row>
    <row r="765" spans="6:7" x14ac:dyDescent="0.25">
      <c r="F765" s="7"/>
      <c r="G765" s="7"/>
    </row>
    <row r="766" spans="6:7" x14ac:dyDescent="0.25">
      <c r="F766" s="7"/>
      <c r="G766" s="7"/>
    </row>
    <row r="767" spans="6:7" x14ac:dyDescent="0.25">
      <c r="F767" s="7"/>
      <c r="G767" s="7"/>
    </row>
    <row r="768" spans="6:7" x14ac:dyDescent="0.25">
      <c r="F768" s="7"/>
      <c r="G768" s="7"/>
    </row>
    <row r="769" spans="6:7" x14ac:dyDescent="0.25">
      <c r="F769" s="7"/>
      <c r="G769" s="7"/>
    </row>
    <row r="770" spans="6:7" x14ac:dyDescent="0.25">
      <c r="F770" s="7"/>
      <c r="G770" s="7"/>
    </row>
    <row r="771" spans="6:7" x14ac:dyDescent="0.25">
      <c r="F771" s="7"/>
      <c r="G771" s="7"/>
    </row>
    <row r="772" spans="6:7" x14ac:dyDescent="0.25">
      <c r="F772" s="7"/>
      <c r="G772" s="7"/>
    </row>
    <row r="773" spans="6:7" x14ac:dyDescent="0.25">
      <c r="F773" s="7"/>
      <c r="G773" s="7"/>
    </row>
    <row r="774" spans="6:7" x14ac:dyDescent="0.25">
      <c r="F774" s="7"/>
      <c r="G774" s="7"/>
    </row>
    <row r="775" spans="6:7" x14ac:dyDescent="0.25">
      <c r="F775" s="7"/>
      <c r="G775" s="7"/>
    </row>
    <row r="776" spans="6:7" x14ac:dyDescent="0.25">
      <c r="F776" s="7"/>
      <c r="G776" s="7"/>
    </row>
    <row r="777" spans="6:7" x14ac:dyDescent="0.25">
      <c r="F777" s="7"/>
      <c r="G777" s="7"/>
    </row>
    <row r="778" spans="6:7" x14ac:dyDescent="0.25">
      <c r="F778" s="7"/>
      <c r="G778" s="7"/>
    </row>
    <row r="779" spans="6:7" x14ac:dyDescent="0.25">
      <c r="F779" s="7"/>
      <c r="G779" s="7"/>
    </row>
    <row r="780" spans="6:7" x14ac:dyDescent="0.25">
      <c r="F780" s="7"/>
      <c r="G780" s="7"/>
    </row>
    <row r="781" spans="6:7" x14ac:dyDescent="0.25">
      <c r="F781" s="7"/>
      <c r="G78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L44"/>
  <sheetViews>
    <sheetView showZeros="0" zoomScale="85" zoomScaleNormal="85" workbookViewId="0">
      <pane ySplit="8" topLeftCell="A9" activePane="bottomLeft" state="frozen"/>
      <selection activeCell="D7" sqref="D7:E19"/>
      <selection pane="bottomLeft" activeCell="O19" sqref="O19"/>
    </sheetView>
  </sheetViews>
  <sheetFormatPr defaultRowHeight="15" x14ac:dyDescent="0.25"/>
  <sheetData>
    <row r="1" spans="1:12" ht="18.75" x14ac:dyDescent="0.3">
      <c r="A1" s="5" t="s">
        <v>437</v>
      </c>
      <c r="I1" s="5" t="s">
        <v>437</v>
      </c>
    </row>
    <row r="2" spans="1:12" x14ac:dyDescent="0.25">
      <c r="A2" s="3" t="s">
        <v>364</v>
      </c>
      <c r="B2" s="4" t="s">
        <v>438</v>
      </c>
      <c r="I2" s="3" t="s">
        <v>364</v>
      </c>
      <c r="J2" s="4" t="s">
        <v>438</v>
      </c>
    </row>
    <row r="4" spans="1:12" x14ac:dyDescent="0.25">
      <c r="B4" s="19" t="s">
        <v>540</v>
      </c>
      <c r="C4" s="19" t="s">
        <v>540</v>
      </c>
      <c r="J4" s="19" t="s">
        <v>540</v>
      </c>
      <c r="K4" s="19" t="s">
        <v>540</v>
      </c>
    </row>
    <row r="5" spans="1:12" x14ac:dyDescent="0.25">
      <c r="A5" s="1"/>
      <c r="B5" s="1" t="s">
        <v>534</v>
      </c>
      <c r="C5" s="1" t="s">
        <v>535</v>
      </c>
      <c r="D5" s="1" t="s">
        <v>536</v>
      </c>
      <c r="I5" s="1"/>
      <c r="J5" s="1" t="s">
        <v>534</v>
      </c>
      <c r="K5" s="1" t="s">
        <v>535</v>
      </c>
      <c r="L5" s="1" t="s">
        <v>536</v>
      </c>
    </row>
    <row r="6" spans="1:12" x14ac:dyDescent="0.25">
      <c r="A6" s="1"/>
      <c r="B6" t="s">
        <v>538</v>
      </c>
      <c r="C6" t="s">
        <v>539</v>
      </c>
      <c r="D6" t="s">
        <v>537</v>
      </c>
      <c r="I6" s="1"/>
      <c r="J6" t="s">
        <v>538</v>
      </c>
      <c r="K6" t="s">
        <v>539</v>
      </c>
      <c r="L6" t="s">
        <v>537</v>
      </c>
    </row>
    <row r="7" spans="1:12" x14ac:dyDescent="0.25">
      <c r="B7" s="25" t="s">
        <v>591</v>
      </c>
      <c r="C7" s="25" t="s">
        <v>591</v>
      </c>
      <c r="D7" s="25" t="s">
        <v>591</v>
      </c>
      <c r="J7" s="25" t="s">
        <v>591</v>
      </c>
      <c r="K7" s="25" t="s">
        <v>591</v>
      </c>
      <c r="L7" s="25" t="s">
        <v>591</v>
      </c>
    </row>
    <row r="8" spans="1:12" x14ac:dyDescent="0.25">
      <c r="B8" s="25" t="s">
        <v>434</v>
      </c>
      <c r="C8" s="25" t="s">
        <v>435</v>
      </c>
      <c r="D8" s="25" t="s">
        <v>436</v>
      </c>
      <c r="J8" s="25" t="s">
        <v>434</v>
      </c>
      <c r="K8" s="25" t="s">
        <v>435</v>
      </c>
      <c r="L8" s="25" t="s">
        <v>436</v>
      </c>
    </row>
    <row r="9" spans="1:12" x14ac:dyDescent="0.25">
      <c r="A9" t="s">
        <v>675</v>
      </c>
      <c r="B9" s="20">
        <f>SUM(J9:J13)</f>
        <v>733.17100000000005</v>
      </c>
      <c r="C9" s="20">
        <f>SUM(K9:K13)</f>
        <v>567.2616335520155</v>
      </c>
      <c r="D9" s="7">
        <f t="shared" ref="D9:D18" si="0">IF(C9&gt;0,B9/C9,0)</f>
        <v>1.2924741541378566</v>
      </c>
      <c r="I9" t="s">
        <v>135</v>
      </c>
      <c r="J9" s="20">
        <v>421.21800000000002</v>
      </c>
      <c r="K9" s="20">
        <v>349.56497723601285</v>
      </c>
      <c r="L9" s="7">
        <v>1.2049776935050613</v>
      </c>
    </row>
    <row r="10" spans="1:12" x14ac:dyDescent="0.25">
      <c r="A10" t="s">
        <v>138</v>
      </c>
      <c r="B10" s="20">
        <f>J14</f>
        <v>499.65099999999995</v>
      </c>
      <c r="C10" s="20">
        <f>K14</f>
        <v>607.4357686533217</v>
      </c>
      <c r="D10" s="7">
        <f t="shared" si="0"/>
        <v>0.82255775142731657</v>
      </c>
      <c r="I10" t="s">
        <v>275</v>
      </c>
      <c r="J10" s="20">
        <v>159.626</v>
      </c>
      <c r="K10" s="20">
        <v>151.23927671066446</v>
      </c>
      <c r="L10" s="7">
        <v>1.0554533416962855</v>
      </c>
    </row>
    <row r="11" spans="1:12" x14ac:dyDescent="0.25">
      <c r="A11" t="s">
        <v>140</v>
      </c>
      <c r="B11" s="20">
        <f>SUM(J15:J16)</f>
        <v>44.087000000000003</v>
      </c>
      <c r="C11" s="20">
        <f>SUM(K15:K16)</f>
        <v>97.682345032238402</v>
      </c>
      <c r="D11" s="7">
        <f t="shared" si="0"/>
        <v>0.45133027862353053</v>
      </c>
      <c r="I11" t="s">
        <v>136</v>
      </c>
      <c r="J11" s="20">
        <v>131.577</v>
      </c>
      <c r="K11" s="20">
        <v>38.139433460599498</v>
      </c>
      <c r="L11" s="7">
        <v>3.4498939302789475</v>
      </c>
    </row>
    <row r="12" spans="1:12" x14ac:dyDescent="0.25">
      <c r="A12" t="s">
        <v>142</v>
      </c>
      <c r="B12" s="20">
        <f>SUM(J17:J20)</f>
        <v>3574.6210000000001</v>
      </c>
      <c r="C12" s="20">
        <f>SUM(K17:K20)</f>
        <v>497.53016952681401</v>
      </c>
      <c r="D12" s="7">
        <f t="shared" si="0"/>
        <v>7.1847321407658846</v>
      </c>
      <c r="I12" t="s">
        <v>276</v>
      </c>
      <c r="J12" s="20">
        <v>15.686999999999999</v>
      </c>
      <c r="K12" s="20">
        <v>15.445794069192749</v>
      </c>
      <c r="L12" s="7">
        <v>1.015616285554936</v>
      </c>
    </row>
    <row r="13" spans="1:12" x14ac:dyDescent="0.25">
      <c r="A13" t="s">
        <v>143</v>
      </c>
      <c r="B13" s="20">
        <f>SUM(J21:J22)</f>
        <v>350.505</v>
      </c>
      <c r="C13" s="20">
        <f>SUM(K21:K22)</f>
        <v>99.02808842349198</v>
      </c>
      <c r="D13" s="7">
        <f t="shared" si="0"/>
        <v>3.5394503274775047</v>
      </c>
      <c r="I13" t="s">
        <v>137</v>
      </c>
      <c r="J13" s="20">
        <v>5.0629999999999997</v>
      </c>
      <c r="K13" s="20">
        <v>12.872152075545937</v>
      </c>
      <c r="L13" s="7">
        <v>0.39332972220072737</v>
      </c>
    </row>
    <row r="14" spans="1:12" x14ac:dyDescent="0.25">
      <c r="A14" t="s">
        <v>147</v>
      </c>
      <c r="B14" s="20">
        <f>SUM(J26:J29)</f>
        <v>1945.703</v>
      </c>
      <c r="C14" s="20">
        <f>SUM(K26:K29)</f>
        <v>153.1181758525083</v>
      </c>
      <c r="D14" s="7">
        <f t="shared" si="0"/>
        <v>12.707198143963041</v>
      </c>
      <c r="I14" t="s">
        <v>138</v>
      </c>
      <c r="J14" s="20">
        <v>499.65099999999995</v>
      </c>
      <c r="K14" s="20">
        <v>607.4357686533217</v>
      </c>
      <c r="L14" s="7">
        <v>0.82255775142731657</v>
      </c>
    </row>
    <row r="15" spans="1:12" x14ac:dyDescent="0.25">
      <c r="A15" s="32" t="s">
        <v>716</v>
      </c>
      <c r="B15" s="11">
        <f>SUM(J23,J30:J32)</f>
        <v>159.85599999999999</v>
      </c>
      <c r="C15" s="11">
        <f>SUM(K23,K30:K32)</f>
        <v>46.048254205308012</v>
      </c>
      <c r="D15" s="7">
        <f t="shared" si="0"/>
        <v>3.471488827508542</v>
      </c>
      <c r="I15" t="s">
        <v>139</v>
      </c>
      <c r="J15" s="20">
        <v>19.562000000000001</v>
      </c>
      <c r="K15" s="20">
        <v>43.003706902381303</v>
      </c>
      <c r="L15" s="7">
        <v>0.4548910177535595</v>
      </c>
    </row>
    <row r="16" spans="1:12" x14ac:dyDescent="0.25">
      <c r="A16" t="s">
        <v>148</v>
      </c>
      <c r="B16" s="20">
        <f>SUM(J24:J25,J33:J35)</f>
        <v>14.669999999999998</v>
      </c>
      <c r="C16" s="20">
        <f>SUM(K24:K25,K33:K35)</f>
        <v>15.706496152246057</v>
      </c>
      <c r="D16" s="7">
        <f t="shared" si="0"/>
        <v>0.93400844197209199</v>
      </c>
      <c r="I16" t="s">
        <v>140</v>
      </c>
      <c r="J16" s="20">
        <v>24.524999999999999</v>
      </c>
      <c r="K16" s="20">
        <v>54.678638129857099</v>
      </c>
      <c r="L16" s="7">
        <v>0.44852982515320183</v>
      </c>
    </row>
    <row r="17" spans="1:12" x14ac:dyDescent="0.25">
      <c r="A17" t="s">
        <v>676</v>
      </c>
      <c r="B17" s="20">
        <f>SUM(J36,J38:J41)</f>
        <v>127.34599999999999</v>
      </c>
      <c r="C17" s="20">
        <f>SUM(K36,K38:K41)</f>
        <v>0</v>
      </c>
      <c r="D17" s="7">
        <f t="shared" si="0"/>
        <v>0</v>
      </c>
      <c r="I17" t="s">
        <v>141</v>
      </c>
      <c r="J17" s="20">
        <v>1181.825</v>
      </c>
      <c r="K17" s="20">
        <v>136.10451579963643</v>
      </c>
      <c r="L17" s="7">
        <v>8.6832166666666684</v>
      </c>
    </row>
    <row r="18" spans="1:12" x14ac:dyDescent="0.25">
      <c r="A18" t="s">
        <v>281</v>
      </c>
      <c r="B18" s="20">
        <f>J37</f>
        <v>252.47900000000001</v>
      </c>
      <c r="C18" s="20">
        <f>K37</f>
        <v>0</v>
      </c>
      <c r="D18" s="7">
        <f t="shared" si="0"/>
        <v>0</v>
      </c>
      <c r="I18" t="s">
        <v>542</v>
      </c>
      <c r="J18" s="20">
        <v>973.40800000000002</v>
      </c>
      <c r="K18" s="20">
        <v>108.12257301957968</v>
      </c>
      <c r="L18" s="7">
        <v>9.0028194188805308</v>
      </c>
    </row>
    <row r="19" spans="1:12" x14ac:dyDescent="0.25">
      <c r="B19" s="20"/>
      <c r="C19" s="20"/>
      <c r="D19" s="7"/>
      <c r="I19" t="s">
        <v>543</v>
      </c>
      <c r="J19" s="20">
        <v>1247.5840000000001</v>
      </c>
      <c r="K19" s="20">
        <v>213.45782948785563</v>
      </c>
      <c r="L19" s="7">
        <v>5.8446392104393601</v>
      </c>
    </row>
    <row r="20" spans="1:12" x14ac:dyDescent="0.25">
      <c r="B20" s="20"/>
      <c r="C20" s="20"/>
      <c r="D20" s="7"/>
      <c r="I20" t="s">
        <v>142</v>
      </c>
      <c r="J20" s="20">
        <v>171.804</v>
      </c>
      <c r="K20" s="20">
        <v>39.845251219742281</v>
      </c>
      <c r="L20" s="7">
        <v>4.3117810715389746</v>
      </c>
    </row>
    <row r="21" spans="1:12" x14ac:dyDescent="0.25">
      <c r="B21" s="20"/>
      <c r="C21" s="20"/>
      <c r="D21" s="7"/>
      <c r="I21" t="s">
        <v>544</v>
      </c>
      <c r="J21" s="20">
        <v>0</v>
      </c>
      <c r="K21" s="20">
        <v>0</v>
      </c>
      <c r="L21" s="7">
        <v>0</v>
      </c>
    </row>
    <row r="22" spans="1:12" x14ac:dyDescent="0.25">
      <c r="B22" s="20"/>
      <c r="C22" s="20"/>
      <c r="D22" s="7"/>
      <c r="I22" t="s">
        <v>143</v>
      </c>
      <c r="J22" s="20">
        <v>350.505</v>
      </c>
      <c r="K22" s="20">
        <v>99.02808842349198</v>
      </c>
      <c r="L22" s="7">
        <v>3.5394503274775051</v>
      </c>
    </row>
    <row r="23" spans="1:12" x14ac:dyDescent="0.25">
      <c r="B23" s="20"/>
      <c r="C23" s="20"/>
      <c r="D23" s="7"/>
      <c r="I23" t="s">
        <v>144</v>
      </c>
      <c r="J23" s="20">
        <v>109.557</v>
      </c>
      <c r="K23" s="20">
        <v>7.7249699689333804</v>
      </c>
      <c r="L23" s="7">
        <v>14.182191055834876</v>
      </c>
    </row>
    <row r="24" spans="1:12" x14ac:dyDescent="0.25">
      <c r="B24" s="20"/>
      <c r="C24" s="20"/>
      <c r="D24" s="7"/>
      <c r="I24" t="s">
        <v>145</v>
      </c>
      <c r="J24" s="20">
        <v>4.9029999999999996</v>
      </c>
      <c r="K24" s="20">
        <v>4.2869986774985831</v>
      </c>
      <c r="L24" s="7">
        <v>1.1436905790838374</v>
      </c>
    </row>
    <row r="25" spans="1:12" x14ac:dyDescent="0.25">
      <c r="B25" s="20"/>
      <c r="C25" s="20"/>
      <c r="D25" s="7"/>
      <c r="I25" t="s">
        <v>146</v>
      </c>
      <c r="J25" s="20">
        <v>0</v>
      </c>
      <c r="K25" s="20">
        <v>0</v>
      </c>
      <c r="L25" s="7">
        <v>0</v>
      </c>
    </row>
    <row r="26" spans="1:12" x14ac:dyDescent="0.25">
      <c r="B26" s="20"/>
      <c r="C26" s="20"/>
      <c r="D26" s="7"/>
      <c r="I26" t="s">
        <v>545</v>
      </c>
      <c r="J26" s="20">
        <v>0</v>
      </c>
      <c r="K26" s="20">
        <v>0</v>
      </c>
      <c r="L26" s="7">
        <v>0</v>
      </c>
    </row>
    <row r="27" spans="1:12" x14ac:dyDescent="0.25">
      <c r="B27" s="20"/>
      <c r="C27" s="20"/>
      <c r="D27" s="7"/>
      <c r="I27" t="s">
        <v>546</v>
      </c>
      <c r="J27" s="20">
        <v>1046.9929999999999</v>
      </c>
      <c r="K27" s="20">
        <v>141.50247464020114</v>
      </c>
      <c r="L27" s="7">
        <v>7.3991144159294233</v>
      </c>
    </row>
    <row r="28" spans="1:12" x14ac:dyDescent="0.25">
      <c r="B28" s="20"/>
      <c r="C28" s="20"/>
      <c r="D28" s="7"/>
      <c r="I28" t="s">
        <v>592</v>
      </c>
      <c r="J28" s="20">
        <v>820.91700000000003</v>
      </c>
      <c r="K28" s="20">
        <v>0</v>
      </c>
      <c r="L28" s="7"/>
    </row>
    <row r="29" spans="1:12" x14ac:dyDescent="0.25">
      <c r="B29" s="20"/>
      <c r="C29" s="20"/>
      <c r="D29" s="7"/>
      <c r="I29" t="s">
        <v>147</v>
      </c>
      <c r="J29" s="20">
        <v>77.793000000000006</v>
      </c>
      <c r="K29" s="20">
        <v>11.615701212307171</v>
      </c>
      <c r="L29" s="7">
        <v>6.6972280517663521</v>
      </c>
    </row>
    <row r="30" spans="1:12" x14ac:dyDescent="0.25">
      <c r="B30" s="20"/>
      <c r="C30" s="20"/>
      <c r="D30" s="7"/>
      <c r="I30" t="s">
        <v>279</v>
      </c>
      <c r="J30" s="20">
        <v>31.068000000000001</v>
      </c>
      <c r="K30" s="20">
        <v>20.401917882884497</v>
      </c>
      <c r="L30" s="7">
        <v>1.5227980123409601</v>
      </c>
    </row>
    <row r="31" spans="1:12" x14ac:dyDescent="0.25">
      <c r="B31" s="20"/>
      <c r="C31" s="20"/>
      <c r="D31" s="7"/>
      <c r="I31" t="s">
        <v>278</v>
      </c>
      <c r="J31" s="20">
        <v>19.231000000000002</v>
      </c>
      <c r="K31" s="20">
        <v>17.921366353490132</v>
      </c>
      <c r="L31" s="7">
        <v>1.0730766628323973</v>
      </c>
    </row>
    <row r="32" spans="1:12" x14ac:dyDescent="0.25">
      <c r="B32" s="20"/>
      <c r="C32" s="20"/>
      <c r="D32" s="7"/>
      <c r="I32" t="s">
        <v>277</v>
      </c>
      <c r="J32" s="20">
        <v>0</v>
      </c>
      <c r="K32" s="20">
        <v>0</v>
      </c>
      <c r="L32" s="7">
        <v>0</v>
      </c>
    </row>
    <row r="33" spans="1:12" x14ac:dyDescent="0.25">
      <c r="B33" s="20"/>
      <c r="C33" s="20"/>
      <c r="D33" s="7"/>
      <c r="I33" t="s">
        <v>280</v>
      </c>
      <c r="J33" s="20">
        <v>0</v>
      </c>
      <c r="K33" s="20">
        <v>0</v>
      </c>
      <c r="L33" s="7">
        <v>0</v>
      </c>
    </row>
    <row r="34" spans="1:12" x14ac:dyDescent="0.25">
      <c r="B34" s="20"/>
      <c r="C34" s="20"/>
      <c r="D34" s="7"/>
      <c r="I34" t="s">
        <v>551</v>
      </c>
      <c r="J34" s="20">
        <v>0</v>
      </c>
      <c r="K34" s="20">
        <v>0</v>
      </c>
      <c r="L34" s="7">
        <v>0</v>
      </c>
    </row>
    <row r="35" spans="1:12" x14ac:dyDescent="0.25">
      <c r="A35" s="26"/>
      <c r="B35" s="27"/>
      <c r="C35" s="27"/>
      <c r="D35" s="28"/>
      <c r="I35" s="26" t="s">
        <v>148</v>
      </c>
      <c r="J35" s="27">
        <v>9.7669999999999995</v>
      </c>
      <c r="K35" s="27">
        <v>11.419497474747473</v>
      </c>
      <c r="L35" s="28">
        <v>0.85529157667386613</v>
      </c>
    </row>
    <row r="36" spans="1:12" x14ac:dyDescent="0.25">
      <c r="B36" s="20"/>
      <c r="C36" s="20"/>
      <c r="D36" s="7"/>
      <c r="I36" t="s">
        <v>149</v>
      </c>
      <c r="J36" s="20">
        <v>34.575000000000003</v>
      </c>
      <c r="K36" s="20"/>
      <c r="L36" s="7">
        <v>0</v>
      </c>
    </row>
    <row r="37" spans="1:12" x14ac:dyDescent="0.25">
      <c r="B37" s="20"/>
      <c r="C37" s="20"/>
      <c r="D37" s="7"/>
      <c r="I37" t="s">
        <v>281</v>
      </c>
      <c r="J37" s="20">
        <v>252.47900000000001</v>
      </c>
      <c r="K37" s="20"/>
      <c r="L37" s="7">
        <v>0</v>
      </c>
    </row>
    <row r="38" spans="1:12" x14ac:dyDescent="0.25">
      <c r="B38" s="20"/>
      <c r="C38" s="20"/>
      <c r="D38" s="7"/>
      <c r="I38" t="s">
        <v>150</v>
      </c>
      <c r="J38" s="20">
        <v>19.064</v>
      </c>
      <c r="K38" s="20"/>
      <c r="L38" s="7">
        <v>0</v>
      </c>
    </row>
    <row r="39" spans="1:12" x14ac:dyDescent="0.25">
      <c r="B39" s="20"/>
      <c r="C39" s="20"/>
      <c r="D39" s="7"/>
      <c r="I39" t="s">
        <v>547</v>
      </c>
      <c r="J39" s="20">
        <v>7.8</v>
      </c>
      <c r="K39" s="20"/>
      <c r="L39" s="7">
        <v>0</v>
      </c>
    </row>
    <row r="40" spans="1:12" x14ac:dyDescent="0.25">
      <c r="B40" s="20"/>
      <c r="C40" s="20"/>
      <c r="D40" s="7"/>
      <c r="I40" t="s">
        <v>282</v>
      </c>
      <c r="J40" s="20">
        <v>36.661000000000001</v>
      </c>
      <c r="K40" s="20"/>
      <c r="L40" s="7">
        <v>0</v>
      </c>
    </row>
    <row r="41" spans="1:12" x14ac:dyDescent="0.25">
      <c r="B41" s="20"/>
      <c r="C41" s="20"/>
      <c r="D41" s="7"/>
      <c r="I41" t="s">
        <v>283</v>
      </c>
      <c r="J41" s="20">
        <v>29.245999999999999</v>
      </c>
      <c r="K41" s="20"/>
      <c r="L41" s="7">
        <v>0</v>
      </c>
    </row>
    <row r="42" spans="1:12" x14ac:dyDescent="0.25">
      <c r="B42" s="20"/>
      <c r="J42" s="20"/>
    </row>
    <row r="43" spans="1:12" x14ac:dyDescent="0.25">
      <c r="B43" s="20"/>
      <c r="J43" s="20"/>
    </row>
    <row r="44" spans="1:12" x14ac:dyDescent="0.25">
      <c r="B44" s="20"/>
      <c r="J44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499984740745262"/>
  </sheetPr>
  <dimension ref="A1:BU85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N1" sqref="N1:V1048576"/>
    </sheetView>
  </sheetViews>
  <sheetFormatPr defaultRowHeight="15" x14ac:dyDescent="0.25"/>
  <sheetData>
    <row r="1" spans="1:73" ht="18.75" x14ac:dyDescent="0.3">
      <c r="A1" s="5" t="s">
        <v>439</v>
      </c>
    </row>
    <row r="2" spans="1:73" x14ac:dyDescent="0.25">
      <c r="A2" s="3" t="s">
        <v>364</v>
      </c>
      <c r="B2" s="4" t="s">
        <v>462</v>
      </c>
    </row>
    <row r="4" spans="1:73" x14ac:dyDescent="0.25">
      <c r="C4" s="19" t="s">
        <v>540</v>
      </c>
      <c r="H4" s="19" t="s">
        <v>540</v>
      </c>
      <c r="I4" s="19" t="s">
        <v>540</v>
      </c>
      <c r="J4" s="19" t="s">
        <v>540</v>
      </c>
      <c r="K4" s="19" t="s">
        <v>540</v>
      </c>
      <c r="L4" s="19"/>
      <c r="M4" s="19"/>
      <c r="O4" s="19" t="s">
        <v>540</v>
      </c>
      <c r="P4" s="19" t="s">
        <v>540</v>
      </c>
      <c r="Q4" s="19" t="s">
        <v>540</v>
      </c>
      <c r="R4" s="19" t="s">
        <v>540</v>
      </c>
      <c r="S4" s="19" t="s">
        <v>540</v>
      </c>
      <c r="T4" s="19" t="s">
        <v>540</v>
      </c>
      <c r="U4" s="19" t="s">
        <v>540</v>
      </c>
      <c r="V4" s="19" t="s">
        <v>540</v>
      </c>
    </row>
    <row r="5" spans="1:73" x14ac:dyDescent="0.25">
      <c r="A5" s="1" t="s">
        <v>440</v>
      </c>
      <c r="C5" s="1" t="s">
        <v>441</v>
      </c>
      <c r="G5" s="1" t="s">
        <v>460</v>
      </c>
      <c r="N5" s="1" t="s">
        <v>460</v>
      </c>
    </row>
    <row r="6" spans="1:73" x14ac:dyDescent="0.25">
      <c r="A6" t="s">
        <v>359</v>
      </c>
      <c r="C6" t="s">
        <v>359</v>
      </c>
      <c r="D6" t="s">
        <v>250</v>
      </c>
      <c r="G6" s="20"/>
      <c r="H6" s="20" t="s">
        <v>552</v>
      </c>
      <c r="I6" s="20" t="s">
        <v>553</v>
      </c>
      <c r="J6" s="20" t="s">
        <v>554</v>
      </c>
      <c r="K6" s="20" t="s">
        <v>555</v>
      </c>
      <c r="L6" s="20"/>
      <c r="M6" s="20"/>
      <c r="N6" s="20"/>
      <c r="O6" s="20" t="s">
        <v>294</v>
      </c>
      <c r="P6" s="20" t="s">
        <v>210</v>
      </c>
      <c r="Q6" s="20" t="s">
        <v>211</v>
      </c>
      <c r="R6" s="20" t="s">
        <v>212</v>
      </c>
      <c r="S6" s="20" t="s">
        <v>295</v>
      </c>
      <c r="T6" s="20" t="s">
        <v>213</v>
      </c>
      <c r="U6" s="20" t="s">
        <v>214</v>
      </c>
      <c r="V6" s="20" t="s">
        <v>215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 x14ac:dyDescent="0.25">
      <c r="A7" t="s">
        <v>442</v>
      </c>
      <c r="C7" s="17" t="s">
        <v>504</v>
      </c>
      <c r="D7" t="s">
        <v>675</v>
      </c>
      <c r="G7" t="s">
        <v>442</v>
      </c>
      <c r="H7" s="20">
        <f>O7</f>
        <v>190.8559466883236</v>
      </c>
      <c r="I7" s="20">
        <f t="shared" ref="I7:I41" si="0">P7</f>
        <v>461.52327581229878</v>
      </c>
      <c r="J7" s="20">
        <f t="shared" ref="J7:J41" si="1">Q7</f>
        <v>1581.252790232385</v>
      </c>
      <c r="K7" s="20">
        <f t="shared" ref="K7:K41" si="2">R7</f>
        <v>0</v>
      </c>
      <c r="L7" s="20"/>
      <c r="M7" s="20"/>
      <c r="N7" t="s">
        <v>442</v>
      </c>
      <c r="O7" s="20">
        <v>190.8559466883236</v>
      </c>
      <c r="P7" s="20">
        <v>461.52327581229878</v>
      </c>
      <c r="Q7" s="20">
        <v>1581.252790232385</v>
      </c>
      <c r="R7" s="20">
        <v>0</v>
      </c>
      <c r="S7" s="20">
        <v>190.8559466883236</v>
      </c>
      <c r="T7" s="20">
        <v>461.52327581229878</v>
      </c>
      <c r="U7" s="20">
        <v>1581.252790232385</v>
      </c>
      <c r="V7" s="20">
        <v>0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 x14ac:dyDescent="0.25">
      <c r="A8" t="s">
        <v>504</v>
      </c>
      <c r="C8" s="17" t="s">
        <v>506</v>
      </c>
      <c r="D8" t="s">
        <v>138</v>
      </c>
      <c r="G8" t="s">
        <v>504</v>
      </c>
      <c r="H8" s="20">
        <f t="shared" ref="H8:H41" si="3">O8</f>
        <v>190.8559466883236</v>
      </c>
      <c r="I8" s="20">
        <f t="shared" si="0"/>
        <v>461.52327581229878</v>
      </c>
      <c r="J8" s="20">
        <f t="shared" si="1"/>
        <v>1581.252790232385</v>
      </c>
      <c r="K8" s="20">
        <f t="shared" si="2"/>
        <v>0</v>
      </c>
      <c r="L8" s="20"/>
      <c r="M8" s="20"/>
      <c r="N8" t="s">
        <v>504</v>
      </c>
      <c r="O8" s="20">
        <v>190.8559466883236</v>
      </c>
      <c r="P8" s="20">
        <v>461.52327581229878</v>
      </c>
      <c r="Q8" s="20">
        <v>1581.252790232385</v>
      </c>
      <c r="R8" s="20">
        <v>0</v>
      </c>
      <c r="S8" s="20">
        <v>190.8559466883236</v>
      </c>
      <c r="T8" s="20">
        <v>461.52327581229878</v>
      </c>
      <c r="U8" s="20">
        <v>1581.252790232385</v>
      </c>
      <c r="V8" s="20">
        <v>0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 x14ac:dyDescent="0.25">
      <c r="A9" t="s">
        <v>506</v>
      </c>
      <c r="C9" s="17" t="s">
        <v>507</v>
      </c>
      <c r="D9" t="s">
        <v>140</v>
      </c>
      <c r="G9" t="s">
        <v>506</v>
      </c>
      <c r="H9" s="20">
        <f t="shared" si="3"/>
        <v>190.8559466883236</v>
      </c>
      <c r="I9" s="20">
        <f t="shared" si="0"/>
        <v>461.52327581229878</v>
      </c>
      <c r="J9" s="20">
        <f t="shared" si="1"/>
        <v>1581.252790232385</v>
      </c>
      <c r="K9" s="20">
        <f t="shared" si="2"/>
        <v>0</v>
      </c>
      <c r="L9" s="20"/>
      <c r="M9" s="20"/>
      <c r="N9" t="s">
        <v>506</v>
      </c>
      <c r="O9" s="20">
        <v>190.8559466883236</v>
      </c>
      <c r="P9" s="20">
        <v>461.52327581229878</v>
      </c>
      <c r="Q9" s="20">
        <v>1581.252790232385</v>
      </c>
      <c r="R9" s="20">
        <v>0</v>
      </c>
      <c r="S9" s="20">
        <v>190.8559466883236</v>
      </c>
      <c r="T9" s="20">
        <v>461.52327581229878</v>
      </c>
      <c r="U9" s="20">
        <v>1581.252790232385</v>
      </c>
      <c r="V9" s="20">
        <v>0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 x14ac:dyDescent="0.25">
      <c r="A10" t="s">
        <v>507</v>
      </c>
      <c r="C10" s="17" t="s">
        <v>505</v>
      </c>
      <c r="D10" t="s">
        <v>142</v>
      </c>
      <c r="G10" t="s">
        <v>507</v>
      </c>
      <c r="H10" s="20">
        <f t="shared" si="3"/>
        <v>190.8559466883236</v>
      </c>
      <c r="I10" s="20">
        <f t="shared" si="0"/>
        <v>461.52327581229878</v>
      </c>
      <c r="J10" s="20">
        <f t="shared" si="1"/>
        <v>1581.252790232385</v>
      </c>
      <c r="K10" s="20">
        <f t="shared" si="2"/>
        <v>0</v>
      </c>
      <c r="L10" s="20"/>
      <c r="M10" s="20"/>
      <c r="N10" t="s">
        <v>507</v>
      </c>
      <c r="O10" s="20">
        <v>190.8559466883236</v>
      </c>
      <c r="P10" s="20">
        <v>461.52327581229878</v>
      </c>
      <c r="Q10" s="20">
        <v>1581.252790232385</v>
      </c>
      <c r="R10" s="20">
        <v>0</v>
      </c>
      <c r="S10" s="20">
        <v>190.8559466883236</v>
      </c>
      <c r="T10" s="20">
        <v>461.52327581229878</v>
      </c>
      <c r="U10" s="20">
        <v>1581.252790232385</v>
      </c>
      <c r="V10" s="20">
        <v>0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 x14ac:dyDescent="0.25">
      <c r="A11" t="s">
        <v>505</v>
      </c>
      <c r="C11" s="17" t="s">
        <v>508</v>
      </c>
      <c r="D11" t="s">
        <v>143</v>
      </c>
      <c r="G11" t="s">
        <v>505</v>
      </c>
      <c r="H11" s="20">
        <f t="shared" si="3"/>
        <v>190.8559466883236</v>
      </c>
      <c r="I11" s="20">
        <f t="shared" si="0"/>
        <v>461.52327581229878</v>
      </c>
      <c r="J11" s="20">
        <f t="shared" si="1"/>
        <v>1581.252790232385</v>
      </c>
      <c r="K11" s="20">
        <f t="shared" si="2"/>
        <v>0</v>
      </c>
      <c r="L11" s="20"/>
      <c r="M11" s="20"/>
      <c r="N11" t="s">
        <v>505</v>
      </c>
      <c r="O11" s="20">
        <v>190.8559466883236</v>
      </c>
      <c r="P11" s="20">
        <v>461.52327581229878</v>
      </c>
      <c r="Q11" s="20">
        <v>1581.252790232385</v>
      </c>
      <c r="R11" s="20">
        <v>0</v>
      </c>
      <c r="S11" s="20">
        <v>190.8559466883236</v>
      </c>
      <c r="T11" s="20">
        <v>461.52327581229878</v>
      </c>
      <c r="U11" s="20">
        <v>1581.252790232385</v>
      </c>
      <c r="V11" s="20">
        <v>0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 x14ac:dyDescent="0.25">
      <c r="A12" t="s">
        <v>508</v>
      </c>
      <c r="C12" s="17" t="s">
        <v>509</v>
      </c>
      <c r="D12" t="s">
        <v>147</v>
      </c>
      <c r="G12" t="s">
        <v>508</v>
      </c>
      <c r="H12" s="20">
        <f t="shared" si="3"/>
        <v>190.8559466883236</v>
      </c>
      <c r="I12" s="20">
        <f t="shared" si="0"/>
        <v>461.52327581229878</v>
      </c>
      <c r="J12" s="20">
        <f t="shared" si="1"/>
        <v>1581.252790232385</v>
      </c>
      <c r="K12" s="20">
        <f t="shared" si="2"/>
        <v>0</v>
      </c>
      <c r="L12" s="20"/>
      <c r="M12" s="20"/>
      <c r="N12" t="s">
        <v>508</v>
      </c>
      <c r="O12" s="20">
        <v>190.8559466883236</v>
      </c>
      <c r="P12" s="20">
        <v>461.52327581229878</v>
      </c>
      <c r="Q12" s="20">
        <v>1581.252790232385</v>
      </c>
      <c r="R12" s="20">
        <v>0</v>
      </c>
      <c r="S12" s="20">
        <v>190.8559466883236</v>
      </c>
      <c r="T12" s="20">
        <v>461.52327581229878</v>
      </c>
      <c r="U12" s="20">
        <v>1581.252790232385</v>
      </c>
      <c r="V12" s="20">
        <v>0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 x14ac:dyDescent="0.25">
      <c r="A13" t="s">
        <v>509</v>
      </c>
      <c r="C13" s="17" t="s">
        <v>510</v>
      </c>
      <c r="D13" s="32" t="s">
        <v>716</v>
      </c>
      <c r="G13" t="s">
        <v>509</v>
      </c>
      <c r="H13" s="20">
        <f t="shared" si="3"/>
        <v>190.8559466883236</v>
      </c>
      <c r="I13" s="20">
        <f t="shared" si="0"/>
        <v>461.52327581229878</v>
      </c>
      <c r="J13" s="20">
        <f t="shared" si="1"/>
        <v>1581.252790232385</v>
      </c>
      <c r="K13" s="20">
        <f t="shared" si="2"/>
        <v>0</v>
      </c>
      <c r="L13" s="20"/>
      <c r="M13" s="20"/>
      <c r="N13" t="s">
        <v>509</v>
      </c>
      <c r="O13" s="20">
        <v>190.8559466883236</v>
      </c>
      <c r="P13" s="20">
        <v>461.52327581229878</v>
      </c>
      <c r="Q13" s="20">
        <v>1581.252790232385</v>
      </c>
      <c r="R13" s="20">
        <v>0</v>
      </c>
      <c r="S13" s="20">
        <v>190.8559466883236</v>
      </c>
      <c r="T13" s="20">
        <v>461.52327581229878</v>
      </c>
      <c r="U13" s="20">
        <v>1581.252790232385</v>
      </c>
      <c r="V13" s="20">
        <v>0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 x14ac:dyDescent="0.25">
      <c r="A14" t="s">
        <v>510</v>
      </c>
      <c r="C14" s="17" t="s">
        <v>510</v>
      </c>
      <c r="D14" t="s">
        <v>148</v>
      </c>
      <c r="G14" t="s">
        <v>510</v>
      </c>
      <c r="H14" s="20">
        <f t="shared" si="3"/>
        <v>190.8559466883236</v>
      </c>
      <c r="I14" s="20">
        <f t="shared" si="0"/>
        <v>461.52327581229878</v>
      </c>
      <c r="J14" s="20">
        <f t="shared" si="1"/>
        <v>1581.252790232385</v>
      </c>
      <c r="K14" s="20">
        <f t="shared" si="2"/>
        <v>0</v>
      </c>
      <c r="L14" s="20"/>
      <c r="M14" s="20"/>
      <c r="N14" t="s">
        <v>510</v>
      </c>
      <c r="O14" s="20">
        <v>190.8559466883236</v>
      </c>
      <c r="P14" s="20">
        <v>461.52327581229878</v>
      </c>
      <c r="Q14" s="20">
        <v>1581.252790232385</v>
      </c>
      <c r="R14" s="20">
        <v>0</v>
      </c>
      <c r="S14" s="20">
        <v>190.8559466883236</v>
      </c>
      <c r="T14" s="20">
        <v>461.52327581229878</v>
      </c>
      <c r="U14" s="20">
        <v>1581.252790232385</v>
      </c>
      <c r="V14" s="20">
        <v>0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x14ac:dyDescent="0.25">
      <c r="A15" t="s">
        <v>511</v>
      </c>
      <c r="C15" s="17" t="s">
        <v>443</v>
      </c>
      <c r="D15" t="s">
        <v>676</v>
      </c>
      <c r="G15" t="s">
        <v>511</v>
      </c>
      <c r="H15" s="20">
        <f t="shared" si="3"/>
        <v>190.8559466883236</v>
      </c>
      <c r="I15" s="20">
        <f t="shared" si="0"/>
        <v>461.52327581229878</v>
      </c>
      <c r="J15" s="20">
        <f t="shared" si="1"/>
        <v>1581.252790232385</v>
      </c>
      <c r="K15" s="20">
        <f t="shared" si="2"/>
        <v>0</v>
      </c>
      <c r="L15" s="20"/>
      <c r="M15" s="20"/>
      <c r="N15" t="s">
        <v>511</v>
      </c>
      <c r="O15" s="20">
        <v>190.8559466883236</v>
      </c>
      <c r="P15" s="20">
        <v>461.52327581229878</v>
      </c>
      <c r="Q15" s="20">
        <v>1581.252790232385</v>
      </c>
      <c r="R15" s="20">
        <v>0</v>
      </c>
      <c r="S15" s="20">
        <v>190.8559466883236</v>
      </c>
      <c r="T15" s="20">
        <v>461.52327581229878</v>
      </c>
      <c r="U15" s="20">
        <v>1581.252790232385</v>
      </c>
      <c r="V15" s="20">
        <v>0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 x14ac:dyDescent="0.25">
      <c r="A16" t="s">
        <v>443</v>
      </c>
      <c r="C16" s="17" t="s">
        <v>443</v>
      </c>
      <c r="D16" t="s">
        <v>281</v>
      </c>
      <c r="G16" t="s">
        <v>443</v>
      </c>
      <c r="H16" s="20">
        <f t="shared" si="3"/>
        <v>190.8559466883236</v>
      </c>
      <c r="I16" s="20">
        <f t="shared" si="0"/>
        <v>461.52327581229878</v>
      </c>
      <c r="J16" s="20">
        <f t="shared" si="1"/>
        <v>1581.252790232385</v>
      </c>
      <c r="K16" s="20">
        <f t="shared" si="2"/>
        <v>0</v>
      </c>
      <c r="L16" s="20"/>
      <c r="M16" s="20"/>
      <c r="N16" t="s">
        <v>443</v>
      </c>
      <c r="O16" s="20">
        <v>190.8559466883236</v>
      </c>
      <c r="P16" s="20">
        <v>461.52327581229878</v>
      </c>
      <c r="Q16" s="20">
        <v>1581.252790232385</v>
      </c>
      <c r="R16" s="20">
        <v>0</v>
      </c>
      <c r="S16" s="20">
        <v>190.8559466883236</v>
      </c>
      <c r="T16" s="20">
        <v>461.52327581229878</v>
      </c>
      <c r="U16" s="20">
        <v>1581.252790232385</v>
      </c>
      <c r="V16" s="20">
        <v>0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 x14ac:dyDescent="0.25">
      <c r="A17" t="s">
        <v>444</v>
      </c>
      <c r="C17" s="17" t="s">
        <v>512</v>
      </c>
      <c r="D17" t="s">
        <v>151</v>
      </c>
      <c r="G17" t="s">
        <v>444</v>
      </c>
      <c r="H17" s="20">
        <f t="shared" si="3"/>
        <v>190.8559466883236</v>
      </c>
      <c r="I17" s="20">
        <f t="shared" si="0"/>
        <v>461.52327581229878</v>
      </c>
      <c r="J17" s="20">
        <f t="shared" si="1"/>
        <v>1581.252790232385</v>
      </c>
      <c r="K17" s="20">
        <f t="shared" si="2"/>
        <v>0</v>
      </c>
      <c r="L17" s="20"/>
      <c r="M17" s="20"/>
      <c r="N17" t="s">
        <v>444</v>
      </c>
      <c r="O17" s="20">
        <v>190.8559466883236</v>
      </c>
      <c r="P17" s="20">
        <v>461.52327581229878</v>
      </c>
      <c r="Q17" s="20">
        <v>1581.252790232385</v>
      </c>
      <c r="R17" s="20">
        <v>0</v>
      </c>
      <c r="S17" s="20">
        <v>190.8559466883236</v>
      </c>
      <c r="T17" s="20">
        <v>461.52327581229878</v>
      </c>
      <c r="U17" s="20">
        <v>1581.252790232385</v>
      </c>
      <c r="V17" s="20">
        <v>0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 x14ac:dyDescent="0.25">
      <c r="A18" t="s">
        <v>512</v>
      </c>
      <c r="C18" s="17" t="s">
        <v>513</v>
      </c>
      <c r="D18" t="s">
        <v>152</v>
      </c>
      <c r="G18" t="s">
        <v>512</v>
      </c>
      <c r="H18" s="20">
        <f t="shared" si="3"/>
        <v>190.8559466883236</v>
      </c>
      <c r="I18" s="20">
        <f t="shared" si="0"/>
        <v>461.52327581229878</v>
      </c>
      <c r="J18" s="20">
        <f t="shared" si="1"/>
        <v>1581.252790232385</v>
      </c>
      <c r="K18" s="20">
        <f t="shared" si="2"/>
        <v>0</v>
      </c>
      <c r="L18" s="20"/>
      <c r="M18" s="20"/>
      <c r="N18" t="s">
        <v>512</v>
      </c>
      <c r="O18" s="20">
        <v>190.8559466883236</v>
      </c>
      <c r="P18" s="20">
        <v>461.52327581229878</v>
      </c>
      <c r="Q18" s="20">
        <v>1581.252790232385</v>
      </c>
      <c r="R18" s="20">
        <v>0</v>
      </c>
      <c r="S18" s="20">
        <v>190.8559466883236</v>
      </c>
      <c r="T18" s="20">
        <v>461.52327581229878</v>
      </c>
      <c r="U18" s="20">
        <v>1581.252790232385</v>
      </c>
      <c r="V18" s="20">
        <v>0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 x14ac:dyDescent="0.25">
      <c r="A19" t="s">
        <v>513</v>
      </c>
      <c r="C19" s="17" t="s">
        <v>445</v>
      </c>
      <c r="D19" t="s">
        <v>714</v>
      </c>
      <c r="G19" t="s">
        <v>513</v>
      </c>
      <c r="H19" s="20">
        <f t="shared" si="3"/>
        <v>190.8559466883236</v>
      </c>
      <c r="I19" s="20">
        <f t="shared" si="0"/>
        <v>461.52327581229878</v>
      </c>
      <c r="J19" s="20">
        <f t="shared" si="1"/>
        <v>1581.252790232385</v>
      </c>
      <c r="K19" s="20">
        <f t="shared" si="2"/>
        <v>0</v>
      </c>
      <c r="L19" s="20"/>
      <c r="M19" s="20"/>
      <c r="N19" t="s">
        <v>513</v>
      </c>
      <c r="O19" s="20">
        <v>190.8559466883236</v>
      </c>
      <c r="P19" s="20">
        <v>461.52327581229878</v>
      </c>
      <c r="Q19" s="20">
        <v>1581.252790232385</v>
      </c>
      <c r="R19" s="20">
        <v>0</v>
      </c>
      <c r="S19" s="20">
        <v>190.8559466883236</v>
      </c>
      <c r="T19" s="20">
        <v>461.52327581229878</v>
      </c>
      <c r="U19" s="20">
        <v>1581.252790232385</v>
      </c>
      <c r="V19" s="20">
        <v>0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 x14ac:dyDescent="0.25">
      <c r="A20" t="s">
        <v>445</v>
      </c>
      <c r="C20" s="17" t="s">
        <v>445</v>
      </c>
      <c r="D20" t="s">
        <v>677</v>
      </c>
      <c r="G20" t="s">
        <v>445</v>
      </c>
      <c r="H20" s="20">
        <f t="shared" si="3"/>
        <v>628.99940085086803</v>
      </c>
      <c r="I20" s="20">
        <f t="shared" si="0"/>
        <v>1128.8693784555651</v>
      </c>
      <c r="J20" s="20">
        <f t="shared" si="1"/>
        <v>7717.5687582310338</v>
      </c>
      <c r="K20" s="20">
        <f t="shared" si="2"/>
        <v>13759.517242233291</v>
      </c>
      <c r="L20" s="20"/>
      <c r="M20" s="20"/>
      <c r="N20" t="s">
        <v>445</v>
      </c>
      <c r="O20" s="20">
        <v>628.99940085086803</v>
      </c>
      <c r="P20" s="20">
        <v>1128.8693784555651</v>
      </c>
      <c r="Q20" s="20">
        <v>7717.5687582310338</v>
      </c>
      <c r="R20" s="20">
        <v>13759.517242233291</v>
      </c>
      <c r="S20" s="20">
        <v>628.99940085086803</v>
      </c>
      <c r="T20" s="20">
        <v>1128.8693784555651</v>
      </c>
      <c r="U20" s="20">
        <v>7717.5687582310338</v>
      </c>
      <c r="V20" s="20">
        <v>13759.517242233291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 x14ac:dyDescent="0.25">
      <c r="A21" t="s">
        <v>446</v>
      </c>
      <c r="C21" s="17" t="s">
        <v>446</v>
      </c>
      <c r="D21" t="s">
        <v>153</v>
      </c>
      <c r="G21" t="s">
        <v>446</v>
      </c>
      <c r="H21" s="20">
        <f t="shared" si="3"/>
        <v>819.78420744626544</v>
      </c>
      <c r="I21" s="20">
        <f t="shared" si="0"/>
        <v>1151.2747063503975</v>
      </c>
      <c r="J21" s="20">
        <f t="shared" si="1"/>
        <v>5319.3270190809108</v>
      </c>
      <c r="K21" s="20">
        <f t="shared" si="2"/>
        <v>13277.253878665784</v>
      </c>
      <c r="L21" s="20"/>
      <c r="M21" s="20"/>
      <c r="N21" t="s">
        <v>446</v>
      </c>
      <c r="O21" s="20">
        <v>819.78420744626544</v>
      </c>
      <c r="P21" s="20">
        <v>1151.2747063503975</v>
      </c>
      <c r="Q21" s="20">
        <v>5319.3270190809108</v>
      </c>
      <c r="R21" s="20">
        <v>13277.253878665784</v>
      </c>
      <c r="S21" s="20">
        <v>819.78420744626544</v>
      </c>
      <c r="T21" s="20">
        <v>1151.2747063503975</v>
      </c>
      <c r="U21" s="20">
        <v>5319.3270190809108</v>
      </c>
      <c r="V21" s="20">
        <v>13277.253878665784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 x14ac:dyDescent="0.25">
      <c r="A22" t="s">
        <v>515</v>
      </c>
      <c r="C22" s="17" t="s">
        <v>446</v>
      </c>
      <c r="D22" t="s">
        <v>284</v>
      </c>
      <c r="G22" t="s">
        <v>515</v>
      </c>
      <c r="H22" s="20">
        <f t="shared" si="3"/>
        <v>819.78420744626544</v>
      </c>
      <c r="I22" s="20">
        <f t="shared" si="0"/>
        <v>1151.2747063503975</v>
      </c>
      <c r="J22" s="20">
        <f t="shared" si="1"/>
        <v>5319.3270190809108</v>
      </c>
      <c r="K22" s="20">
        <f t="shared" si="2"/>
        <v>13277.253878665784</v>
      </c>
      <c r="L22" s="20"/>
      <c r="M22" s="20"/>
      <c r="N22" t="s">
        <v>515</v>
      </c>
      <c r="O22" s="20">
        <v>819.78420744626544</v>
      </c>
      <c r="P22" s="20">
        <v>1151.2747063503975</v>
      </c>
      <c r="Q22" s="20">
        <v>5319.3270190809108</v>
      </c>
      <c r="R22" s="20">
        <v>13277.253878665784</v>
      </c>
      <c r="S22" s="20">
        <v>819.78420744626544</v>
      </c>
      <c r="T22" s="20">
        <v>1151.2747063503975</v>
      </c>
      <c r="U22" s="20">
        <v>5319.3270190809108</v>
      </c>
      <c r="V22" s="20">
        <v>13277.253878665784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 x14ac:dyDescent="0.25">
      <c r="A23" t="s">
        <v>516</v>
      </c>
      <c r="C23" s="17" t="s">
        <v>446</v>
      </c>
      <c r="D23" t="s">
        <v>286</v>
      </c>
      <c r="G23" t="s">
        <v>516</v>
      </c>
      <c r="H23" s="20">
        <f t="shared" si="3"/>
        <v>819.78420744626544</v>
      </c>
      <c r="I23" s="20">
        <f t="shared" si="0"/>
        <v>1151.2747063503975</v>
      </c>
      <c r="J23" s="20">
        <f t="shared" si="1"/>
        <v>5319.3270190809108</v>
      </c>
      <c r="K23" s="20">
        <f t="shared" si="2"/>
        <v>13277.253878665784</v>
      </c>
      <c r="L23" s="20"/>
      <c r="M23" s="20"/>
      <c r="N23" t="s">
        <v>516</v>
      </c>
      <c r="O23" s="20">
        <v>819.78420744626544</v>
      </c>
      <c r="P23" s="20">
        <v>1151.2747063503975</v>
      </c>
      <c r="Q23" s="20">
        <v>5319.3270190809108</v>
      </c>
      <c r="R23" s="20">
        <v>13277.253878665784</v>
      </c>
      <c r="S23" s="20">
        <v>819.78420744626544</v>
      </c>
      <c r="T23" s="20">
        <v>1151.2747063503975</v>
      </c>
      <c r="U23" s="20">
        <v>5319.3270190809108</v>
      </c>
      <c r="V23" s="20">
        <v>13277.253878665784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 x14ac:dyDescent="0.25">
      <c r="A24" t="s">
        <v>447</v>
      </c>
      <c r="C24" s="17" t="s">
        <v>446</v>
      </c>
      <c r="D24" t="s">
        <v>287</v>
      </c>
      <c r="G24" t="s">
        <v>447</v>
      </c>
      <c r="H24" s="20">
        <f t="shared" si="3"/>
        <v>819.78420744626544</v>
      </c>
      <c r="I24" s="20">
        <f t="shared" si="0"/>
        <v>1151.2747063503975</v>
      </c>
      <c r="J24" s="20">
        <f t="shared" si="1"/>
        <v>5319.3270190809108</v>
      </c>
      <c r="K24" s="20">
        <f t="shared" si="2"/>
        <v>13277.253878665784</v>
      </c>
      <c r="L24" s="20"/>
      <c r="M24" s="20"/>
      <c r="N24" t="s">
        <v>447</v>
      </c>
      <c r="O24" s="20">
        <v>819.78420744626544</v>
      </c>
      <c r="P24" s="20">
        <v>1151.2747063503975</v>
      </c>
      <c r="Q24" s="20">
        <v>5319.3270190809108</v>
      </c>
      <c r="R24" s="20">
        <v>13277.253878665784</v>
      </c>
      <c r="S24" s="20">
        <v>819.78420744626544</v>
      </c>
      <c r="T24" s="20">
        <v>1151.2747063503975</v>
      </c>
      <c r="U24" s="20">
        <v>5319.3270190809108</v>
      </c>
      <c r="V24" s="20">
        <v>13277.253878665784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 x14ac:dyDescent="0.25">
      <c r="A25" t="s">
        <v>448</v>
      </c>
      <c r="C25" s="17" t="s">
        <v>446</v>
      </c>
      <c r="D25" t="s">
        <v>285</v>
      </c>
      <c r="G25" t="s">
        <v>448</v>
      </c>
      <c r="H25" s="20">
        <f t="shared" si="3"/>
        <v>819.78420744626544</v>
      </c>
      <c r="I25" s="20">
        <f t="shared" si="0"/>
        <v>1151.2747063503975</v>
      </c>
      <c r="J25" s="20">
        <f t="shared" si="1"/>
        <v>5319.3270190809108</v>
      </c>
      <c r="K25" s="20">
        <f t="shared" si="2"/>
        <v>13277.253878665784</v>
      </c>
      <c r="L25" s="20"/>
      <c r="M25" s="20"/>
      <c r="N25" t="s">
        <v>448</v>
      </c>
      <c r="O25" s="20">
        <v>819.78420744626544</v>
      </c>
      <c r="P25" s="20">
        <v>1151.2747063503975</v>
      </c>
      <c r="Q25" s="20">
        <v>5319.3270190809108</v>
      </c>
      <c r="R25" s="20">
        <v>13277.253878665784</v>
      </c>
      <c r="S25" s="20">
        <v>819.78420744626544</v>
      </c>
      <c r="T25" s="20">
        <v>1151.2747063503975</v>
      </c>
      <c r="U25" s="20">
        <v>5319.3270190809108</v>
      </c>
      <c r="V25" s="20">
        <v>13277.253878665784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 x14ac:dyDescent="0.25">
      <c r="A26" t="s">
        <v>449</v>
      </c>
      <c r="C26" s="17" t="s">
        <v>446</v>
      </c>
      <c r="D26" t="s">
        <v>154</v>
      </c>
      <c r="G26" t="s">
        <v>449</v>
      </c>
      <c r="H26" s="20">
        <f t="shared" si="3"/>
        <v>819.78420744626544</v>
      </c>
      <c r="I26" s="20">
        <f t="shared" si="0"/>
        <v>1151.2747063503975</v>
      </c>
      <c r="J26" s="20">
        <f t="shared" si="1"/>
        <v>5319.3270190809108</v>
      </c>
      <c r="K26" s="20">
        <f t="shared" si="2"/>
        <v>13277.253878665784</v>
      </c>
      <c r="L26" s="20"/>
      <c r="M26" s="20"/>
      <c r="N26" t="s">
        <v>449</v>
      </c>
      <c r="O26" s="20">
        <v>819.78420744626544</v>
      </c>
      <c r="P26" s="20">
        <v>1151.2747063503975</v>
      </c>
      <c r="Q26" s="20">
        <v>5319.3270190809108</v>
      </c>
      <c r="R26" s="20">
        <v>13277.253878665784</v>
      </c>
      <c r="S26" s="20">
        <v>819.78420744626544</v>
      </c>
      <c r="T26" s="20">
        <v>1151.2747063503975</v>
      </c>
      <c r="U26" s="20">
        <v>5319.3270190809108</v>
      </c>
      <c r="V26" s="20">
        <v>13277.253878665784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 x14ac:dyDescent="0.25">
      <c r="A27" t="s">
        <v>450</v>
      </c>
      <c r="C27" s="17" t="s">
        <v>446</v>
      </c>
      <c r="D27" t="s">
        <v>678</v>
      </c>
      <c r="G27" t="s">
        <v>450</v>
      </c>
      <c r="H27" s="20">
        <f t="shared" si="3"/>
        <v>819.78420744626544</v>
      </c>
      <c r="I27" s="20">
        <f t="shared" si="0"/>
        <v>1151.2747063503975</v>
      </c>
      <c r="J27" s="20">
        <f t="shared" si="1"/>
        <v>5319.3270190809108</v>
      </c>
      <c r="K27" s="20">
        <f t="shared" si="2"/>
        <v>13277.253878665784</v>
      </c>
      <c r="L27" s="20"/>
      <c r="M27" s="20"/>
      <c r="N27" t="s">
        <v>450</v>
      </c>
      <c r="O27" s="20">
        <v>819.78420744626544</v>
      </c>
      <c r="P27" s="20">
        <v>1151.2747063503975</v>
      </c>
      <c r="Q27" s="20">
        <v>5319.3270190809108</v>
      </c>
      <c r="R27" s="20">
        <v>13277.253878665784</v>
      </c>
      <c r="S27" s="20">
        <v>819.78420744626544</v>
      </c>
      <c r="T27" s="20">
        <v>1151.2747063503975</v>
      </c>
      <c r="U27" s="20">
        <v>5319.3270190809108</v>
      </c>
      <c r="V27" s="20">
        <v>13277.253878665784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 x14ac:dyDescent="0.25">
      <c r="A28" t="s">
        <v>451</v>
      </c>
      <c r="C28" s="17" t="s">
        <v>516</v>
      </c>
      <c r="D28" t="s">
        <v>679</v>
      </c>
      <c r="G28" t="s">
        <v>451</v>
      </c>
      <c r="H28" s="20">
        <f t="shared" si="3"/>
        <v>819.78420744626544</v>
      </c>
      <c r="I28" s="20">
        <f t="shared" si="0"/>
        <v>1151.2747063503975</v>
      </c>
      <c r="J28" s="20">
        <f t="shared" si="1"/>
        <v>5319.3270190809108</v>
      </c>
      <c r="K28" s="20">
        <f t="shared" si="2"/>
        <v>13277.253878665784</v>
      </c>
      <c r="L28" s="20"/>
      <c r="M28" s="20"/>
      <c r="N28" t="s">
        <v>451</v>
      </c>
      <c r="O28" s="20">
        <v>819.78420744626544</v>
      </c>
      <c r="P28" s="20">
        <v>1151.2747063503975</v>
      </c>
      <c r="Q28" s="20">
        <v>5319.3270190809108</v>
      </c>
      <c r="R28" s="20">
        <v>13277.253878665784</v>
      </c>
      <c r="S28" s="20">
        <v>819.78420744626544</v>
      </c>
      <c r="T28" s="20">
        <v>1151.2747063503975</v>
      </c>
      <c r="U28" s="20">
        <v>5319.3270190809108</v>
      </c>
      <c r="V28" s="20">
        <v>13277.253878665784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 x14ac:dyDescent="0.25">
      <c r="A29" t="s">
        <v>452</v>
      </c>
      <c r="C29" s="17" t="s">
        <v>447</v>
      </c>
      <c r="D29" t="s">
        <v>155</v>
      </c>
      <c r="G29" t="s">
        <v>452</v>
      </c>
      <c r="H29" s="20">
        <f t="shared" si="3"/>
        <v>819.78420744626544</v>
      </c>
      <c r="I29" s="20">
        <f t="shared" si="0"/>
        <v>1151.2747063503975</v>
      </c>
      <c r="J29" s="20">
        <f t="shared" si="1"/>
        <v>5319.3270190809108</v>
      </c>
      <c r="K29" s="20">
        <f t="shared" si="2"/>
        <v>13277.253878665784</v>
      </c>
      <c r="L29" s="20"/>
      <c r="M29" s="20"/>
      <c r="N29" t="s">
        <v>452</v>
      </c>
      <c r="O29" s="20">
        <v>819.78420744626544</v>
      </c>
      <c r="P29" s="20">
        <v>1151.2747063503975</v>
      </c>
      <c r="Q29" s="20">
        <v>5319.3270190809108</v>
      </c>
      <c r="R29" s="20">
        <v>13277.253878665784</v>
      </c>
      <c r="S29" s="20">
        <v>819.78420744626544</v>
      </c>
      <c r="T29" s="20">
        <v>1151.2747063503975</v>
      </c>
      <c r="U29" s="20">
        <v>5319.3270190809108</v>
      </c>
      <c r="V29" s="20">
        <v>13277.253878665784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 x14ac:dyDescent="0.25">
      <c r="A30" t="s">
        <v>453</v>
      </c>
      <c r="C30" s="17" t="s">
        <v>448</v>
      </c>
      <c r="D30" t="s">
        <v>156</v>
      </c>
      <c r="G30" t="s">
        <v>453</v>
      </c>
      <c r="H30" s="20">
        <f t="shared" si="3"/>
        <v>1022.2193890772163</v>
      </c>
      <c r="I30" s="20">
        <f t="shared" si="0"/>
        <v>3111.6008069407985</v>
      </c>
      <c r="J30" s="20">
        <f t="shared" si="1"/>
        <v>8035.0182517685607</v>
      </c>
      <c r="K30" s="20">
        <f t="shared" si="2"/>
        <v>14829.921759933939</v>
      </c>
      <c r="L30" s="20"/>
      <c r="M30" s="20"/>
      <c r="N30" t="s">
        <v>453</v>
      </c>
      <c r="O30" s="20">
        <v>1022.2193890772163</v>
      </c>
      <c r="P30" s="20">
        <v>3111.6008069407985</v>
      </c>
      <c r="Q30" s="20">
        <v>8035.0182517685607</v>
      </c>
      <c r="R30" s="20">
        <v>14829.921759933939</v>
      </c>
      <c r="S30" s="20">
        <v>1022.2193890772163</v>
      </c>
      <c r="T30" s="20">
        <v>3111.6008069407985</v>
      </c>
      <c r="U30" s="20">
        <v>8035.0182517685607</v>
      </c>
      <c r="V30" s="20">
        <v>14829.921759933939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 x14ac:dyDescent="0.25">
      <c r="A31" t="s">
        <v>454</v>
      </c>
      <c r="C31" s="17" t="s">
        <v>449</v>
      </c>
      <c r="D31" t="s">
        <v>288</v>
      </c>
      <c r="G31" t="s">
        <v>454</v>
      </c>
      <c r="H31" s="20">
        <f t="shared" si="3"/>
        <v>931.83870405048253</v>
      </c>
      <c r="I31" s="20">
        <f t="shared" si="0"/>
        <v>1164.7983800631093</v>
      </c>
      <c r="J31" s="20">
        <f t="shared" si="1"/>
        <v>3494.395140189311</v>
      </c>
      <c r="K31" s="20">
        <f t="shared" si="2"/>
        <v>11647.983800631057</v>
      </c>
      <c r="L31" s="20"/>
      <c r="M31" s="20"/>
      <c r="N31" t="s">
        <v>454</v>
      </c>
      <c r="O31" s="20">
        <v>931.83870405048253</v>
      </c>
      <c r="P31" s="20">
        <v>1164.7983800631093</v>
      </c>
      <c r="Q31" s="20">
        <v>3494.395140189311</v>
      </c>
      <c r="R31" s="20">
        <v>11647.983800631057</v>
      </c>
      <c r="S31" s="20">
        <v>931.83870405048253</v>
      </c>
      <c r="T31" s="20">
        <v>1164.7983800631093</v>
      </c>
      <c r="U31" s="20">
        <v>3494.395140189311</v>
      </c>
      <c r="V31" s="20">
        <v>11647.983800631057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 x14ac:dyDescent="0.25">
      <c r="A32" t="s">
        <v>296</v>
      </c>
      <c r="C32" s="17" t="s">
        <v>449</v>
      </c>
      <c r="D32" t="s">
        <v>157</v>
      </c>
      <c r="G32" t="s">
        <v>296</v>
      </c>
      <c r="H32" s="20">
        <f t="shared" si="3"/>
        <v>373.46682139797917</v>
      </c>
      <c r="I32" s="20">
        <f t="shared" si="0"/>
        <v>683.43960321896054</v>
      </c>
      <c r="J32" s="20">
        <f t="shared" si="1"/>
        <v>1372.6862640828622</v>
      </c>
      <c r="K32" s="20">
        <f t="shared" si="2"/>
        <v>3300.7579222143827</v>
      </c>
      <c r="L32" s="20"/>
      <c r="M32" s="20"/>
      <c r="N32" t="s">
        <v>296</v>
      </c>
      <c r="O32" s="20">
        <v>373.46682139797917</v>
      </c>
      <c r="P32" s="20">
        <v>683.43960321896054</v>
      </c>
      <c r="Q32" s="20">
        <v>1372.6862640828622</v>
      </c>
      <c r="R32" s="20">
        <v>3300.7579222143827</v>
      </c>
      <c r="S32" s="20">
        <v>373.46682139797917</v>
      </c>
      <c r="T32" s="20">
        <v>683.43960321896054</v>
      </c>
      <c r="U32" s="20">
        <v>1372.6862640828622</v>
      </c>
      <c r="V32" s="20">
        <v>3300.7579222143827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 x14ac:dyDescent="0.25">
      <c r="A33" t="s">
        <v>455</v>
      </c>
      <c r="C33" s="17" t="s">
        <v>449</v>
      </c>
      <c r="D33" t="s">
        <v>158</v>
      </c>
      <c r="G33" t="s">
        <v>455</v>
      </c>
      <c r="H33" s="20">
        <f t="shared" si="3"/>
        <v>922.72168559961642</v>
      </c>
      <c r="I33" s="20">
        <f t="shared" si="0"/>
        <v>1801.5018085455758</v>
      </c>
      <c r="J33" s="20">
        <f t="shared" si="1"/>
        <v>4290.9681279836095</v>
      </c>
      <c r="K33" s="20">
        <f t="shared" si="2"/>
        <v>11788.888559209816</v>
      </c>
      <c r="L33" s="20"/>
      <c r="M33" s="20"/>
      <c r="N33" t="s">
        <v>455</v>
      </c>
      <c r="O33" s="20">
        <v>922.72168559961642</v>
      </c>
      <c r="P33" s="20">
        <v>1801.5018085455758</v>
      </c>
      <c r="Q33" s="20">
        <v>4290.9681279836095</v>
      </c>
      <c r="R33" s="20">
        <v>11788.888559209816</v>
      </c>
      <c r="S33" s="20">
        <v>922.72168559961642</v>
      </c>
      <c r="T33" s="20">
        <v>1801.5018085455758</v>
      </c>
      <c r="U33" s="20">
        <v>4290.9681279836095</v>
      </c>
      <c r="V33" s="20">
        <v>11788.888559209816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 x14ac:dyDescent="0.25">
      <c r="A34" t="s">
        <v>588</v>
      </c>
      <c r="C34" s="17" t="s">
        <v>450</v>
      </c>
      <c r="D34" t="s">
        <v>159</v>
      </c>
      <c r="G34" t="s">
        <v>588</v>
      </c>
      <c r="H34" s="20">
        <f t="shared" si="3"/>
        <v>1137.5931197462608</v>
      </c>
      <c r="I34" s="20">
        <f t="shared" si="0"/>
        <v>2850.0619423940384</v>
      </c>
      <c r="J34" s="20">
        <f t="shared" si="1"/>
        <v>5763.093916031472</v>
      </c>
      <c r="K34" s="20">
        <f t="shared" si="2"/>
        <v>15613.569385589142</v>
      </c>
      <c r="L34" s="20"/>
      <c r="M34" s="20"/>
      <c r="N34" t="s">
        <v>588</v>
      </c>
      <c r="O34" s="20">
        <v>1137.5931197462608</v>
      </c>
      <c r="P34" s="20">
        <v>2850.0619423940384</v>
      </c>
      <c r="Q34" s="20">
        <v>5763.093916031472</v>
      </c>
      <c r="R34" s="20">
        <v>15613.569385589142</v>
      </c>
      <c r="S34" s="20">
        <v>1137.5931197462608</v>
      </c>
      <c r="T34" s="20">
        <v>2850.0619423940384</v>
      </c>
      <c r="U34" s="20">
        <v>5763.093916031472</v>
      </c>
      <c r="V34" s="20">
        <v>15613.569385589142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 x14ac:dyDescent="0.25">
      <c r="A35" t="s">
        <v>514</v>
      </c>
      <c r="C35" s="17" t="s">
        <v>451</v>
      </c>
      <c r="D35" t="s">
        <v>160</v>
      </c>
      <c r="G35" t="s">
        <v>514</v>
      </c>
      <c r="H35" s="20">
        <f t="shared" si="3"/>
        <v>922.72168559961642</v>
      </c>
      <c r="I35" s="20">
        <f t="shared" si="0"/>
        <v>1801.5018085455758</v>
      </c>
      <c r="J35" s="20">
        <f t="shared" si="1"/>
        <v>4290.9681279836095</v>
      </c>
      <c r="K35" s="20">
        <f t="shared" si="2"/>
        <v>11788.888559209816</v>
      </c>
      <c r="L35" s="20"/>
      <c r="M35" s="20"/>
      <c r="N35" t="s">
        <v>514</v>
      </c>
      <c r="O35" s="20">
        <v>922.72168559961642</v>
      </c>
      <c r="P35" s="20">
        <v>1801.5018085455758</v>
      </c>
      <c r="Q35" s="20">
        <v>4290.9681279836095</v>
      </c>
      <c r="R35" s="20">
        <v>11788.888559209816</v>
      </c>
      <c r="S35" s="20">
        <v>922.72168559961642</v>
      </c>
      <c r="T35" s="20">
        <v>1801.5018085455758</v>
      </c>
      <c r="U35" s="20">
        <v>4290.9681279836095</v>
      </c>
      <c r="V35" s="20">
        <v>11788.888559209816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 x14ac:dyDescent="0.25">
      <c r="A36" t="s">
        <v>590</v>
      </c>
      <c r="C36" s="17" t="s">
        <v>451</v>
      </c>
      <c r="D36" t="s">
        <v>161</v>
      </c>
      <c r="G36" t="s">
        <v>590</v>
      </c>
      <c r="H36" s="20">
        <f t="shared" si="3"/>
        <v>1127.9387989057145</v>
      </c>
      <c r="I36" s="20">
        <f t="shared" si="0"/>
        <v>2565.6894728410134</v>
      </c>
      <c r="J36" s="20">
        <f t="shared" si="1"/>
        <v>6051.7002879769971</v>
      </c>
      <c r="K36" s="20">
        <f t="shared" si="2"/>
        <v>14599.38701367292</v>
      </c>
      <c r="L36" s="20"/>
      <c r="M36" s="20"/>
      <c r="N36" t="s">
        <v>590</v>
      </c>
      <c r="O36" s="20">
        <v>1127.9387989057145</v>
      </c>
      <c r="P36" s="20">
        <v>2565.6894728410134</v>
      </c>
      <c r="Q36" s="20">
        <v>6051.7002879769971</v>
      </c>
      <c r="R36" s="20">
        <v>14599.38701367292</v>
      </c>
      <c r="S36" s="20">
        <v>1127.9387989057145</v>
      </c>
      <c r="T36" s="20">
        <v>2565.6894728410134</v>
      </c>
      <c r="U36" s="20">
        <v>6051.7002879769971</v>
      </c>
      <c r="V36" s="20">
        <v>14599.38701367292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 x14ac:dyDescent="0.25">
      <c r="A37" t="s">
        <v>589</v>
      </c>
      <c r="C37" s="17" t="s">
        <v>452</v>
      </c>
      <c r="D37" t="s">
        <v>162</v>
      </c>
      <c r="G37" t="s">
        <v>589</v>
      </c>
      <c r="H37" s="20">
        <f t="shared" si="3"/>
        <v>1266.5333861891149</v>
      </c>
      <c r="I37" s="20">
        <f t="shared" si="0"/>
        <v>2340.249941161735</v>
      </c>
      <c r="J37" s="20">
        <f t="shared" si="1"/>
        <v>7047.8460507649388</v>
      </c>
      <c r="K37" s="20">
        <f t="shared" si="2"/>
        <v>13970.686159744073</v>
      </c>
      <c r="L37" s="20"/>
      <c r="M37" s="20"/>
      <c r="N37" t="s">
        <v>589</v>
      </c>
      <c r="O37" s="20">
        <v>1266.5333861891149</v>
      </c>
      <c r="P37" s="20">
        <v>2340.249941161735</v>
      </c>
      <c r="Q37" s="20">
        <v>7047.8460507649388</v>
      </c>
      <c r="R37" s="20">
        <v>13970.686159744073</v>
      </c>
      <c r="S37" s="20">
        <v>1266.5333861891149</v>
      </c>
      <c r="T37" s="20">
        <v>2340.249941161735</v>
      </c>
      <c r="U37" s="20">
        <v>7047.8460507649388</v>
      </c>
      <c r="V37" s="20">
        <v>13970.686159744073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 x14ac:dyDescent="0.25">
      <c r="A38" t="s">
        <v>456</v>
      </c>
      <c r="C38" s="17" t="s">
        <v>453</v>
      </c>
      <c r="D38" t="s">
        <v>163</v>
      </c>
      <c r="G38" t="s">
        <v>456</v>
      </c>
      <c r="H38" s="20">
        <f t="shared" si="3"/>
        <v>558.48163040513532</v>
      </c>
      <c r="I38" s="20">
        <f t="shared" si="0"/>
        <v>802.85755807713429</v>
      </c>
      <c r="J38" s="20">
        <f t="shared" si="1"/>
        <v>1922.5341614360213</v>
      </c>
      <c r="K38" s="20">
        <f t="shared" si="2"/>
        <v>10690.991831001384</v>
      </c>
      <c r="L38" s="20"/>
      <c r="M38" s="20"/>
      <c r="N38" t="s">
        <v>456</v>
      </c>
      <c r="O38" s="20">
        <v>558.48163040513532</v>
      </c>
      <c r="P38" s="20">
        <v>802.85755807713429</v>
      </c>
      <c r="Q38" s="20">
        <v>1922.5341614360213</v>
      </c>
      <c r="R38" s="20">
        <v>10690.991831001384</v>
      </c>
      <c r="S38" s="20">
        <v>558.48163040513532</v>
      </c>
      <c r="T38" s="20">
        <v>802.85755807713429</v>
      </c>
      <c r="U38" s="20">
        <v>1922.5341614360213</v>
      </c>
      <c r="V38" s="20">
        <v>10690.991831001384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 x14ac:dyDescent="0.25">
      <c r="A39" t="s">
        <v>457</v>
      </c>
      <c r="C39" s="17" t="s">
        <v>453</v>
      </c>
      <c r="D39" t="s">
        <v>164</v>
      </c>
      <c r="G39" t="s">
        <v>457</v>
      </c>
      <c r="H39" s="20">
        <f t="shared" si="3"/>
        <v>558.48163040513532</v>
      </c>
      <c r="I39" s="20">
        <f t="shared" si="0"/>
        <v>802.85755807713429</v>
      </c>
      <c r="J39" s="20">
        <f t="shared" si="1"/>
        <v>1922.5341614360213</v>
      </c>
      <c r="K39" s="20">
        <f t="shared" si="2"/>
        <v>10690.991831001384</v>
      </c>
      <c r="L39" s="20"/>
      <c r="M39" s="20"/>
      <c r="N39" t="s">
        <v>457</v>
      </c>
      <c r="O39" s="20">
        <v>558.48163040513532</v>
      </c>
      <c r="P39" s="20">
        <v>802.85755807713429</v>
      </c>
      <c r="Q39" s="20">
        <v>1922.5341614360213</v>
      </c>
      <c r="R39" s="20">
        <v>10690.991831001384</v>
      </c>
      <c r="S39" s="20">
        <v>558.48163040513532</v>
      </c>
      <c r="T39" s="20">
        <v>802.85755807713429</v>
      </c>
      <c r="U39" s="20">
        <v>1922.5341614360213</v>
      </c>
      <c r="V39" s="20">
        <v>10690.991831001384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 x14ac:dyDescent="0.25">
      <c r="A40" t="s">
        <v>458</v>
      </c>
      <c r="C40" s="17" t="s">
        <v>454</v>
      </c>
      <c r="D40" t="s">
        <v>165</v>
      </c>
      <c r="G40" t="s">
        <v>458</v>
      </c>
      <c r="H40" s="20">
        <f t="shared" si="3"/>
        <v>558.48163040513532</v>
      </c>
      <c r="I40" s="20">
        <f t="shared" si="0"/>
        <v>802.85755807713429</v>
      </c>
      <c r="J40" s="20">
        <f t="shared" si="1"/>
        <v>1922.5341614360213</v>
      </c>
      <c r="K40" s="20">
        <f t="shared" si="2"/>
        <v>10690.991831001384</v>
      </c>
      <c r="L40" s="20"/>
      <c r="M40" s="20"/>
      <c r="N40" t="s">
        <v>458</v>
      </c>
      <c r="O40" s="20">
        <v>558.48163040513532</v>
      </c>
      <c r="P40" s="20">
        <v>802.85755807713429</v>
      </c>
      <c r="Q40" s="20">
        <v>1922.5341614360213</v>
      </c>
      <c r="R40" s="20">
        <v>10690.991831001384</v>
      </c>
      <c r="S40" s="20">
        <v>558.48163040513532</v>
      </c>
      <c r="T40" s="20">
        <v>802.85755807713429</v>
      </c>
      <c r="U40" s="20">
        <v>1922.5341614360213</v>
      </c>
      <c r="V40" s="20">
        <v>10690.991831001384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 x14ac:dyDescent="0.25">
      <c r="A41" t="s">
        <v>459</v>
      </c>
      <c r="C41" s="17" t="s">
        <v>296</v>
      </c>
      <c r="D41" t="s">
        <v>166</v>
      </c>
      <c r="G41" t="s">
        <v>459</v>
      </c>
      <c r="H41" s="20">
        <f t="shared" si="3"/>
        <v>530.7607072557729</v>
      </c>
      <c r="I41" s="20">
        <f t="shared" si="0"/>
        <v>1027.1355554268853</v>
      </c>
      <c r="J41" s="20">
        <f t="shared" si="1"/>
        <v>1855.7703242127816</v>
      </c>
      <c r="K41" s="20">
        <f t="shared" si="2"/>
        <v>6206.9493666221861</v>
      </c>
      <c r="L41" s="20"/>
      <c r="M41" s="20"/>
      <c r="N41" t="s">
        <v>459</v>
      </c>
      <c r="O41" s="20">
        <v>530.7607072557729</v>
      </c>
      <c r="P41" s="20">
        <v>1027.1355554268853</v>
      </c>
      <c r="Q41" s="20">
        <v>1855.7703242127816</v>
      </c>
      <c r="R41" s="20">
        <v>6206.9493666221861</v>
      </c>
      <c r="S41" s="20">
        <v>530.7607072557729</v>
      </c>
      <c r="T41" s="20">
        <v>1027.1355554268853</v>
      </c>
      <c r="U41" s="20">
        <v>1855.7703242127816</v>
      </c>
      <c r="V41" s="20">
        <v>6206.9493666221861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 x14ac:dyDescent="0.25">
      <c r="C42" s="17" t="s">
        <v>455</v>
      </c>
      <c r="D42" t="s">
        <v>167</v>
      </c>
    </row>
    <row r="43" spans="1:73" x14ac:dyDescent="0.25">
      <c r="C43" s="17" t="s">
        <v>588</v>
      </c>
      <c r="D43" t="s">
        <v>168</v>
      </c>
    </row>
    <row r="44" spans="1:73" x14ac:dyDescent="0.25">
      <c r="C44" s="17" t="s">
        <v>588</v>
      </c>
      <c r="D44" t="s">
        <v>548</v>
      </c>
    </row>
    <row r="45" spans="1:73" x14ac:dyDescent="0.25">
      <c r="C45" s="17" t="s">
        <v>514</v>
      </c>
      <c r="D45" t="s">
        <v>169</v>
      </c>
    </row>
    <row r="46" spans="1:73" x14ac:dyDescent="0.25">
      <c r="C46" t="s">
        <v>590</v>
      </c>
      <c r="D46" t="s">
        <v>170</v>
      </c>
    </row>
    <row r="47" spans="1:73" x14ac:dyDescent="0.25">
      <c r="C47" t="s">
        <v>589</v>
      </c>
      <c r="D47" t="s">
        <v>171</v>
      </c>
    </row>
    <row r="48" spans="1:73" x14ac:dyDescent="0.25">
      <c r="C48" t="s">
        <v>589</v>
      </c>
      <c r="D48" t="s">
        <v>172</v>
      </c>
      <c r="H48" s="19" t="s">
        <v>540</v>
      </c>
      <c r="I48" s="19" t="s">
        <v>540</v>
      </c>
      <c r="J48" s="19" t="s">
        <v>540</v>
      </c>
      <c r="K48" s="19" t="s">
        <v>540</v>
      </c>
      <c r="L48" s="19"/>
      <c r="M48" s="19"/>
      <c r="O48" s="19" t="s">
        <v>540</v>
      </c>
      <c r="P48" s="19" t="s">
        <v>540</v>
      </c>
      <c r="Q48" s="19" t="s">
        <v>540</v>
      </c>
      <c r="R48" s="19" t="s">
        <v>540</v>
      </c>
      <c r="S48" s="19" t="s">
        <v>540</v>
      </c>
      <c r="T48" s="19" t="s">
        <v>540</v>
      </c>
      <c r="U48" s="19" t="s">
        <v>540</v>
      </c>
      <c r="V48" s="19" t="s">
        <v>540</v>
      </c>
    </row>
    <row r="49" spans="3:73" x14ac:dyDescent="0.25">
      <c r="C49" s="17" t="s">
        <v>456</v>
      </c>
      <c r="D49" t="s">
        <v>173</v>
      </c>
      <c r="G49" s="1" t="s">
        <v>461</v>
      </c>
      <c r="N49" s="1" t="s">
        <v>461</v>
      </c>
    </row>
    <row r="50" spans="3:73" x14ac:dyDescent="0.25">
      <c r="C50" s="17" t="s">
        <v>457</v>
      </c>
      <c r="D50" t="s">
        <v>174</v>
      </c>
      <c r="G50" s="20"/>
      <c r="H50" s="20" t="s">
        <v>552</v>
      </c>
      <c r="I50" s="20" t="s">
        <v>553</v>
      </c>
      <c r="J50" s="20" t="s">
        <v>554</v>
      </c>
      <c r="K50" s="20" t="s">
        <v>555</v>
      </c>
      <c r="L50" s="20"/>
      <c r="M50" s="20"/>
      <c r="N50" s="20"/>
      <c r="O50" s="20" t="s">
        <v>294</v>
      </c>
      <c r="P50" s="20" t="s">
        <v>210</v>
      </c>
      <c r="Q50" s="20" t="s">
        <v>211</v>
      </c>
      <c r="R50" s="20" t="s">
        <v>212</v>
      </c>
      <c r="S50" s="20" t="s">
        <v>295</v>
      </c>
      <c r="T50" s="20" t="s">
        <v>213</v>
      </c>
      <c r="U50" s="20" t="s">
        <v>214</v>
      </c>
      <c r="V50" s="20" t="s">
        <v>215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</row>
    <row r="51" spans="3:73" x14ac:dyDescent="0.25">
      <c r="C51" s="17" t="s">
        <v>458</v>
      </c>
      <c r="D51" t="s">
        <v>175</v>
      </c>
      <c r="G51" t="s">
        <v>442</v>
      </c>
      <c r="H51" s="20">
        <f>O51</f>
        <v>0</v>
      </c>
      <c r="I51" s="20">
        <f t="shared" ref="I51:I85" si="4">P51</f>
        <v>0</v>
      </c>
      <c r="J51" s="20">
        <f t="shared" ref="J51:J85" si="5">Q51</f>
        <v>0</v>
      </c>
      <c r="K51" s="20">
        <f t="shared" ref="K51:K85" si="6">R51</f>
        <v>0</v>
      </c>
      <c r="L51" s="20"/>
      <c r="M51" s="20"/>
      <c r="N51" t="s">
        <v>442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</row>
    <row r="52" spans="3:73" x14ac:dyDescent="0.25">
      <c r="C52" s="17" t="s">
        <v>459</v>
      </c>
      <c r="D52" t="s">
        <v>176</v>
      </c>
      <c r="G52" t="s">
        <v>504</v>
      </c>
      <c r="H52" s="20">
        <f t="shared" ref="H52:H85" si="7">O52</f>
        <v>0</v>
      </c>
      <c r="I52" s="20">
        <f t="shared" si="4"/>
        <v>0</v>
      </c>
      <c r="J52" s="20">
        <f t="shared" si="5"/>
        <v>0</v>
      </c>
      <c r="K52" s="20">
        <f t="shared" si="6"/>
        <v>0</v>
      </c>
      <c r="L52" s="20"/>
      <c r="M52" s="20"/>
      <c r="N52" t="s">
        <v>504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</row>
    <row r="53" spans="3:73" x14ac:dyDescent="0.25">
      <c r="G53" t="s">
        <v>506</v>
      </c>
      <c r="H53" s="20">
        <f t="shared" si="7"/>
        <v>0</v>
      </c>
      <c r="I53" s="20">
        <f t="shared" si="4"/>
        <v>0</v>
      </c>
      <c r="J53" s="20">
        <f t="shared" si="5"/>
        <v>0</v>
      </c>
      <c r="K53" s="20">
        <f t="shared" si="6"/>
        <v>0</v>
      </c>
      <c r="L53" s="20"/>
      <c r="M53" s="20"/>
      <c r="N53" t="s">
        <v>506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</row>
    <row r="54" spans="3:73" x14ac:dyDescent="0.25">
      <c r="G54" t="s">
        <v>507</v>
      </c>
      <c r="H54" s="20">
        <f t="shared" si="7"/>
        <v>0</v>
      </c>
      <c r="I54" s="20">
        <f t="shared" si="4"/>
        <v>0</v>
      </c>
      <c r="J54" s="20">
        <f t="shared" si="5"/>
        <v>0</v>
      </c>
      <c r="K54" s="20">
        <f t="shared" si="6"/>
        <v>0</v>
      </c>
      <c r="L54" s="20"/>
      <c r="M54" s="20"/>
      <c r="N54" t="s">
        <v>507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</row>
    <row r="55" spans="3:73" x14ac:dyDescent="0.25">
      <c r="G55" t="s">
        <v>505</v>
      </c>
      <c r="H55" s="20">
        <f t="shared" si="7"/>
        <v>0</v>
      </c>
      <c r="I55" s="20">
        <f t="shared" si="4"/>
        <v>0</v>
      </c>
      <c r="J55" s="20">
        <f t="shared" si="5"/>
        <v>0</v>
      </c>
      <c r="K55" s="20">
        <f t="shared" si="6"/>
        <v>0</v>
      </c>
      <c r="L55" s="20"/>
      <c r="M55" s="20"/>
      <c r="N55" t="s">
        <v>505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</row>
    <row r="56" spans="3:73" x14ac:dyDescent="0.25">
      <c r="G56" t="s">
        <v>508</v>
      </c>
      <c r="H56" s="20">
        <f t="shared" si="7"/>
        <v>0</v>
      </c>
      <c r="I56" s="20">
        <f t="shared" si="4"/>
        <v>0</v>
      </c>
      <c r="J56" s="20">
        <f t="shared" si="5"/>
        <v>0</v>
      </c>
      <c r="K56" s="20">
        <f t="shared" si="6"/>
        <v>0</v>
      </c>
      <c r="L56" s="20"/>
      <c r="M56" s="20"/>
      <c r="N56" t="s">
        <v>508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</row>
    <row r="57" spans="3:73" x14ac:dyDescent="0.25">
      <c r="G57" t="s">
        <v>509</v>
      </c>
      <c r="H57" s="20">
        <f t="shared" si="7"/>
        <v>0</v>
      </c>
      <c r="I57" s="20">
        <f t="shared" si="4"/>
        <v>0</v>
      </c>
      <c r="J57" s="20">
        <f t="shared" si="5"/>
        <v>0</v>
      </c>
      <c r="K57" s="20">
        <f t="shared" si="6"/>
        <v>0</v>
      </c>
      <c r="L57" s="20"/>
      <c r="M57" s="20"/>
      <c r="N57" t="s">
        <v>509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</row>
    <row r="58" spans="3:73" x14ac:dyDescent="0.25">
      <c r="G58" t="s">
        <v>510</v>
      </c>
      <c r="H58" s="20">
        <f t="shared" si="7"/>
        <v>0</v>
      </c>
      <c r="I58" s="20">
        <f t="shared" si="4"/>
        <v>0</v>
      </c>
      <c r="J58" s="20">
        <f t="shared" si="5"/>
        <v>0</v>
      </c>
      <c r="K58" s="20">
        <f t="shared" si="6"/>
        <v>0</v>
      </c>
      <c r="L58" s="20"/>
      <c r="M58" s="20"/>
      <c r="N58" t="s">
        <v>510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</row>
    <row r="59" spans="3:73" x14ac:dyDescent="0.25">
      <c r="G59" t="s">
        <v>511</v>
      </c>
      <c r="H59" s="20">
        <f t="shared" si="7"/>
        <v>0</v>
      </c>
      <c r="I59" s="20">
        <f t="shared" si="4"/>
        <v>0</v>
      </c>
      <c r="J59" s="20">
        <f t="shared" si="5"/>
        <v>0</v>
      </c>
      <c r="K59" s="20">
        <f t="shared" si="6"/>
        <v>0</v>
      </c>
      <c r="L59" s="20"/>
      <c r="M59" s="20"/>
      <c r="N59" t="s">
        <v>511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</row>
    <row r="60" spans="3:73" x14ac:dyDescent="0.25">
      <c r="C60" s="17"/>
      <c r="G60" t="s">
        <v>443</v>
      </c>
      <c r="H60" s="20">
        <f t="shared" si="7"/>
        <v>0</v>
      </c>
      <c r="I60" s="20">
        <f t="shared" si="4"/>
        <v>0</v>
      </c>
      <c r="J60" s="20">
        <f t="shared" si="5"/>
        <v>0</v>
      </c>
      <c r="K60" s="20">
        <f t="shared" si="6"/>
        <v>0</v>
      </c>
      <c r="L60" s="20"/>
      <c r="M60" s="20"/>
      <c r="N60" t="s">
        <v>443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</row>
    <row r="61" spans="3:73" x14ac:dyDescent="0.25">
      <c r="C61" s="17"/>
      <c r="G61" t="s">
        <v>444</v>
      </c>
      <c r="H61" s="20">
        <f t="shared" si="7"/>
        <v>0</v>
      </c>
      <c r="I61" s="20">
        <f t="shared" si="4"/>
        <v>0</v>
      </c>
      <c r="J61" s="20">
        <f t="shared" si="5"/>
        <v>0</v>
      </c>
      <c r="K61" s="20">
        <f t="shared" si="6"/>
        <v>0</v>
      </c>
      <c r="L61" s="20"/>
      <c r="M61" s="20"/>
      <c r="N61" t="s">
        <v>444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</row>
    <row r="62" spans="3:73" x14ac:dyDescent="0.25">
      <c r="C62" s="17"/>
      <c r="G62" t="s">
        <v>512</v>
      </c>
      <c r="H62" s="20">
        <f t="shared" si="7"/>
        <v>0</v>
      </c>
      <c r="I62" s="20">
        <f t="shared" si="4"/>
        <v>0</v>
      </c>
      <c r="J62" s="20">
        <f t="shared" si="5"/>
        <v>0</v>
      </c>
      <c r="K62" s="20">
        <f t="shared" si="6"/>
        <v>0</v>
      </c>
      <c r="L62" s="20"/>
      <c r="M62" s="20"/>
      <c r="N62" t="s">
        <v>512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</row>
    <row r="63" spans="3:73" x14ac:dyDescent="0.25">
      <c r="G63" t="s">
        <v>513</v>
      </c>
      <c r="H63" s="20">
        <f t="shared" si="7"/>
        <v>0</v>
      </c>
      <c r="I63" s="20">
        <f t="shared" si="4"/>
        <v>0</v>
      </c>
      <c r="J63" s="20">
        <f t="shared" si="5"/>
        <v>0</v>
      </c>
      <c r="K63" s="20">
        <f t="shared" si="6"/>
        <v>0</v>
      </c>
      <c r="L63" s="20"/>
      <c r="M63" s="20"/>
      <c r="N63" t="s">
        <v>513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</row>
    <row r="64" spans="3:73" x14ac:dyDescent="0.25">
      <c r="C64" s="17"/>
      <c r="G64" t="s">
        <v>445</v>
      </c>
      <c r="H64" s="20">
        <f t="shared" si="7"/>
        <v>0</v>
      </c>
      <c r="I64" s="20">
        <f t="shared" si="4"/>
        <v>0</v>
      </c>
      <c r="J64" s="20">
        <f t="shared" si="5"/>
        <v>0</v>
      </c>
      <c r="K64" s="20">
        <f t="shared" si="6"/>
        <v>0</v>
      </c>
      <c r="L64" s="20"/>
      <c r="M64" s="20"/>
      <c r="N64" t="s">
        <v>445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</row>
    <row r="65" spans="3:73" x14ac:dyDescent="0.25">
      <c r="G65" t="s">
        <v>446</v>
      </c>
      <c r="H65" s="20">
        <f t="shared" si="7"/>
        <v>0</v>
      </c>
      <c r="I65" s="20">
        <f t="shared" si="4"/>
        <v>0</v>
      </c>
      <c r="J65" s="20">
        <f t="shared" si="5"/>
        <v>0</v>
      </c>
      <c r="K65" s="20">
        <f t="shared" si="6"/>
        <v>0</v>
      </c>
      <c r="L65" s="20"/>
      <c r="M65" s="20"/>
      <c r="N65" t="s">
        <v>446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</row>
    <row r="66" spans="3:73" x14ac:dyDescent="0.25">
      <c r="G66" t="s">
        <v>515</v>
      </c>
      <c r="H66" s="20">
        <f t="shared" si="7"/>
        <v>0</v>
      </c>
      <c r="I66" s="20">
        <f t="shared" si="4"/>
        <v>0</v>
      </c>
      <c r="J66" s="20">
        <f t="shared" si="5"/>
        <v>0</v>
      </c>
      <c r="K66" s="20">
        <f t="shared" si="6"/>
        <v>0</v>
      </c>
      <c r="L66" s="20"/>
      <c r="M66" s="20"/>
      <c r="N66" t="s">
        <v>515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</row>
    <row r="67" spans="3:73" x14ac:dyDescent="0.25">
      <c r="C67" s="17"/>
      <c r="G67" t="s">
        <v>516</v>
      </c>
      <c r="H67" s="20">
        <f t="shared" si="7"/>
        <v>0</v>
      </c>
      <c r="I67" s="20">
        <f t="shared" si="4"/>
        <v>0</v>
      </c>
      <c r="J67" s="20">
        <f t="shared" si="5"/>
        <v>0</v>
      </c>
      <c r="K67" s="20">
        <f t="shared" si="6"/>
        <v>0</v>
      </c>
      <c r="L67" s="20"/>
      <c r="M67" s="20"/>
      <c r="N67" t="s">
        <v>516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</row>
    <row r="68" spans="3:73" x14ac:dyDescent="0.25">
      <c r="C68" s="17"/>
      <c r="G68" t="s">
        <v>447</v>
      </c>
      <c r="H68" s="20">
        <f t="shared" si="7"/>
        <v>0</v>
      </c>
      <c r="I68" s="20">
        <f t="shared" si="4"/>
        <v>0</v>
      </c>
      <c r="J68" s="20">
        <f t="shared" si="5"/>
        <v>0</v>
      </c>
      <c r="K68" s="20">
        <f t="shared" si="6"/>
        <v>0</v>
      </c>
      <c r="L68" s="20"/>
      <c r="M68" s="20"/>
      <c r="N68" t="s">
        <v>447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</row>
    <row r="69" spans="3:73" x14ac:dyDescent="0.25">
      <c r="G69" t="s">
        <v>448</v>
      </c>
      <c r="H69" s="20">
        <f t="shared" si="7"/>
        <v>0</v>
      </c>
      <c r="I69" s="20">
        <f t="shared" si="4"/>
        <v>0</v>
      </c>
      <c r="J69" s="20">
        <f t="shared" si="5"/>
        <v>0</v>
      </c>
      <c r="K69" s="20">
        <f t="shared" si="6"/>
        <v>0</v>
      </c>
      <c r="L69" s="20"/>
      <c r="M69" s="20"/>
      <c r="N69" t="s">
        <v>448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</row>
    <row r="70" spans="3:73" x14ac:dyDescent="0.25">
      <c r="G70" t="s">
        <v>449</v>
      </c>
      <c r="H70" s="20">
        <f t="shared" si="7"/>
        <v>0</v>
      </c>
      <c r="I70" s="20">
        <f t="shared" si="4"/>
        <v>0</v>
      </c>
      <c r="J70" s="20">
        <f t="shared" si="5"/>
        <v>0</v>
      </c>
      <c r="K70" s="20">
        <f t="shared" si="6"/>
        <v>0</v>
      </c>
      <c r="L70" s="20"/>
      <c r="M70" s="20"/>
      <c r="N70" t="s">
        <v>449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</row>
    <row r="71" spans="3:73" x14ac:dyDescent="0.25">
      <c r="G71" t="s">
        <v>450</v>
      </c>
      <c r="H71" s="20">
        <f t="shared" si="7"/>
        <v>0</v>
      </c>
      <c r="I71" s="20">
        <f t="shared" si="4"/>
        <v>0</v>
      </c>
      <c r="J71" s="20">
        <f t="shared" si="5"/>
        <v>0</v>
      </c>
      <c r="K71" s="20">
        <f t="shared" si="6"/>
        <v>0</v>
      </c>
      <c r="L71" s="20"/>
      <c r="M71" s="20"/>
      <c r="N71" t="s">
        <v>450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</row>
    <row r="72" spans="3:73" x14ac:dyDescent="0.25">
      <c r="G72" t="s">
        <v>451</v>
      </c>
      <c r="H72" s="20">
        <f t="shared" si="7"/>
        <v>0</v>
      </c>
      <c r="I72" s="20">
        <f t="shared" si="4"/>
        <v>0</v>
      </c>
      <c r="J72" s="20">
        <f t="shared" si="5"/>
        <v>0</v>
      </c>
      <c r="K72" s="20">
        <f t="shared" si="6"/>
        <v>0</v>
      </c>
      <c r="L72" s="20"/>
      <c r="M72" s="20"/>
      <c r="N72" t="s">
        <v>451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</row>
    <row r="73" spans="3:73" x14ac:dyDescent="0.25">
      <c r="G73" t="s">
        <v>452</v>
      </c>
      <c r="H73" s="20">
        <f t="shared" si="7"/>
        <v>0</v>
      </c>
      <c r="I73" s="20">
        <f t="shared" si="4"/>
        <v>0</v>
      </c>
      <c r="J73" s="20">
        <f t="shared" si="5"/>
        <v>0</v>
      </c>
      <c r="K73" s="20">
        <f t="shared" si="6"/>
        <v>0</v>
      </c>
      <c r="L73" s="20"/>
      <c r="M73" s="20"/>
      <c r="N73" t="s">
        <v>452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</row>
    <row r="74" spans="3:73" x14ac:dyDescent="0.25">
      <c r="G74" t="s">
        <v>453</v>
      </c>
      <c r="H74" s="20">
        <f t="shared" si="7"/>
        <v>0</v>
      </c>
      <c r="I74" s="20">
        <f t="shared" si="4"/>
        <v>0</v>
      </c>
      <c r="J74" s="20">
        <f t="shared" si="5"/>
        <v>0</v>
      </c>
      <c r="K74" s="20">
        <f t="shared" si="6"/>
        <v>0</v>
      </c>
      <c r="L74" s="20"/>
      <c r="M74" s="20"/>
      <c r="N74" t="s">
        <v>453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</row>
    <row r="75" spans="3:73" x14ac:dyDescent="0.25">
      <c r="G75" t="s">
        <v>454</v>
      </c>
      <c r="H75" s="20">
        <f t="shared" si="7"/>
        <v>0</v>
      </c>
      <c r="I75" s="20">
        <f t="shared" si="4"/>
        <v>0</v>
      </c>
      <c r="J75" s="20">
        <f t="shared" si="5"/>
        <v>0</v>
      </c>
      <c r="K75" s="20">
        <f t="shared" si="6"/>
        <v>0</v>
      </c>
      <c r="L75" s="20"/>
      <c r="M75" s="20"/>
      <c r="N75" t="s">
        <v>454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</row>
    <row r="76" spans="3:73" x14ac:dyDescent="0.25">
      <c r="G76" t="s">
        <v>296</v>
      </c>
      <c r="H76" s="20">
        <f t="shared" si="7"/>
        <v>0</v>
      </c>
      <c r="I76" s="20">
        <f t="shared" si="4"/>
        <v>0</v>
      </c>
      <c r="J76" s="20">
        <f t="shared" si="5"/>
        <v>0</v>
      </c>
      <c r="K76" s="20">
        <f t="shared" si="6"/>
        <v>0</v>
      </c>
      <c r="L76" s="20"/>
      <c r="M76" s="20"/>
      <c r="N76" t="s">
        <v>296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</row>
    <row r="77" spans="3:73" x14ac:dyDescent="0.25">
      <c r="G77" t="s">
        <v>455</v>
      </c>
      <c r="H77" s="20">
        <f t="shared" si="7"/>
        <v>0</v>
      </c>
      <c r="I77" s="20">
        <f t="shared" si="4"/>
        <v>0</v>
      </c>
      <c r="J77" s="20">
        <f t="shared" si="5"/>
        <v>0</v>
      </c>
      <c r="K77" s="20">
        <f t="shared" si="6"/>
        <v>0</v>
      </c>
      <c r="L77" s="20"/>
      <c r="M77" s="20"/>
      <c r="N77" t="s">
        <v>455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</row>
    <row r="78" spans="3:73" x14ac:dyDescent="0.25">
      <c r="G78" t="s">
        <v>588</v>
      </c>
      <c r="H78" s="20">
        <f t="shared" si="7"/>
        <v>0</v>
      </c>
      <c r="I78" s="20">
        <f t="shared" si="4"/>
        <v>0</v>
      </c>
      <c r="J78" s="20">
        <f t="shared" si="5"/>
        <v>0</v>
      </c>
      <c r="K78" s="20">
        <f t="shared" si="6"/>
        <v>0</v>
      </c>
      <c r="L78" s="20"/>
      <c r="M78" s="20"/>
      <c r="N78" t="s">
        <v>588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</row>
    <row r="79" spans="3:73" x14ac:dyDescent="0.25">
      <c r="G79" t="s">
        <v>514</v>
      </c>
      <c r="H79" s="20">
        <f t="shared" si="7"/>
        <v>0</v>
      </c>
      <c r="I79" s="20">
        <f t="shared" si="4"/>
        <v>0</v>
      </c>
      <c r="J79" s="20">
        <f t="shared" si="5"/>
        <v>0</v>
      </c>
      <c r="K79" s="20">
        <f t="shared" si="6"/>
        <v>0</v>
      </c>
      <c r="L79" s="20"/>
      <c r="M79" s="20"/>
      <c r="N79" t="s">
        <v>514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</row>
    <row r="80" spans="3:73" x14ac:dyDescent="0.25">
      <c r="G80" t="s">
        <v>590</v>
      </c>
      <c r="H80" s="20">
        <f t="shared" si="7"/>
        <v>0</v>
      </c>
      <c r="I80" s="20">
        <f t="shared" si="4"/>
        <v>0</v>
      </c>
      <c r="J80" s="20">
        <f t="shared" si="5"/>
        <v>0</v>
      </c>
      <c r="K80" s="20">
        <f t="shared" si="6"/>
        <v>0</v>
      </c>
      <c r="L80" s="20"/>
      <c r="M80" s="20"/>
      <c r="N80" t="s">
        <v>590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</row>
    <row r="81" spans="7:73" x14ac:dyDescent="0.25">
      <c r="G81" t="s">
        <v>589</v>
      </c>
      <c r="H81" s="20">
        <f t="shared" si="7"/>
        <v>0</v>
      </c>
      <c r="I81" s="20">
        <f t="shared" si="4"/>
        <v>0</v>
      </c>
      <c r="J81" s="20">
        <f t="shared" si="5"/>
        <v>0</v>
      </c>
      <c r="K81" s="20">
        <f t="shared" si="6"/>
        <v>0</v>
      </c>
      <c r="L81" s="20"/>
      <c r="M81" s="20"/>
      <c r="N81" t="s">
        <v>589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</row>
    <row r="82" spans="7:73" x14ac:dyDescent="0.25">
      <c r="G82" t="s">
        <v>456</v>
      </c>
      <c r="H82" s="20">
        <f t="shared" si="7"/>
        <v>0</v>
      </c>
      <c r="I82" s="20">
        <f t="shared" si="4"/>
        <v>0</v>
      </c>
      <c r="J82" s="20">
        <f t="shared" si="5"/>
        <v>0</v>
      </c>
      <c r="K82" s="20">
        <f t="shared" si="6"/>
        <v>0</v>
      </c>
      <c r="L82" s="20"/>
      <c r="M82" s="20"/>
      <c r="N82" t="s">
        <v>456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</row>
    <row r="83" spans="7:73" x14ac:dyDescent="0.25">
      <c r="G83" t="s">
        <v>457</v>
      </c>
      <c r="H83" s="20">
        <f t="shared" si="7"/>
        <v>0</v>
      </c>
      <c r="I83" s="20">
        <f t="shared" si="4"/>
        <v>0</v>
      </c>
      <c r="J83" s="20">
        <f t="shared" si="5"/>
        <v>0</v>
      </c>
      <c r="K83" s="20">
        <f t="shared" si="6"/>
        <v>0</v>
      </c>
      <c r="L83" s="20"/>
      <c r="M83" s="20"/>
      <c r="N83" t="s">
        <v>457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</row>
    <row r="84" spans="7:73" x14ac:dyDescent="0.25">
      <c r="G84" t="s">
        <v>458</v>
      </c>
      <c r="H84" s="20">
        <f t="shared" si="7"/>
        <v>0</v>
      </c>
      <c r="I84" s="20">
        <f t="shared" si="4"/>
        <v>0</v>
      </c>
      <c r="J84" s="20">
        <f t="shared" si="5"/>
        <v>0</v>
      </c>
      <c r="K84" s="20">
        <f t="shared" si="6"/>
        <v>0</v>
      </c>
      <c r="L84" s="20"/>
      <c r="M84" s="20"/>
      <c r="N84" t="s">
        <v>458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</row>
    <row r="85" spans="7:73" x14ac:dyDescent="0.25">
      <c r="G85" t="s">
        <v>459</v>
      </c>
      <c r="H85" s="20">
        <f t="shared" si="7"/>
        <v>0</v>
      </c>
      <c r="I85" s="20">
        <f t="shared" si="4"/>
        <v>0</v>
      </c>
      <c r="J85" s="20">
        <f t="shared" si="5"/>
        <v>0</v>
      </c>
      <c r="K85" s="20">
        <f t="shared" si="6"/>
        <v>0</v>
      </c>
      <c r="L85" s="20"/>
      <c r="M85" s="20"/>
      <c r="N85" t="s">
        <v>459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499984740745262"/>
  </sheetPr>
  <dimension ref="A1:Q21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N2" sqref="N2:Q5"/>
    </sheetView>
  </sheetViews>
  <sheetFormatPr defaultRowHeight="15" x14ac:dyDescent="0.25"/>
  <sheetData>
    <row r="1" spans="1:17" ht="18.75" x14ac:dyDescent="0.3">
      <c r="A1" s="5" t="s">
        <v>463</v>
      </c>
    </row>
    <row r="2" spans="1:17" x14ac:dyDescent="0.25">
      <c r="A2" s="3" t="s">
        <v>364</v>
      </c>
      <c r="B2" s="4" t="s">
        <v>464</v>
      </c>
      <c r="L2" s="11"/>
      <c r="N2" s="156" t="s">
        <v>736</v>
      </c>
      <c r="O2" s="157"/>
      <c r="P2" s="157"/>
      <c r="Q2" s="157"/>
    </row>
    <row r="3" spans="1:17" x14ac:dyDescent="0.25">
      <c r="B3" s="11"/>
      <c r="K3" s="11"/>
      <c r="N3" s="157"/>
      <c r="O3" s="157" t="s">
        <v>467</v>
      </c>
      <c r="P3" s="157" t="s">
        <v>468</v>
      </c>
      <c r="Q3" s="157" t="s">
        <v>737</v>
      </c>
    </row>
    <row r="4" spans="1:17" x14ac:dyDescent="0.25">
      <c r="A4" t="s">
        <v>602</v>
      </c>
      <c r="B4" s="11">
        <f>SUM(B7:B21)</f>
        <v>12794.399999999998</v>
      </c>
      <c r="F4" s="1" t="s">
        <v>521</v>
      </c>
      <c r="H4" s="23">
        <v>12794.4</v>
      </c>
      <c r="I4" s="22" t="s">
        <v>540</v>
      </c>
      <c r="K4" s="19" t="s">
        <v>540</v>
      </c>
      <c r="N4" s="157" t="s">
        <v>738</v>
      </c>
      <c r="O4" s="158">
        <f>SUM(K7:K21)/1000</f>
        <v>11.717018469999999</v>
      </c>
      <c r="P4" s="158">
        <f>SUM(K17:K21)/1000</f>
        <v>1.5451736700000001</v>
      </c>
      <c r="Q4" s="158">
        <f>O4-P4</f>
        <v>10.171844799999999</v>
      </c>
    </row>
    <row r="5" spans="1:17" x14ac:dyDescent="0.25">
      <c r="J5" s="1" t="s">
        <v>520</v>
      </c>
      <c r="N5" s="157" t="s">
        <v>1</v>
      </c>
      <c r="O5" s="159">
        <f>B4/1000</f>
        <v>12.794399999999998</v>
      </c>
      <c r="P5" s="158">
        <f>P4/O4*O5</f>
        <v>1.6872526107273429</v>
      </c>
      <c r="Q5" s="158">
        <f>O5-P5</f>
        <v>11.107147389272654</v>
      </c>
    </row>
    <row r="6" spans="1:17" x14ac:dyDescent="0.25">
      <c r="B6" t="s">
        <v>473</v>
      </c>
      <c r="F6" s="1" t="s">
        <v>465</v>
      </c>
      <c r="G6" t="s">
        <v>473</v>
      </c>
      <c r="H6" t="s">
        <v>474</v>
      </c>
      <c r="K6" t="s">
        <v>473</v>
      </c>
    </row>
    <row r="7" spans="1:17" x14ac:dyDescent="0.25">
      <c r="A7" s="29" t="s">
        <v>217</v>
      </c>
      <c r="B7" s="11">
        <f t="shared" ref="B7:B11" si="0">K7/SUM(K$7:K$60)*$H$4</f>
        <v>2353.2240820304864</v>
      </c>
      <c r="F7" t="s">
        <v>467</v>
      </c>
      <c r="G7" s="11">
        <f>G8+G10+G9</f>
        <v>12794.4</v>
      </c>
      <c r="H7" s="6">
        <f>G7/G$7*100</f>
        <v>100</v>
      </c>
      <c r="J7" s="29" t="s">
        <v>217</v>
      </c>
      <c r="K7" s="20">
        <v>2155.0655000000002</v>
      </c>
    </row>
    <row r="8" spans="1:17" x14ac:dyDescent="0.25">
      <c r="A8" s="29" t="s">
        <v>218</v>
      </c>
      <c r="B8" s="11">
        <f t="shared" si="0"/>
        <v>2278.0302112470767</v>
      </c>
      <c r="F8" s="12" t="s">
        <v>600</v>
      </c>
      <c r="G8" s="11">
        <f>SUM(B7:B11)</f>
        <v>10057.304262817297</v>
      </c>
      <c r="H8" s="6">
        <f t="shared" ref="H8:H15" si="1">G8/G$7*100</f>
        <v>78.607080150826121</v>
      </c>
      <c r="J8" s="29" t="s">
        <v>218</v>
      </c>
      <c r="K8" s="20">
        <v>2086.2035000000001</v>
      </c>
    </row>
    <row r="9" spans="1:17" x14ac:dyDescent="0.25">
      <c r="A9" s="29" t="s">
        <v>219</v>
      </c>
      <c r="B9" s="11">
        <f t="shared" si="0"/>
        <v>2226.2901192064096</v>
      </c>
      <c r="F9" s="12" t="s">
        <v>601</v>
      </c>
      <c r="G9" s="11">
        <f>SUM(B12:B16)</f>
        <v>1049.8431264553601</v>
      </c>
      <c r="H9" s="6">
        <f t="shared" si="1"/>
        <v>8.2054893270130691</v>
      </c>
      <c r="J9" s="29" t="s">
        <v>219</v>
      </c>
      <c r="K9" s="20">
        <v>2038.8203000000001</v>
      </c>
    </row>
    <row r="10" spans="1:17" x14ac:dyDescent="0.25">
      <c r="A10" s="29" t="s">
        <v>220</v>
      </c>
      <c r="B10" s="11">
        <f t="shared" si="0"/>
        <v>2087.295676242115</v>
      </c>
      <c r="F10" s="13" t="s">
        <v>468</v>
      </c>
      <c r="G10" s="14">
        <f>SUM(B17:B21)</f>
        <v>1687.2526107273434</v>
      </c>
      <c r="H10" s="15">
        <f t="shared" si="1"/>
        <v>13.187430522160815</v>
      </c>
      <c r="J10" s="29" t="s">
        <v>220</v>
      </c>
      <c r="K10" s="20">
        <v>1911.5301999999999</v>
      </c>
    </row>
    <row r="11" spans="1:17" x14ac:dyDescent="0.25">
      <c r="A11" s="29" t="s">
        <v>221</v>
      </c>
      <c r="B11" s="11">
        <f t="shared" si="0"/>
        <v>1112.4641740912098</v>
      </c>
      <c r="F11" s="12" t="s">
        <v>466</v>
      </c>
      <c r="G11" s="11">
        <f>B7+B12+B17</f>
        <v>2559.0470421651567</v>
      </c>
      <c r="H11" s="6">
        <f t="shared" si="1"/>
        <v>20.001305588110085</v>
      </c>
      <c r="J11" s="29" t="s">
        <v>221</v>
      </c>
      <c r="K11" s="20">
        <v>1018.7866</v>
      </c>
    </row>
    <row r="12" spans="1:17" x14ac:dyDescent="0.25">
      <c r="A12" s="29" t="s">
        <v>595</v>
      </c>
      <c r="B12" s="11">
        <f t="shared" ref="B12:B21" si="2">K12/SUM(K$7:K$60)*$H$4</f>
        <v>140.6635979536866</v>
      </c>
      <c r="F12" s="12" t="s">
        <v>469</v>
      </c>
      <c r="G12" s="11">
        <f>B8+B13+B18</f>
        <v>2559.9437843815226</v>
      </c>
      <c r="H12" s="6">
        <f t="shared" si="1"/>
        <v>20.008314453053856</v>
      </c>
      <c r="J12" s="29" t="s">
        <v>595</v>
      </c>
      <c r="K12" s="20">
        <v>128.81870000000001</v>
      </c>
    </row>
    <row r="13" spans="1:17" x14ac:dyDescent="0.25">
      <c r="A13" s="29" t="s">
        <v>596</v>
      </c>
      <c r="B13" s="11">
        <f t="shared" si="2"/>
        <v>155.36594227114844</v>
      </c>
      <c r="F13" s="12" t="s">
        <v>470</v>
      </c>
      <c r="G13" s="11">
        <f>B9+B14+B19</f>
        <v>2558.1145495010901</v>
      </c>
      <c r="H13" s="6">
        <f t="shared" si="1"/>
        <v>19.994017300546254</v>
      </c>
      <c r="J13" s="29" t="s">
        <v>596</v>
      </c>
      <c r="K13" s="20">
        <v>142.28299999999999</v>
      </c>
    </row>
    <row r="14" spans="1:17" x14ac:dyDescent="0.25">
      <c r="A14" s="29" t="s">
        <v>597</v>
      </c>
      <c r="B14" s="11">
        <f t="shared" si="2"/>
        <v>173.65446924997465</v>
      </c>
      <c r="F14" s="12" t="s">
        <v>471</v>
      </c>
      <c r="G14" s="11">
        <f>B10+B15+B20</f>
        <v>2558.5931512489969</v>
      </c>
      <c r="H14" s="6">
        <f t="shared" si="1"/>
        <v>19.997758013263592</v>
      </c>
      <c r="J14" s="29" t="s">
        <v>597</v>
      </c>
      <c r="K14" s="20">
        <v>159.03149999999999</v>
      </c>
    </row>
    <row r="15" spans="1:17" x14ac:dyDescent="0.25">
      <c r="A15" s="29" t="s">
        <v>598</v>
      </c>
      <c r="B15" s="11">
        <f t="shared" si="2"/>
        <v>182.07504278176665</v>
      </c>
      <c r="F15" s="12" t="s">
        <v>472</v>
      </c>
      <c r="G15" s="11">
        <f>B11+B16+B21</f>
        <v>2558.7014727032347</v>
      </c>
      <c r="H15" s="6">
        <f t="shared" si="1"/>
        <v>19.998604645026223</v>
      </c>
      <c r="J15" s="29" t="s">
        <v>598</v>
      </c>
      <c r="K15" s="20">
        <v>166.74299999999999</v>
      </c>
    </row>
    <row r="16" spans="1:17" x14ac:dyDescent="0.25">
      <c r="A16" s="29" t="s">
        <v>599</v>
      </c>
      <c r="B16" s="11">
        <f t="shared" si="2"/>
        <v>398.08407419878381</v>
      </c>
      <c r="F16" s="12"/>
      <c r="G16" s="11"/>
      <c r="H16" s="6"/>
      <c r="J16" s="29" t="s">
        <v>599</v>
      </c>
      <c r="K16" s="20">
        <v>364.5625</v>
      </c>
    </row>
    <row r="17" spans="1:11" x14ac:dyDescent="0.25">
      <c r="A17" s="29" t="s">
        <v>222</v>
      </c>
      <c r="B17" s="11">
        <f t="shared" si="2"/>
        <v>65.159362180983237</v>
      </c>
      <c r="J17" s="29" t="s">
        <v>222</v>
      </c>
      <c r="K17" s="20">
        <v>59.672469999999997</v>
      </c>
    </row>
    <row r="18" spans="1:11" x14ac:dyDescent="0.25">
      <c r="A18" s="29" t="s">
        <v>223</v>
      </c>
      <c r="B18" s="11">
        <f t="shared" si="2"/>
        <v>126.54763086329761</v>
      </c>
      <c r="J18" s="29" t="s">
        <v>223</v>
      </c>
      <c r="K18" s="20">
        <v>115.8914</v>
      </c>
    </row>
    <row r="19" spans="1:11" x14ac:dyDescent="0.25">
      <c r="A19" s="29" t="s">
        <v>224</v>
      </c>
      <c r="B19" s="11">
        <f t="shared" si="2"/>
        <v>158.16996104470596</v>
      </c>
      <c r="J19" s="29" t="s">
        <v>224</v>
      </c>
      <c r="K19" s="20">
        <v>144.8509</v>
      </c>
    </row>
    <row r="20" spans="1:11" x14ac:dyDescent="0.25">
      <c r="A20" s="29" t="s">
        <v>225</v>
      </c>
      <c r="B20" s="11">
        <f t="shared" si="2"/>
        <v>289.22243222511537</v>
      </c>
      <c r="J20" s="29" t="s">
        <v>225</v>
      </c>
      <c r="K20" s="20">
        <v>264.86779999999999</v>
      </c>
    </row>
    <row r="21" spans="1:11" x14ac:dyDescent="0.25">
      <c r="A21" s="29" t="s">
        <v>226</v>
      </c>
      <c r="B21" s="11">
        <f t="shared" si="2"/>
        <v>1048.1532244132411</v>
      </c>
      <c r="J21" s="29" t="s">
        <v>226</v>
      </c>
      <c r="K21" s="20">
        <v>959.89110000000005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Adjust</vt:lpstr>
      <vt:lpstr>SAM</vt:lpstr>
      <vt:lpstr>LES</vt:lpstr>
      <vt:lpstr>Elasticities</vt:lpstr>
      <vt:lpstr>Production</vt:lpstr>
      <vt:lpstr>Employment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2024-10-24T17:25:54Z</dcterms:modified>
</cp:coreProperties>
</file>