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48C17B33-541A-465D-B0B5-C07C4383E8F1}" xr6:coauthVersionLast="47" xr6:coauthVersionMax="47" xr10:uidLastSave="{00000000-0000-0000-0000-000000000000}"/>
  <bookViews>
    <workbookView xWindow="-110" yWindow="-110" windowWidth="19420" windowHeight="11620" firstSheet="1" activeTab="3" xr2:uid="{00000000-000D-0000-FFFF-FFFF00000000}"/>
  </bookViews>
  <sheets>
    <sheet name="Notes" sheetId="1" r:id="rId1"/>
    <sheet name="Index" sheetId="2" r:id="rId2"/>
    <sheet name="Sets" sheetId="3" r:id="rId3"/>
    <sheet name="Adjust" sheetId="10" r:id="rId4"/>
    <sheet name="SAM" sheetId="4" r:id="rId5"/>
    <sheet name="LES" sheetId="15" r:id="rId6"/>
    <sheet name="Elasticities" sheetId="7" r:id="rId7"/>
    <sheet name="Production" sheetId="5" r:id="rId8"/>
    <sheet name="Employment" sheetId="9" r:id="rId9"/>
    <sheet name="Population" sheetId="8" r:id="rId10"/>
  </sheets>
  <definedNames>
    <definedName name="_xlnm._FilterDatabase" localSheetId="3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8" i="15" l="1"/>
  <c r="S4" i="8"/>
  <c r="R4" i="8"/>
  <c r="Q4" i="8"/>
  <c r="Q5" i="8"/>
  <c r="K4" i="8"/>
  <c r="BT94" i="15"/>
  <c r="BT93" i="15"/>
  <c r="BT92" i="15"/>
  <c r="BT91" i="15"/>
  <c r="BT90" i="15"/>
  <c r="BT89" i="15"/>
  <c r="BT88" i="15"/>
  <c r="BT87" i="15"/>
  <c r="BT86" i="15"/>
  <c r="BT85" i="15"/>
  <c r="BT84" i="15"/>
  <c r="BT83" i="15"/>
  <c r="BT82" i="15"/>
  <c r="BT81" i="15"/>
  <c r="BT80" i="15"/>
  <c r="BT79" i="15"/>
  <c r="BT78" i="15"/>
  <c r="BT77" i="15"/>
  <c r="BT76" i="15"/>
  <c r="BT75" i="15"/>
  <c r="BT74" i="15"/>
  <c r="BT73" i="15"/>
  <c r="BT72" i="15"/>
  <c r="BT71" i="15"/>
  <c r="BT70" i="15"/>
  <c r="BT69" i="15"/>
  <c r="BT68" i="15"/>
  <c r="BT67" i="15"/>
  <c r="BT66" i="15"/>
  <c r="BT65" i="15"/>
  <c r="BT64" i="15"/>
  <c r="BT63" i="15"/>
  <c r="BT62" i="15"/>
  <c r="BT61" i="15"/>
  <c r="BT60" i="15"/>
  <c r="BT59" i="15"/>
  <c r="BT58" i="15"/>
  <c r="BT57" i="15"/>
  <c r="BT56" i="15"/>
  <c r="BT55" i="15"/>
  <c r="BT54" i="15"/>
  <c r="BT53" i="15"/>
  <c r="BT52" i="15"/>
  <c r="BT51" i="15"/>
  <c r="BT50" i="15"/>
  <c r="BT49" i="15"/>
  <c r="S5" i="8" l="1"/>
  <c r="R5" i="8"/>
  <c r="J5" i="4" l="1"/>
  <c r="C5" i="4" l="1"/>
  <c r="D5" i="4"/>
  <c r="E5" i="4"/>
  <c r="F5" i="4"/>
  <c r="G5" i="4"/>
  <c r="H5" i="4"/>
  <c r="I5" i="4"/>
  <c r="B5" i="4"/>
  <c r="AM49" i="15"/>
  <c r="H4" i="8"/>
  <c r="T73" i="15"/>
  <c r="AL73" i="15" s="1"/>
  <c r="AQ73" i="15" s="1"/>
  <c r="Y10" i="15"/>
  <c r="C17" i="5"/>
  <c r="B17" i="5"/>
  <c r="C16" i="5"/>
  <c r="B16" i="5"/>
  <c r="C15" i="5"/>
  <c r="B15" i="5"/>
  <c r="C14" i="5"/>
  <c r="C13" i="5"/>
  <c r="C12" i="5"/>
  <c r="C11" i="5"/>
  <c r="C10" i="5"/>
  <c r="K14" i="7"/>
  <c r="B14" i="7"/>
  <c r="C14" i="7" s="1"/>
  <c r="R19" i="7"/>
  <c r="R20" i="7" s="1"/>
  <c r="S20" i="7" s="1"/>
  <c r="R18" i="7"/>
  <c r="S18" i="7" s="1"/>
  <c r="R17" i="7"/>
  <c r="S17" i="7" s="1"/>
  <c r="R9" i="7"/>
  <c r="S9" i="7" s="1"/>
  <c r="R8" i="7"/>
  <c r="S8" i="7" s="1"/>
  <c r="B53" i="7"/>
  <c r="C53" i="7" s="1"/>
  <c r="B52" i="7"/>
  <c r="C52" i="7" s="1"/>
  <c r="C51" i="7"/>
  <c r="B51" i="7"/>
  <c r="B50" i="7"/>
  <c r="C50" i="7" s="1"/>
  <c r="B49" i="7"/>
  <c r="C49" i="7" s="1"/>
  <c r="B48" i="7"/>
  <c r="C48" i="7" s="1"/>
  <c r="C47" i="7"/>
  <c r="B47" i="7"/>
  <c r="B46" i="7"/>
  <c r="C46" i="7" s="1"/>
  <c r="F45" i="7"/>
  <c r="F46" i="7" s="1"/>
  <c r="B45" i="7"/>
  <c r="C45" i="7" s="1"/>
  <c r="F44" i="7"/>
  <c r="G44" i="7" s="1"/>
  <c r="B44" i="7"/>
  <c r="C44" i="7" s="1"/>
  <c r="B43" i="7"/>
  <c r="C43" i="7" s="1"/>
  <c r="B42" i="7"/>
  <c r="C42" i="7" s="1"/>
  <c r="G41" i="7"/>
  <c r="F41" i="7"/>
  <c r="F42" i="7" s="1"/>
  <c r="B41" i="7"/>
  <c r="C41" i="7" s="1"/>
  <c r="B40" i="7"/>
  <c r="C40" i="7" s="1"/>
  <c r="B39" i="7"/>
  <c r="C39" i="7" s="1"/>
  <c r="C38" i="7"/>
  <c r="C37" i="7"/>
  <c r="C36" i="7"/>
  <c r="C35" i="7"/>
  <c r="F34" i="7"/>
  <c r="F35" i="7" s="1"/>
  <c r="C34" i="7"/>
  <c r="F33" i="7"/>
  <c r="G33" i="7" s="1"/>
  <c r="C33" i="7"/>
  <c r="G32" i="7"/>
  <c r="F32" i="7"/>
  <c r="C32" i="7"/>
  <c r="F31" i="7"/>
  <c r="G31" i="7" s="1"/>
  <c r="C31" i="7"/>
  <c r="F30" i="7"/>
  <c r="G30" i="7" s="1"/>
  <c r="C30" i="7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F23" i="7"/>
  <c r="F24" i="7" s="1"/>
  <c r="B23" i="7"/>
  <c r="C23" i="7" s="1"/>
  <c r="F22" i="7"/>
  <c r="G22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156" i="15" l="1"/>
  <c r="D15" i="5"/>
  <c r="AT73" i="15"/>
  <c r="AU73" i="15"/>
  <c r="AN73" i="15"/>
  <c r="AV73" i="15"/>
  <c r="AY73" i="15"/>
  <c r="AR73" i="15"/>
  <c r="AZ73" i="15"/>
  <c r="AS73" i="15"/>
  <c r="BA73" i="15"/>
  <c r="AM73" i="15"/>
  <c r="AO73" i="15"/>
  <c r="AW73" i="15"/>
  <c r="AP73" i="15"/>
  <c r="AX73" i="15"/>
  <c r="BC73" i="15"/>
  <c r="S156" i="15" s="1"/>
  <c r="G45" i="7"/>
  <c r="G34" i="7"/>
  <c r="R10" i="7"/>
  <c r="S19" i="7"/>
  <c r="F47" i="7"/>
  <c r="G46" i="7"/>
  <c r="F36" i="7"/>
  <c r="G35" i="7"/>
  <c r="G24" i="7"/>
  <c r="F25" i="7"/>
  <c r="F43" i="7"/>
  <c r="G43" i="7" s="1"/>
  <c r="G42" i="7"/>
  <c r="G23" i="7"/>
  <c r="BQ73" i="15" l="1"/>
  <c r="BI73" i="15"/>
  <c r="BP73" i="15"/>
  <c r="BH73" i="15"/>
  <c r="BO73" i="15"/>
  <c r="BG73" i="15"/>
  <c r="BE73" i="15"/>
  <c r="BK73" i="15"/>
  <c r="BR73" i="15"/>
  <c r="BJ73" i="15"/>
  <c r="BN73" i="15"/>
  <c r="BF73" i="15"/>
  <c r="BM73" i="15"/>
  <c r="BL73" i="15"/>
  <c r="BD73" i="15"/>
  <c r="R11" i="7"/>
  <c r="S10" i="7"/>
  <c r="F26" i="7"/>
  <c r="G25" i="7"/>
  <c r="F37" i="7"/>
  <c r="G36" i="7"/>
  <c r="F48" i="7"/>
  <c r="G47" i="7"/>
  <c r="BU73" i="15" l="1"/>
  <c r="AI73" i="15"/>
  <c r="AB73" i="15"/>
  <c r="AA156" i="15"/>
  <c r="AH73" i="15"/>
  <c r="V73" i="15"/>
  <c r="AC73" i="15"/>
  <c r="AB156" i="15"/>
  <c r="X73" i="15"/>
  <c r="AA73" i="15"/>
  <c r="Z156" i="15"/>
  <c r="AD73" i="15"/>
  <c r="AC156" i="15"/>
  <c r="AF73" i="15"/>
  <c r="U73" i="15"/>
  <c r="W73" i="15"/>
  <c r="Y73" i="15"/>
  <c r="Z73" i="15"/>
  <c r="Y156" i="15"/>
  <c r="AE73" i="15"/>
  <c r="AG73" i="15"/>
  <c r="R12" i="7"/>
  <c r="S11" i="7"/>
  <c r="F49" i="7"/>
  <c r="G48" i="7"/>
  <c r="F38" i="7"/>
  <c r="G37" i="7"/>
  <c r="G26" i="7"/>
  <c r="F27" i="7"/>
  <c r="AJ73" i="15" l="1"/>
  <c r="S12" i="7"/>
  <c r="R13" i="7"/>
  <c r="F28" i="7"/>
  <c r="G27" i="7"/>
  <c r="F39" i="7"/>
  <c r="G38" i="7"/>
  <c r="F50" i="7"/>
  <c r="G49" i="7"/>
  <c r="S13" i="7" l="1"/>
  <c r="R14" i="7"/>
  <c r="F51" i="7"/>
  <c r="G50" i="7"/>
  <c r="F40" i="7"/>
  <c r="G40" i="7" s="1"/>
  <c r="G39" i="7"/>
  <c r="G28" i="7"/>
  <c r="F29" i="7"/>
  <c r="G29" i="7" s="1"/>
  <c r="R15" i="7" l="1"/>
  <c r="S14" i="7"/>
  <c r="F52" i="7"/>
  <c r="G51" i="7"/>
  <c r="R16" i="7" l="1"/>
  <c r="S16" i="7" s="1"/>
  <c r="S15" i="7"/>
  <c r="F53" i="7"/>
  <c r="G53" i="7" s="1"/>
  <c r="G52" i="7"/>
  <c r="A49" i="15" l="1"/>
  <c r="C18" i="5"/>
  <c r="B18" i="5"/>
  <c r="D16" i="5"/>
  <c r="B14" i="5"/>
  <c r="D14" i="5" s="1"/>
  <c r="B13" i="5"/>
  <c r="D13" i="5" s="1"/>
  <c r="B12" i="5"/>
  <c r="D12" i="5" s="1"/>
  <c r="B11" i="5"/>
  <c r="D11" i="5" s="1"/>
  <c r="B10" i="5"/>
  <c r="D10" i="5" s="1"/>
  <c r="C9" i="5"/>
  <c r="B9" i="5"/>
  <c r="D17" i="5"/>
  <c r="D9" i="5"/>
  <c r="T95" i="15"/>
  <c r="T94" i="15"/>
  <c r="AL94" i="15" s="1"/>
  <c r="B177" i="15" s="1"/>
  <c r="T93" i="15"/>
  <c r="T92" i="15"/>
  <c r="AL92" i="15" s="1"/>
  <c r="B175" i="15" s="1"/>
  <c r="T91" i="15"/>
  <c r="AL91" i="15" s="1"/>
  <c r="AW91" i="15" s="1"/>
  <c r="T90" i="15"/>
  <c r="AL90" i="15" s="1"/>
  <c r="AX90" i="15" s="1"/>
  <c r="T89" i="15"/>
  <c r="BC89" i="15" s="1"/>
  <c r="BP89" i="15" s="1"/>
  <c r="AF172" i="15" s="1"/>
  <c r="T88" i="15"/>
  <c r="AL88" i="15" s="1"/>
  <c r="AT88" i="15" s="1"/>
  <c r="T87" i="15"/>
  <c r="AL87" i="15" s="1"/>
  <c r="AY87" i="15" s="1"/>
  <c r="T86" i="15"/>
  <c r="BC86" i="15" s="1"/>
  <c r="S169" i="15" s="1"/>
  <c r="T85" i="15"/>
  <c r="T84" i="15"/>
  <c r="AL84" i="15" s="1"/>
  <c r="AT84" i="15" s="1"/>
  <c r="T83" i="15"/>
  <c r="AL83" i="15" s="1"/>
  <c r="AY83" i="15" s="1"/>
  <c r="T82" i="15"/>
  <c r="AL82" i="15" s="1"/>
  <c r="AY82" i="15" s="1"/>
  <c r="T81" i="15"/>
  <c r="BC81" i="15" s="1"/>
  <c r="S164" i="15" s="1"/>
  <c r="T80" i="15"/>
  <c r="AL80" i="15" s="1"/>
  <c r="B163" i="15" s="1"/>
  <c r="T79" i="15"/>
  <c r="AL79" i="15" s="1"/>
  <c r="AY79" i="15" s="1"/>
  <c r="T78" i="15"/>
  <c r="BC78" i="15" s="1"/>
  <c r="BF78" i="15" s="1"/>
  <c r="V161" i="15" s="1"/>
  <c r="T77" i="15"/>
  <c r="T76" i="15"/>
  <c r="AL76" i="15" s="1"/>
  <c r="B159" i="15" s="1"/>
  <c r="T75" i="15"/>
  <c r="AL75" i="15" s="1"/>
  <c r="AY75" i="15" s="1"/>
  <c r="T74" i="15"/>
  <c r="AL74" i="15" s="1"/>
  <c r="AU74" i="15" s="1"/>
  <c r="T72" i="15"/>
  <c r="AL72" i="15" s="1"/>
  <c r="B155" i="15" s="1"/>
  <c r="T71" i="15"/>
  <c r="AL71" i="15" s="1"/>
  <c r="AZ71" i="15" s="1"/>
  <c r="P154" i="15" s="1"/>
  <c r="T70" i="15"/>
  <c r="AL70" i="15" s="1"/>
  <c r="AX70" i="15" s="1"/>
  <c r="T69" i="15"/>
  <c r="BC69" i="15" s="1"/>
  <c r="BL69" i="15" s="1"/>
  <c r="AB152" i="15" s="1"/>
  <c r="T68" i="15"/>
  <c r="AL68" i="15" s="1"/>
  <c r="AT68" i="15" s="1"/>
  <c r="T67" i="15"/>
  <c r="AL67" i="15" s="1"/>
  <c r="AU67" i="15" s="1"/>
  <c r="T66" i="15"/>
  <c r="AL66" i="15" s="1"/>
  <c r="B149" i="15" s="1"/>
  <c r="T65" i="15"/>
  <c r="AL65" i="15" s="1"/>
  <c r="AY65" i="15" s="1"/>
  <c r="T64" i="15"/>
  <c r="AL64" i="15" s="1"/>
  <c r="AY64" i="15" s="1"/>
  <c r="T63" i="15"/>
  <c r="BC63" i="15" s="1"/>
  <c r="S146" i="15" s="1"/>
  <c r="T62" i="15"/>
  <c r="T61" i="15"/>
  <c r="AL61" i="15" s="1"/>
  <c r="AT61" i="15" s="1"/>
  <c r="T60" i="15"/>
  <c r="AL60" i="15" s="1"/>
  <c r="AU60" i="15" s="1"/>
  <c r="T59" i="15"/>
  <c r="AL59" i="15" s="1"/>
  <c r="AW59" i="15" s="1"/>
  <c r="T58" i="15"/>
  <c r="BC58" i="15" s="1"/>
  <c r="BP58" i="15" s="1"/>
  <c r="AF141" i="15" s="1"/>
  <c r="T57" i="15"/>
  <c r="AL57" i="15" s="1"/>
  <c r="AW57" i="15" s="1"/>
  <c r="T56" i="15"/>
  <c r="AL56" i="15" s="1"/>
  <c r="AZ56" i="15" s="1"/>
  <c r="T55" i="15"/>
  <c r="BC55" i="15" s="1"/>
  <c r="BO55" i="15" s="1"/>
  <c r="AE138" i="15" s="1"/>
  <c r="T54" i="15"/>
  <c r="AL54" i="15" s="1"/>
  <c r="AZ54" i="15" s="1"/>
  <c r="T53" i="15"/>
  <c r="T52" i="15"/>
  <c r="AL52" i="15" s="1"/>
  <c r="AY52" i="15" s="1"/>
  <c r="T51" i="15"/>
  <c r="AL51" i="15" s="1"/>
  <c r="AT51" i="15" s="1"/>
  <c r="T50" i="15"/>
  <c r="BC50" i="15" s="1"/>
  <c r="S133" i="15" s="1"/>
  <c r="T49" i="15"/>
  <c r="BC49" i="15" s="1"/>
  <c r="BL49" i="15" s="1"/>
  <c r="AB132" i="15" s="1"/>
  <c r="W8" i="3"/>
  <c r="AA8" i="3" s="1"/>
  <c r="X8" i="3"/>
  <c r="W9" i="3"/>
  <c r="AA9" i="3" s="1"/>
  <c r="X9" i="3"/>
  <c r="W10" i="3"/>
  <c r="AA10" i="3" s="1"/>
  <c r="X10" i="3"/>
  <c r="W11" i="3"/>
  <c r="AA11" i="3" s="1"/>
  <c r="X11" i="3"/>
  <c r="W12" i="3"/>
  <c r="AA12" i="3" s="1"/>
  <c r="X12" i="3"/>
  <c r="W14" i="3"/>
  <c r="AA14" i="3" s="1"/>
  <c r="X14" i="3"/>
  <c r="W15" i="3"/>
  <c r="AA15" i="3" s="1"/>
  <c r="X15" i="3"/>
  <c r="W16" i="3"/>
  <c r="AA16" i="3" s="1"/>
  <c r="X16" i="3"/>
  <c r="W17" i="3"/>
  <c r="AA17" i="3" s="1"/>
  <c r="X17" i="3"/>
  <c r="W18" i="3"/>
  <c r="AA18" i="3" s="1"/>
  <c r="X18" i="3"/>
  <c r="W19" i="3"/>
  <c r="AB7" i="3" s="1"/>
  <c r="X19" i="3"/>
  <c r="W20" i="3"/>
  <c r="AB8" i="3" s="1"/>
  <c r="X20" i="3"/>
  <c r="W21" i="3"/>
  <c r="AC7" i="3" s="1"/>
  <c r="X21" i="3"/>
  <c r="W22" i="3"/>
  <c r="AC8" i="3" s="1"/>
  <c r="X22" i="3"/>
  <c r="W23" i="3"/>
  <c r="AC9" i="3" s="1"/>
  <c r="X23" i="3"/>
  <c r="W24" i="3"/>
  <c r="AC10" i="3" s="1"/>
  <c r="X24" i="3"/>
  <c r="W25" i="3"/>
  <c r="AC11" i="3" s="1"/>
  <c r="X25" i="3"/>
  <c r="W26" i="3"/>
  <c r="AC12" i="3" s="1"/>
  <c r="X26" i="3"/>
  <c r="W27" i="3"/>
  <c r="AC13" i="3" s="1"/>
  <c r="X27" i="3"/>
  <c r="W28" i="3"/>
  <c r="AC14" i="3" s="1"/>
  <c r="X28" i="3"/>
  <c r="W29" i="3"/>
  <c r="AC15" i="3" s="1"/>
  <c r="X29" i="3"/>
  <c r="W30" i="3"/>
  <c r="AC16" i="3" s="1"/>
  <c r="X30" i="3"/>
  <c r="W31" i="3"/>
  <c r="AC17" i="3" s="1"/>
  <c r="X31" i="3"/>
  <c r="W32" i="3"/>
  <c r="AC18" i="3" s="1"/>
  <c r="X32" i="3"/>
  <c r="W33" i="3"/>
  <c r="AC19" i="3" s="1"/>
  <c r="X33" i="3"/>
  <c r="W34" i="3"/>
  <c r="AC20" i="3" s="1"/>
  <c r="X34" i="3"/>
  <c r="W35" i="3"/>
  <c r="AC21" i="3" s="1"/>
  <c r="X35" i="3"/>
  <c r="W36" i="3"/>
  <c r="AC22" i="3" s="1"/>
  <c r="X36" i="3"/>
  <c r="W37" i="3"/>
  <c r="AC23" i="3" s="1"/>
  <c r="X37" i="3"/>
  <c r="W38" i="3"/>
  <c r="X38" i="3"/>
  <c r="W39" i="3"/>
  <c r="X39" i="3"/>
  <c r="W40" i="3"/>
  <c r="X40" i="3"/>
  <c r="W41" i="3"/>
  <c r="X41" i="3"/>
  <c r="W42" i="3"/>
  <c r="X42" i="3"/>
  <c r="W43" i="3"/>
  <c r="X43" i="3"/>
  <c r="W44" i="3"/>
  <c r="X44" i="3"/>
  <c r="W45" i="3"/>
  <c r="X45" i="3"/>
  <c r="W46" i="3"/>
  <c r="X46" i="3"/>
  <c r="W47" i="3"/>
  <c r="X47" i="3"/>
  <c r="W48" i="3"/>
  <c r="X48" i="3"/>
  <c r="W49" i="3"/>
  <c r="X49" i="3"/>
  <c r="W50" i="3"/>
  <c r="X50" i="3"/>
  <c r="W51" i="3"/>
  <c r="X51" i="3"/>
  <c r="W52" i="3"/>
  <c r="X52" i="3"/>
  <c r="X7" i="3"/>
  <c r="W7" i="3"/>
  <c r="AA7" i="3" s="1"/>
  <c r="T8" i="3"/>
  <c r="U8" i="3"/>
  <c r="T9" i="3"/>
  <c r="U9" i="3"/>
  <c r="T10" i="3"/>
  <c r="U10" i="3"/>
  <c r="T11" i="3"/>
  <c r="U11" i="3"/>
  <c r="T12" i="3"/>
  <c r="U12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T25" i="3"/>
  <c r="U25" i="3"/>
  <c r="T26" i="3"/>
  <c r="U26" i="3"/>
  <c r="T27" i="3"/>
  <c r="U27" i="3"/>
  <c r="T28" i="3"/>
  <c r="U28" i="3"/>
  <c r="T29" i="3"/>
  <c r="U29" i="3"/>
  <c r="T30" i="3"/>
  <c r="U30" i="3"/>
  <c r="T31" i="3"/>
  <c r="U31" i="3"/>
  <c r="T32" i="3"/>
  <c r="U32" i="3"/>
  <c r="T33" i="3"/>
  <c r="U33" i="3"/>
  <c r="T34" i="3"/>
  <c r="U34" i="3"/>
  <c r="T35" i="3"/>
  <c r="U35" i="3"/>
  <c r="T36" i="3"/>
  <c r="U36" i="3"/>
  <c r="T37" i="3"/>
  <c r="U37" i="3"/>
  <c r="T38" i="3"/>
  <c r="U38" i="3"/>
  <c r="T39" i="3"/>
  <c r="U39" i="3"/>
  <c r="T40" i="3"/>
  <c r="U40" i="3"/>
  <c r="T41" i="3"/>
  <c r="U41" i="3"/>
  <c r="T42" i="3"/>
  <c r="U42" i="3"/>
  <c r="T43" i="3"/>
  <c r="U43" i="3"/>
  <c r="T44" i="3"/>
  <c r="U44" i="3"/>
  <c r="T45" i="3"/>
  <c r="U45" i="3"/>
  <c r="T46" i="3"/>
  <c r="U46" i="3"/>
  <c r="T47" i="3"/>
  <c r="U47" i="3"/>
  <c r="T48" i="3"/>
  <c r="U48" i="3"/>
  <c r="T49" i="3"/>
  <c r="U49" i="3"/>
  <c r="T50" i="3"/>
  <c r="U50" i="3"/>
  <c r="T51" i="3"/>
  <c r="U51" i="3"/>
  <c r="T52" i="3"/>
  <c r="U52" i="3"/>
  <c r="U7" i="3"/>
  <c r="T7" i="3"/>
  <c r="K85" i="9"/>
  <c r="J85" i="9"/>
  <c r="I85" i="9"/>
  <c r="H85" i="9"/>
  <c r="K84" i="9"/>
  <c r="J84" i="9"/>
  <c r="I84" i="9"/>
  <c r="H84" i="9"/>
  <c r="K83" i="9"/>
  <c r="J83" i="9"/>
  <c r="I83" i="9"/>
  <c r="H83" i="9"/>
  <c r="K82" i="9"/>
  <c r="J82" i="9"/>
  <c r="I82" i="9"/>
  <c r="H82" i="9"/>
  <c r="K81" i="9"/>
  <c r="J81" i="9"/>
  <c r="I81" i="9"/>
  <c r="H81" i="9"/>
  <c r="K80" i="9"/>
  <c r="J80" i="9"/>
  <c r="I80" i="9"/>
  <c r="H80" i="9"/>
  <c r="K79" i="9"/>
  <c r="J79" i="9"/>
  <c r="I79" i="9"/>
  <c r="H79" i="9"/>
  <c r="K78" i="9"/>
  <c r="J78" i="9"/>
  <c r="I78" i="9"/>
  <c r="H78" i="9"/>
  <c r="K77" i="9"/>
  <c r="J77" i="9"/>
  <c r="I77" i="9"/>
  <c r="H77" i="9"/>
  <c r="K76" i="9"/>
  <c r="J76" i="9"/>
  <c r="I76" i="9"/>
  <c r="H76" i="9"/>
  <c r="K75" i="9"/>
  <c r="J75" i="9"/>
  <c r="I75" i="9"/>
  <c r="H75" i="9"/>
  <c r="K74" i="9"/>
  <c r="J74" i="9"/>
  <c r="I74" i="9"/>
  <c r="H74" i="9"/>
  <c r="K73" i="9"/>
  <c r="J73" i="9"/>
  <c r="I73" i="9"/>
  <c r="H73" i="9"/>
  <c r="K72" i="9"/>
  <c r="J72" i="9"/>
  <c r="I72" i="9"/>
  <c r="H72" i="9"/>
  <c r="K71" i="9"/>
  <c r="J71" i="9"/>
  <c r="I71" i="9"/>
  <c r="H71" i="9"/>
  <c r="K70" i="9"/>
  <c r="J70" i="9"/>
  <c r="I70" i="9"/>
  <c r="H70" i="9"/>
  <c r="K69" i="9"/>
  <c r="J69" i="9"/>
  <c r="I69" i="9"/>
  <c r="H69" i="9"/>
  <c r="K68" i="9"/>
  <c r="J68" i="9"/>
  <c r="I68" i="9"/>
  <c r="H68" i="9"/>
  <c r="K67" i="9"/>
  <c r="J67" i="9"/>
  <c r="I67" i="9"/>
  <c r="H67" i="9"/>
  <c r="K66" i="9"/>
  <c r="J66" i="9"/>
  <c r="I66" i="9"/>
  <c r="H66" i="9"/>
  <c r="K65" i="9"/>
  <c r="J65" i="9"/>
  <c r="I65" i="9"/>
  <c r="H65" i="9"/>
  <c r="K64" i="9"/>
  <c r="J64" i="9"/>
  <c r="I64" i="9"/>
  <c r="H64" i="9"/>
  <c r="K63" i="9"/>
  <c r="J63" i="9"/>
  <c r="I63" i="9"/>
  <c r="H63" i="9"/>
  <c r="K62" i="9"/>
  <c r="J62" i="9"/>
  <c r="I62" i="9"/>
  <c r="H62" i="9"/>
  <c r="K61" i="9"/>
  <c r="J61" i="9"/>
  <c r="I61" i="9"/>
  <c r="H61" i="9"/>
  <c r="K60" i="9"/>
  <c r="J60" i="9"/>
  <c r="I60" i="9"/>
  <c r="H60" i="9"/>
  <c r="K59" i="9"/>
  <c r="J59" i="9"/>
  <c r="I59" i="9"/>
  <c r="H59" i="9"/>
  <c r="K58" i="9"/>
  <c r="J58" i="9"/>
  <c r="I58" i="9"/>
  <c r="H58" i="9"/>
  <c r="K57" i="9"/>
  <c r="J57" i="9"/>
  <c r="I57" i="9"/>
  <c r="H57" i="9"/>
  <c r="K56" i="9"/>
  <c r="J56" i="9"/>
  <c r="I56" i="9"/>
  <c r="H56" i="9"/>
  <c r="K55" i="9"/>
  <c r="J55" i="9"/>
  <c r="I55" i="9"/>
  <c r="H55" i="9"/>
  <c r="K54" i="9"/>
  <c r="J54" i="9"/>
  <c r="I54" i="9"/>
  <c r="H54" i="9"/>
  <c r="K53" i="9"/>
  <c r="J53" i="9"/>
  <c r="I53" i="9"/>
  <c r="H53" i="9"/>
  <c r="K52" i="9"/>
  <c r="J52" i="9"/>
  <c r="I52" i="9"/>
  <c r="H52" i="9"/>
  <c r="K51" i="9"/>
  <c r="J51" i="9"/>
  <c r="I51" i="9"/>
  <c r="H51" i="9"/>
  <c r="A233" i="15"/>
  <c r="A234" i="15"/>
  <c r="A235" i="15"/>
  <c r="A236" i="15"/>
  <c r="A237" i="15"/>
  <c r="A232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18" i="15"/>
  <c r="U114" i="15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AG114" i="15" s="1"/>
  <c r="AH114" i="15" s="1"/>
  <c r="U113" i="15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AG113" i="15" s="1"/>
  <c r="AH113" i="15" s="1"/>
  <c r="U112" i="15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AG112" i="15" s="1"/>
  <c r="AH112" i="15" s="1"/>
  <c r="U111" i="15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U110" i="15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AG110" i="15" s="1"/>
  <c r="AH110" i="15" s="1"/>
  <c r="U109" i="15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AG109" i="15" s="1"/>
  <c r="AH109" i="15" s="1"/>
  <c r="U108" i="15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AG108" i="15" s="1"/>
  <c r="AH108" i="15" s="1"/>
  <c r="U107" i="15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AG107" i="15" s="1"/>
  <c r="AH107" i="15" s="1"/>
  <c r="U106" i="15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AG106" i="15" s="1"/>
  <c r="AH106" i="15" s="1"/>
  <c r="U105" i="15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AG105" i="15" s="1"/>
  <c r="AH105" i="15" s="1"/>
  <c r="U104" i="15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AG104" i="15" s="1"/>
  <c r="AH104" i="15" s="1"/>
  <c r="U103" i="15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AG103" i="15" s="1"/>
  <c r="AH103" i="15" s="1"/>
  <c r="U102" i="15"/>
  <c r="V102" i="15" s="1"/>
  <c r="W102" i="15" s="1"/>
  <c r="X102" i="15" s="1"/>
  <c r="Y102" i="15" s="1"/>
  <c r="Z102" i="15" s="1"/>
  <c r="AA102" i="15" s="1"/>
  <c r="AB102" i="15" s="1"/>
  <c r="AC102" i="15" s="1"/>
  <c r="AD102" i="15" s="1"/>
  <c r="AE102" i="15" s="1"/>
  <c r="AF102" i="15" s="1"/>
  <c r="AG102" i="15" s="1"/>
  <c r="AH102" i="15" s="1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6" i="15"/>
  <c r="A117" i="15"/>
  <c r="A118" i="15"/>
  <c r="A119" i="15"/>
  <c r="A120" i="15"/>
  <c r="A121" i="15"/>
  <c r="A122" i="15"/>
  <c r="A102" i="15"/>
  <c r="A19" i="15"/>
  <c r="A20" i="15"/>
  <c r="A21" i="15"/>
  <c r="A22" i="15"/>
  <c r="A23" i="15"/>
  <c r="A24" i="15"/>
  <c r="A25" i="15"/>
  <c r="A26" i="15"/>
  <c r="A27" i="15"/>
  <c r="A29" i="15"/>
  <c r="A30" i="15"/>
  <c r="A31" i="15"/>
  <c r="A32" i="15"/>
  <c r="A33" i="15"/>
  <c r="A28" i="15"/>
  <c r="A34" i="15"/>
  <c r="A35" i="15"/>
  <c r="A36" i="15"/>
  <c r="A37" i="15"/>
  <c r="A38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65" i="15"/>
  <c r="A72" i="15"/>
  <c r="A71" i="15"/>
  <c r="A70" i="15"/>
  <c r="A69" i="15"/>
  <c r="A68" i="15"/>
  <c r="A67" i="15"/>
  <c r="A66" i="15"/>
  <c r="A63" i="15"/>
  <c r="A62" i="15"/>
  <c r="A61" i="15"/>
  <c r="A60" i="15"/>
  <c r="A59" i="15"/>
  <c r="A58" i="15"/>
  <c r="A57" i="15"/>
  <c r="A55" i="15"/>
  <c r="A54" i="15"/>
  <c r="A53" i="15"/>
  <c r="A52" i="15"/>
  <c r="A51" i="15"/>
  <c r="A50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B8" i="15"/>
  <c r="B7" i="15"/>
  <c r="AQ91" i="15"/>
  <c r="AW84" i="15"/>
  <c r="AV84" i="15"/>
  <c r="AU84" i="15"/>
  <c r="AO84" i="15"/>
  <c r="AN84" i="15"/>
  <c r="AM84" i="15"/>
  <c r="D18" i="5" l="1"/>
  <c r="AU68" i="15"/>
  <c r="B151" i="15"/>
  <c r="S172" i="15"/>
  <c r="AY70" i="15"/>
  <c r="O153" i="15" s="1"/>
  <c r="AY54" i="15"/>
  <c r="O137" i="15" s="1"/>
  <c r="B135" i="15"/>
  <c r="B143" i="15"/>
  <c r="S138" i="15"/>
  <c r="B144" i="15"/>
  <c r="B137" i="15"/>
  <c r="B153" i="15"/>
  <c r="B162" i="15"/>
  <c r="B170" i="15"/>
  <c r="S132" i="15"/>
  <c r="B154" i="15"/>
  <c r="B171" i="15"/>
  <c r="S141" i="15"/>
  <c r="B139" i="15"/>
  <c r="B147" i="15"/>
  <c r="B140" i="15"/>
  <c r="B148" i="15"/>
  <c r="B157" i="15"/>
  <c r="B165" i="15"/>
  <c r="B173" i="15"/>
  <c r="B158" i="15"/>
  <c r="B166" i="15"/>
  <c r="B174" i="15"/>
  <c r="S152" i="15"/>
  <c r="S161" i="15"/>
  <c r="B134" i="15"/>
  <c r="B142" i="15"/>
  <c r="B150" i="15"/>
  <c r="B167" i="15"/>
  <c r="BA71" i="15"/>
  <c r="Q154" i="15" s="1"/>
  <c r="AV57" i="15"/>
  <c r="L140" i="15" s="1"/>
  <c r="AX57" i="15"/>
  <c r="N140" i="15" s="1"/>
  <c r="BA59" i="15"/>
  <c r="Q142" i="15" s="1"/>
  <c r="AN51" i="15"/>
  <c r="D134" i="15" s="1"/>
  <c r="AN57" i="15"/>
  <c r="D140" i="15" s="1"/>
  <c r="AQ57" i="15"/>
  <c r="G140" i="15" s="1"/>
  <c r="AY57" i="15"/>
  <c r="O140" i="15" s="1"/>
  <c r="AX51" i="15"/>
  <c r="N134" i="15" s="1"/>
  <c r="AR52" i="15"/>
  <c r="H135" i="15" s="1"/>
  <c r="AU52" i="15"/>
  <c r="K135" i="15" s="1"/>
  <c r="AW52" i="15"/>
  <c r="M135" i="15" s="1"/>
  <c r="AQ90" i="15"/>
  <c r="AP57" i="15"/>
  <c r="F140" i="15" s="1"/>
  <c r="AU88" i="15"/>
  <c r="AM88" i="15"/>
  <c r="AS54" i="15"/>
  <c r="I137" i="15" s="1"/>
  <c r="AV68" i="15"/>
  <c r="L151" i="15" s="1"/>
  <c r="AP91" i="15"/>
  <c r="AR91" i="15"/>
  <c r="BA54" i="15"/>
  <c r="Q137" i="15" s="1"/>
  <c r="AX91" i="15"/>
  <c r="AY91" i="15"/>
  <c r="AZ91" i="15"/>
  <c r="AR68" i="15"/>
  <c r="H151" i="15" s="1"/>
  <c r="AP51" i="15"/>
  <c r="AR79" i="15"/>
  <c r="AV51" i="15"/>
  <c r="L134" i="15" s="1"/>
  <c r="BA56" i="15"/>
  <c r="Q139" i="15" s="1"/>
  <c r="AS59" i="15"/>
  <c r="I142" i="15" s="1"/>
  <c r="AQ70" i="15"/>
  <c r="G153" i="15" s="1"/>
  <c r="AR83" i="15"/>
  <c r="AZ83" i="15"/>
  <c r="AR90" i="15"/>
  <c r="AM51" i="15"/>
  <c r="C134" i="15" s="1"/>
  <c r="AU51" i="15"/>
  <c r="K134" i="15" s="1"/>
  <c r="AP59" i="15"/>
  <c r="F142" i="15" s="1"/>
  <c r="AX59" i="15"/>
  <c r="N142" i="15" s="1"/>
  <c r="AQ59" i="15"/>
  <c r="G142" i="15" s="1"/>
  <c r="AY59" i="15"/>
  <c r="O142" i="15" s="1"/>
  <c r="AR65" i="15"/>
  <c r="AO51" i="15"/>
  <c r="E134" i="15" s="1"/>
  <c r="AW51" i="15"/>
  <c r="M134" i="15" s="1"/>
  <c r="AR59" i="15"/>
  <c r="H142" i="15" s="1"/>
  <c r="AZ59" i="15"/>
  <c r="P142" i="15" s="1"/>
  <c r="AZ65" i="15"/>
  <c r="AT59" i="15"/>
  <c r="J142" i="15" s="1"/>
  <c r="AS79" i="15"/>
  <c r="AQ51" i="15"/>
  <c r="G134" i="15" s="1"/>
  <c r="AY51" i="15"/>
  <c r="O134" i="15" s="1"/>
  <c r="AR51" i="15"/>
  <c r="H134" i="15" s="1"/>
  <c r="AZ51" i="15"/>
  <c r="P134" i="15" s="1"/>
  <c r="AM59" i="15"/>
  <c r="C142" i="15" s="1"/>
  <c r="AU59" i="15"/>
  <c r="K142" i="15" s="1"/>
  <c r="AT79" i="15"/>
  <c r="AS51" i="15"/>
  <c r="I134" i="15" s="1"/>
  <c r="BA51" i="15"/>
  <c r="Q134" i="15" s="1"/>
  <c r="AN59" i="15"/>
  <c r="D142" i="15" s="1"/>
  <c r="AV59" i="15"/>
  <c r="L142" i="15" s="1"/>
  <c r="AZ79" i="15"/>
  <c r="AO59" i="15"/>
  <c r="E142" i="15" s="1"/>
  <c r="BA79" i="15"/>
  <c r="AS70" i="15"/>
  <c r="I153" i="15" s="1"/>
  <c r="BA70" i="15"/>
  <c r="Q153" i="15" s="1"/>
  <c r="AT70" i="15"/>
  <c r="J153" i="15" s="1"/>
  <c r="AR70" i="15"/>
  <c r="H153" i="15" s="1"/>
  <c r="AZ70" i="15"/>
  <c r="P153" i="15" s="1"/>
  <c r="AM56" i="15"/>
  <c r="C139" i="15" s="1"/>
  <c r="AS56" i="15"/>
  <c r="I139" i="15" s="1"/>
  <c r="AM70" i="15"/>
  <c r="C153" i="15" s="1"/>
  <c r="AU70" i="15"/>
  <c r="K153" i="15" s="1"/>
  <c r="AT56" i="15"/>
  <c r="J139" i="15" s="1"/>
  <c r="AN70" i="15"/>
  <c r="D153" i="15" s="1"/>
  <c r="AV70" i="15"/>
  <c r="L153" i="15" s="1"/>
  <c r="AU56" i="15"/>
  <c r="K139" i="15" s="1"/>
  <c r="AO70" i="15"/>
  <c r="E153" i="15" s="1"/>
  <c r="AW70" i="15"/>
  <c r="M153" i="15" s="1"/>
  <c r="AP70" i="15"/>
  <c r="F153" i="15" s="1"/>
  <c r="AR57" i="15"/>
  <c r="H140" i="15" s="1"/>
  <c r="AZ57" i="15"/>
  <c r="P140" i="15" s="1"/>
  <c r="AS57" i="15"/>
  <c r="I140" i="15" s="1"/>
  <c r="BA57" i="15"/>
  <c r="Q140" i="15" s="1"/>
  <c r="AT57" i="15"/>
  <c r="J140" i="15" s="1"/>
  <c r="AM57" i="15"/>
  <c r="C140" i="15" s="1"/>
  <c r="AU57" i="15"/>
  <c r="K140" i="15" s="1"/>
  <c r="AO57" i="15"/>
  <c r="E140" i="15" s="1"/>
  <c r="AS71" i="15"/>
  <c r="I154" i="15" s="1"/>
  <c r="BK49" i="15"/>
  <c r="AA132" i="15" s="1"/>
  <c r="AN60" i="15"/>
  <c r="D143" i="15" s="1"/>
  <c r="AM52" i="15"/>
  <c r="C135" i="15" s="1"/>
  <c r="AX52" i="15"/>
  <c r="N135" i="15" s="1"/>
  <c r="AO52" i="15"/>
  <c r="E135" i="15" s="1"/>
  <c r="AQ60" i="15"/>
  <c r="G143" i="15" s="1"/>
  <c r="AN52" i="15"/>
  <c r="D135" i="15" s="1"/>
  <c r="AZ52" i="15"/>
  <c r="P135" i="15" s="1"/>
  <c r="AP52" i="15"/>
  <c r="F135" i="15" s="1"/>
  <c r="AV60" i="15"/>
  <c r="L143" i="15" s="1"/>
  <c r="AY60" i="15"/>
  <c r="O143" i="15" s="1"/>
  <c r="AR75" i="15"/>
  <c r="AZ75" i="15"/>
  <c r="AV52" i="15"/>
  <c r="L135" i="15" s="1"/>
  <c r="AM54" i="15"/>
  <c r="C137" i="15" s="1"/>
  <c r="AZ68" i="15"/>
  <c r="P151" i="15" s="1"/>
  <c r="AM79" i="15"/>
  <c r="AU79" i="15"/>
  <c r="AP84" i="15"/>
  <c r="AX84" i="15"/>
  <c r="AY90" i="15"/>
  <c r="AS91" i="15"/>
  <c r="BA91" i="15"/>
  <c r="AQ54" i="15"/>
  <c r="G137" i="15" s="1"/>
  <c r="AN79" i="15"/>
  <c r="AV79" i="15"/>
  <c r="AQ84" i="15"/>
  <c r="AY84" i="15"/>
  <c r="AZ90" i="15"/>
  <c r="AT91" i="15"/>
  <c r="AS61" i="15"/>
  <c r="I144" i="15" s="1"/>
  <c r="AR84" i="15"/>
  <c r="AM91" i="15"/>
  <c r="AU91" i="15"/>
  <c r="AT54" i="15"/>
  <c r="AM68" i="15"/>
  <c r="C151" i="15" s="1"/>
  <c r="AP79" i="15"/>
  <c r="AX79" i="15"/>
  <c r="AS84" i="15"/>
  <c r="BA84" i="15"/>
  <c r="AN91" i="15"/>
  <c r="AV91" i="15"/>
  <c r="AO79" i="15"/>
  <c r="AW79" i="15"/>
  <c r="AZ84" i="15"/>
  <c r="AU54" i="15"/>
  <c r="K137" i="15" s="1"/>
  <c r="AN68" i="15"/>
  <c r="D151" i="15" s="1"/>
  <c r="AQ79" i="15"/>
  <c r="AO91" i="15"/>
  <c r="AN54" i="15"/>
  <c r="D137" i="15" s="1"/>
  <c r="AV54" i="15"/>
  <c r="L137" i="15" s="1"/>
  <c r="AO68" i="15"/>
  <c r="E151" i="15" s="1"/>
  <c r="AW68" i="15"/>
  <c r="M151" i="15" s="1"/>
  <c r="AS90" i="15"/>
  <c r="BA90" i="15"/>
  <c r="AO54" i="15"/>
  <c r="E137" i="15" s="1"/>
  <c r="AW54" i="15"/>
  <c r="M137" i="15" s="1"/>
  <c r="AP68" i="15"/>
  <c r="F151" i="15" s="1"/>
  <c r="AX68" i="15"/>
  <c r="N151" i="15" s="1"/>
  <c r="AT90" i="15"/>
  <c r="AP54" i="15"/>
  <c r="F137" i="15" s="1"/>
  <c r="AX54" i="15"/>
  <c r="N137" i="15" s="1"/>
  <c r="AQ68" i="15"/>
  <c r="G151" i="15" s="1"/>
  <c r="AY68" i="15"/>
  <c r="O151" i="15" s="1"/>
  <c r="AM90" i="15"/>
  <c r="AU90" i="15"/>
  <c r="AN90" i="15"/>
  <c r="AV90" i="15"/>
  <c r="AR54" i="15"/>
  <c r="H137" i="15" s="1"/>
  <c r="AS68" i="15"/>
  <c r="I151" i="15" s="1"/>
  <c r="BA68" i="15"/>
  <c r="Q151" i="15" s="1"/>
  <c r="AO90" i="15"/>
  <c r="AW90" i="15"/>
  <c r="AP90" i="15"/>
  <c r="AN56" i="15"/>
  <c r="D139" i="15" s="1"/>
  <c r="AV56" i="15"/>
  <c r="L139" i="15" s="1"/>
  <c r="AO56" i="15"/>
  <c r="E139" i="15" s="1"/>
  <c r="AW56" i="15"/>
  <c r="M139" i="15" s="1"/>
  <c r="AP56" i="15"/>
  <c r="F139" i="15" s="1"/>
  <c r="AX56" i="15"/>
  <c r="N139" i="15" s="1"/>
  <c r="AZ64" i="15"/>
  <c r="P147" i="15" s="1"/>
  <c r="AQ56" i="15"/>
  <c r="G139" i="15" s="1"/>
  <c r="AY56" i="15"/>
  <c r="O139" i="15" s="1"/>
  <c r="AR56" i="15"/>
  <c r="H139" i="15" s="1"/>
  <c r="AS52" i="15"/>
  <c r="I135" i="15" s="1"/>
  <c r="BA52" i="15"/>
  <c r="Q135" i="15" s="1"/>
  <c r="AO60" i="15"/>
  <c r="E143" i="15" s="1"/>
  <c r="AW60" i="15"/>
  <c r="M143" i="15" s="1"/>
  <c r="AT71" i="15"/>
  <c r="J154" i="15" s="1"/>
  <c r="AS65" i="15"/>
  <c r="BA65" i="15"/>
  <c r="AT52" i="15"/>
  <c r="J135" i="15" s="1"/>
  <c r="AP60" i="15"/>
  <c r="F143" i="15" s="1"/>
  <c r="AX60" i="15"/>
  <c r="N143" i="15" s="1"/>
  <c r="AM71" i="15"/>
  <c r="C154" i="15" s="1"/>
  <c r="AU71" i="15"/>
  <c r="K154" i="15" s="1"/>
  <c r="AT65" i="15"/>
  <c r="AN71" i="15"/>
  <c r="D154" i="15" s="1"/>
  <c r="AV71" i="15"/>
  <c r="L154" i="15" s="1"/>
  <c r="AM65" i="15"/>
  <c r="AU65" i="15"/>
  <c r="AR60" i="15"/>
  <c r="H143" i="15" s="1"/>
  <c r="AZ60" i="15"/>
  <c r="P143" i="15" s="1"/>
  <c r="AO71" i="15"/>
  <c r="E154" i="15" s="1"/>
  <c r="AW71" i="15"/>
  <c r="M154" i="15" s="1"/>
  <c r="AN65" i="15"/>
  <c r="AV65" i="15"/>
  <c r="AS60" i="15"/>
  <c r="I143" i="15" s="1"/>
  <c r="BA60" i="15"/>
  <c r="Q143" i="15" s="1"/>
  <c r="AP71" i="15"/>
  <c r="F154" i="15" s="1"/>
  <c r="AX71" i="15"/>
  <c r="N154" i="15" s="1"/>
  <c r="AO65" i="15"/>
  <c r="AW65" i="15"/>
  <c r="AQ71" i="15"/>
  <c r="G154" i="15" s="1"/>
  <c r="AY71" i="15"/>
  <c r="O154" i="15" s="1"/>
  <c r="AP65" i="15"/>
  <c r="AX65" i="15"/>
  <c r="AT60" i="15"/>
  <c r="J143" i="15" s="1"/>
  <c r="AQ52" i="15"/>
  <c r="G135" i="15" s="1"/>
  <c r="AM60" i="15"/>
  <c r="C143" i="15" s="1"/>
  <c r="AR71" i="15"/>
  <c r="H154" i="15" s="1"/>
  <c r="AQ65" i="15"/>
  <c r="AS83" i="15"/>
  <c r="BA83" i="15"/>
  <c r="AN88" i="15"/>
  <c r="AV88" i="15"/>
  <c r="AT75" i="15"/>
  <c r="AT83" i="15"/>
  <c r="AO88" i="15"/>
  <c r="AW88" i="15"/>
  <c r="AM75" i="15"/>
  <c r="AU75" i="15"/>
  <c r="AM83" i="15"/>
  <c r="AU83" i="15"/>
  <c r="AP88" i="15"/>
  <c r="AX88" i="15"/>
  <c r="AS75" i="15"/>
  <c r="BA75" i="15"/>
  <c r="AN75" i="15"/>
  <c r="AV75" i="15"/>
  <c r="AN83" i="15"/>
  <c r="AV83" i="15"/>
  <c r="AQ88" i="15"/>
  <c r="AY88" i="15"/>
  <c r="AO75" i="15"/>
  <c r="AW75" i="15"/>
  <c r="AO83" i="15"/>
  <c r="AW83" i="15"/>
  <c r="AR88" i="15"/>
  <c r="AZ88" i="15"/>
  <c r="AP75" i="15"/>
  <c r="AX75" i="15"/>
  <c r="AP83" i="15"/>
  <c r="AX83" i="15"/>
  <c r="AS88" i="15"/>
  <c r="BA88" i="15"/>
  <c r="AQ75" i="15"/>
  <c r="AQ83" i="15"/>
  <c r="BF69" i="15"/>
  <c r="V152" i="15" s="1"/>
  <c r="BJ55" i="15"/>
  <c r="Z138" i="15" s="1"/>
  <c r="BO69" i="15"/>
  <c r="AE152" i="15" s="1"/>
  <c r="BR55" i="15"/>
  <c r="AH138" i="15" s="1"/>
  <c r="BH89" i="15"/>
  <c r="X172" i="15" s="1"/>
  <c r="BK58" i="15"/>
  <c r="AA141" i="15" s="1"/>
  <c r="BK50" i="15"/>
  <c r="AA133" i="15" s="1"/>
  <c r="BR50" i="15"/>
  <c r="AH133" i="15" s="1"/>
  <c r="BJ50" i="15"/>
  <c r="Z133" i="15" s="1"/>
  <c r="BQ50" i="15"/>
  <c r="AG133" i="15" s="1"/>
  <c r="BI50" i="15"/>
  <c r="Y133" i="15" s="1"/>
  <c r="BF50" i="15"/>
  <c r="V133" i="15" s="1"/>
  <c r="BP50" i="15"/>
  <c r="AF133" i="15" s="1"/>
  <c r="BH50" i="15"/>
  <c r="X133" i="15" s="1"/>
  <c r="BN50" i="15"/>
  <c r="AD133" i="15" s="1"/>
  <c r="BO50" i="15"/>
  <c r="AE133" i="15" s="1"/>
  <c r="BG50" i="15"/>
  <c r="W133" i="15" s="1"/>
  <c r="BM50" i="15"/>
  <c r="AC133" i="15" s="1"/>
  <c r="BE50" i="15"/>
  <c r="U133" i="15" s="1"/>
  <c r="BL50" i="15"/>
  <c r="AB133" i="15" s="1"/>
  <c r="BD50" i="15"/>
  <c r="BH49" i="15"/>
  <c r="X132" i="15" s="1"/>
  <c r="BH55" i="15"/>
  <c r="X138" i="15" s="1"/>
  <c r="BP55" i="15"/>
  <c r="AF138" i="15" s="1"/>
  <c r="BI58" i="15"/>
  <c r="Y141" i="15" s="1"/>
  <c r="BQ58" i="15"/>
  <c r="AG141" i="15" s="1"/>
  <c r="BD69" i="15"/>
  <c r="BM69" i="15"/>
  <c r="AC152" i="15" s="1"/>
  <c r="BN78" i="15"/>
  <c r="AD161" i="15" s="1"/>
  <c r="BJ49" i="15"/>
  <c r="Z132" i="15" s="1"/>
  <c r="BI55" i="15"/>
  <c r="Y138" i="15" s="1"/>
  <c r="BQ55" i="15"/>
  <c r="AG138" i="15" s="1"/>
  <c r="BJ58" i="15"/>
  <c r="Z141" i="15" s="1"/>
  <c r="BR58" i="15"/>
  <c r="AH141" i="15" s="1"/>
  <c r="BE69" i="15"/>
  <c r="U152" i="15" s="1"/>
  <c r="BN69" i="15"/>
  <c r="AD152" i="15" s="1"/>
  <c r="AL50" i="15"/>
  <c r="B133" i="15" s="1"/>
  <c r="AL55" i="15"/>
  <c r="BM49" i="15"/>
  <c r="AC132" i="15" s="1"/>
  <c r="BK55" i="15"/>
  <c r="AA138" i="15" s="1"/>
  <c r="BD58" i="15"/>
  <c r="BL58" i="15"/>
  <c r="AB141" i="15" s="1"/>
  <c r="BG69" i="15"/>
  <c r="W152" i="15" s="1"/>
  <c r="BP69" i="15"/>
  <c r="AF152" i="15" s="1"/>
  <c r="AL69" i="15"/>
  <c r="BP49" i="15"/>
  <c r="AF132" i="15" s="1"/>
  <c r="BD55" i="15"/>
  <c r="BL55" i="15"/>
  <c r="AB138" i="15" s="1"/>
  <c r="BE58" i="15"/>
  <c r="U141" i="15" s="1"/>
  <c r="BM58" i="15"/>
  <c r="AC141" i="15" s="1"/>
  <c r="BH69" i="15"/>
  <c r="X152" i="15" s="1"/>
  <c r="BR69" i="15"/>
  <c r="AH152" i="15" s="1"/>
  <c r="BR49" i="15"/>
  <c r="AH132" i="15" s="1"/>
  <c r="BE55" i="15"/>
  <c r="BM55" i="15"/>
  <c r="AC138" i="15" s="1"/>
  <c r="BF58" i="15"/>
  <c r="V141" i="15" s="1"/>
  <c r="BN58" i="15"/>
  <c r="AD141" i="15" s="1"/>
  <c r="BJ69" i="15"/>
  <c r="Z152" i="15" s="1"/>
  <c r="AL89" i="15"/>
  <c r="BF55" i="15"/>
  <c r="V138" i="15" s="1"/>
  <c r="BN55" i="15"/>
  <c r="AD138" i="15" s="1"/>
  <c r="BG58" i="15"/>
  <c r="W141" i="15" s="1"/>
  <c r="BO58" i="15"/>
  <c r="AE141" i="15" s="1"/>
  <c r="BK69" i="15"/>
  <c r="AA152" i="15" s="1"/>
  <c r="BE49" i="15"/>
  <c r="U132" i="15" s="1"/>
  <c r="BG55" i="15"/>
  <c r="W138" i="15" s="1"/>
  <c r="BH58" i="15"/>
  <c r="X141" i="15" s="1"/>
  <c r="AY66" i="15"/>
  <c r="O149" i="15" s="1"/>
  <c r="AQ66" i="15"/>
  <c r="G149" i="15" s="1"/>
  <c r="AX66" i="15"/>
  <c r="N149" i="15" s="1"/>
  <c r="AP66" i="15"/>
  <c r="F149" i="15" s="1"/>
  <c r="AR66" i="15"/>
  <c r="H149" i="15" s="1"/>
  <c r="AW66" i="15"/>
  <c r="M149" i="15" s="1"/>
  <c r="AO66" i="15"/>
  <c r="E149" i="15" s="1"/>
  <c r="AZ66" i="15"/>
  <c r="P149" i="15" s="1"/>
  <c r="AV66" i="15"/>
  <c r="L149" i="15" s="1"/>
  <c r="AN66" i="15"/>
  <c r="D149" i="15" s="1"/>
  <c r="AU66" i="15"/>
  <c r="K149" i="15" s="1"/>
  <c r="AM66" i="15"/>
  <c r="C149" i="15" s="1"/>
  <c r="AT66" i="15"/>
  <c r="J149" i="15" s="1"/>
  <c r="BA66" i="15"/>
  <c r="Q149" i="15" s="1"/>
  <c r="AS66" i="15"/>
  <c r="I149" i="15" s="1"/>
  <c r="BQ81" i="15"/>
  <c r="AG164" i="15" s="1"/>
  <c r="BI81" i="15"/>
  <c r="Y164" i="15" s="1"/>
  <c r="BP81" i="15"/>
  <c r="AF164" i="15" s="1"/>
  <c r="BH81" i="15"/>
  <c r="X164" i="15" s="1"/>
  <c r="BO81" i="15"/>
  <c r="AE164" i="15" s="1"/>
  <c r="BG81" i="15"/>
  <c r="W164" i="15" s="1"/>
  <c r="BN81" i="15"/>
  <c r="AD164" i="15" s="1"/>
  <c r="BF81" i="15"/>
  <c r="V164" i="15" s="1"/>
  <c r="BM81" i="15"/>
  <c r="AC164" i="15" s="1"/>
  <c r="BE81" i="15"/>
  <c r="U164" i="15" s="1"/>
  <c r="BR81" i="15"/>
  <c r="AH164" i="15" s="1"/>
  <c r="BL81" i="15"/>
  <c r="AB164" i="15" s="1"/>
  <c r="BD81" i="15"/>
  <c r="BK81" i="15"/>
  <c r="AA164" i="15" s="1"/>
  <c r="BJ81" i="15"/>
  <c r="Z164" i="15" s="1"/>
  <c r="BQ86" i="15"/>
  <c r="AG169" i="15" s="1"/>
  <c r="BI86" i="15"/>
  <c r="Y169" i="15" s="1"/>
  <c r="BP86" i="15"/>
  <c r="AF169" i="15" s="1"/>
  <c r="BH86" i="15"/>
  <c r="X169" i="15" s="1"/>
  <c r="BO86" i="15"/>
  <c r="AE169" i="15" s="1"/>
  <c r="BG86" i="15"/>
  <c r="W169" i="15" s="1"/>
  <c r="BN86" i="15"/>
  <c r="AD169" i="15" s="1"/>
  <c r="BF86" i="15"/>
  <c r="V169" i="15" s="1"/>
  <c r="BR86" i="15"/>
  <c r="AH169" i="15" s="1"/>
  <c r="BM86" i="15"/>
  <c r="AC169" i="15" s="1"/>
  <c r="BE86" i="15"/>
  <c r="U169" i="15" s="1"/>
  <c r="BL86" i="15"/>
  <c r="AB169" i="15" s="1"/>
  <c r="BD86" i="15"/>
  <c r="BJ86" i="15"/>
  <c r="Z169" i="15" s="1"/>
  <c r="BK86" i="15"/>
  <c r="AA169" i="15" s="1"/>
  <c r="AL81" i="15"/>
  <c r="B164" i="15" s="1"/>
  <c r="AN67" i="15"/>
  <c r="D150" i="15" s="1"/>
  <c r="AL86" i="15"/>
  <c r="B169" i="15" s="1"/>
  <c r="BC66" i="15"/>
  <c r="S149" i="15" s="1"/>
  <c r="AV67" i="15"/>
  <c r="L150" i="15" s="1"/>
  <c r="BC72" i="15"/>
  <c r="S155" i="15" s="1"/>
  <c r="AR64" i="15"/>
  <c r="H147" i="15" s="1"/>
  <c r="AN74" i="15"/>
  <c r="AR87" i="15"/>
  <c r="H170" i="15" s="1"/>
  <c r="AL63" i="15"/>
  <c r="B146" i="15" s="1"/>
  <c r="BC74" i="15"/>
  <c r="S157" i="15" s="1"/>
  <c r="AV74" i="15"/>
  <c r="AZ87" i="15"/>
  <c r="AR82" i="15"/>
  <c r="AZ82" i="15"/>
  <c r="BC94" i="15"/>
  <c r="S177" i="15" s="1"/>
  <c r="BM63" i="15"/>
  <c r="AC146" i="15" s="1"/>
  <c r="BE63" i="15"/>
  <c r="U146" i="15" s="1"/>
  <c r="BL63" i="15"/>
  <c r="AB146" i="15" s="1"/>
  <c r="BD63" i="15"/>
  <c r="BK63" i="15"/>
  <c r="AA146" i="15" s="1"/>
  <c r="BR63" i="15"/>
  <c r="AH146" i="15" s="1"/>
  <c r="BJ63" i="15"/>
  <c r="Z146" i="15" s="1"/>
  <c r="BQ63" i="15"/>
  <c r="AG146" i="15" s="1"/>
  <c r="BI63" i="15"/>
  <c r="Y146" i="15" s="1"/>
  <c r="BP63" i="15"/>
  <c r="AF146" i="15" s="1"/>
  <c r="BH63" i="15"/>
  <c r="X146" i="15" s="1"/>
  <c r="BN63" i="15"/>
  <c r="AD146" i="15" s="1"/>
  <c r="BF63" i="15"/>
  <c r="V146" i="15" s="1"/>
  <c r="BO63" i="15"/>
  <c r="AE146" i="15" s="1"/>
  <c r="BG63" i="15"/>
  <c r="W146" i="15" s="1"/>
  <c r="AZ72" i="15"/>
  <c r="AR72" i="15"/>
  <c r="AY72" i="15"/>
  <c r="AQ72" i="15"/>
  <c r="AX72" i="15"/>
  <c r="AP72" i="15"/>
  <c r="AW72" i="15"/>
  <c r="AO72" i="15"/>
  <c r="AV72" i="15"/>
  <c r="AN72" i="15"/>
  <c r="BA72" i="15"/>
  <c r="AU72" i="15"/>
  <c r="AM72" i="15"/>
  <c r="AS72" i="15"/>
  <c r="AT72" i="15"/>
  <c r="AX94" i="15"/>
  <c r="AP94" i="15"/>
  <c r="AW94" i="15"/>
  <c r="AO94" i="15"/>
  <c r="AY94" i="15"/>
  <c r="AQ94" i="15"/>
  <c r="AV94" i="15"/>
  <c r="AN94" i="15"/>
  <c r="AU94" i="15"/>
  <c r="AM94" i="15"/>
  <c r="AT94" i="15"/>
  <c r="BA94" i="15"/>
  <c r="AS94" i="15"/>
  <c r="AZ94" i="15"/>
  <c r="AR94" i="15"/>
  <c r="AU61" i="15"/>
  <c r="K144" i="15" s="1"/>
  <c r="AV61" i="15"/>
  <c r="L144" i="15" s="1"/>
  <c r="AL58" i="15"/>
  <c r="B141" i="15" s="1"/>
  <c r="BC64" i="15"/>
  <c r="AM69" i="15"/>
  <c r="C152" i="15" s="1"/>
  <c r="AW61" i="15"/>
  <c r="M144" i="15" s="1"/>
  <c r="BA61" i="15"/>
  <c r="Q144" i="15" s="1"/>
  <c r="AL49" i="15"/>
  <c r="AL78" i="15"/>
  <c r="B161" i="15" s="1"/>
  <c r="BC82" i="15"/>
  <c r="AM61" i="15"/>
  <c r="C144" i="15" s="1"/>
  <c r="AN61" i="15"/>
  <c r="D144" i="15" s="1"/>
  <c r="BC67" i="15"/>
  <c r="BC87" i="15"/>
  <c r="AO61" i="15"/>
  <c r="E144" i="15" s="1"/>
  <c r="BA76" i="15"/>
  <c r="Q159" i="15" s="1"/>
  <c r="AS76" i="15"/>
  <c r="I159" i="15" s="1"/>
  <c r="AZ76" i="15"/>
  <c r="P159" i="15" s="1"/>
  <c r="AR76" i="15"/>
  <c r="H159" i="15" s="1"/>
  <c r="AY76" i="15"/>
  <c r="O159" i="15" s="1"/>
  <c r="AQ76" i="15"/>
  <c r="G159" i="15" s="1"/>
  <c r="AX76" i="15"/>
  <c r="N159" i="15" s="1"/>
  <c r="AP76" i="15"/>
  <c r="F159" i="15" s="1"/>
  <c r="AW76" i="15"/>
  <c r="M159" i="15" s="1"/>
  <c r="AO76" i="15"/>
  <c r="E159" i="15" s="1"/>
  <c r="AV76" i="15"/>
  <c r="L159" i="15" s="1"/>
  <c r="AN76" i="15"/>
  <c r="D159" i="15" s="1"/>
  <c r="AU76" i="15"/>
  <c r="K159" i="15" s="1"/>
  <c r="AM76" i="15"/>
  <c r="C159" i="15" s="1"/>
  <c r="AT80" i="15"/>
  <c r="J163" i="15" s="1"/>
  <c r="BA80" i="15"/>
  <c r="Q163" i="15" s="1"/>
  <c r="AS80" i="15"/>
  <c r="I163" i="15" s="1"/>
  <c r="AZ80" i="15"/>
  <c r="P163" i="15" s="1"/>
  <c r="AR80" i="15"/>
  <c r="H163" i="15" s="1"/>
  <c r="AY80" i="15"/>
  <c r="O163" i="15" s="1"/>
  <c r="AQ80" i="15"/>
  <c r="G163" i="15" s="1"/>
  <c r="AX80" i="15"/>
  <c r="N163" i="15" s="1"/>
  <c r="AP80" i="15"/>
  <c r="F163" i="15" s="1"/>
  <c r="AW80" i="15"/>
  <c r="M163" i="15" s="1"/>
  <c r="AO80" i="15"/>
  <c r="E163" i="15" s="1"/>
  <c r="AV80" i="15"/>
  <c r="L163" i="15" s="1"/>
  <c r="AN80" i="15"/>
  <c r="D163" i="15" s="1"/>
  <c r="AV92" i="15"/>
  <c r="AN92" i="15"/>
  <c r="AU92" i="15"/>
  <c r="AM92" i="15"/>
  <c r="AT92" i="15"/>
  <c r="BA92" i="15"/>
  <c r="AS92" i="15"/>
  <c r="AZ92" i="15"/>
  <c r="AR92" i="15"/>
  <c r="AY92" i="15"/>
  <c r="AQ92" i="15"/>
  <c r="AX92" i="15"/>
  <c r="AP92" i="15"/>
  <c r="AT76" i="15"/>
  <c r="J159" i="15" s="1"/>
  <c r="AP61" i="15"/>
  <c r="F144" i="15" s="1"/>
  <c r="AX61" i="15"/>
  <c r="N144" i="15" s="1"/>
  <c r="AQ61" i="15"/>
  <c r="G144" i="15" s="1"/>
  <c r="AY61" i="15"/>
  <c r="O144" i="15" s="1"/>
  <c r="AM80" i="15"/>
  <c r="C163" i="15" s="1"/>
  <c r="AR61" i="15"/>
  <c r="H144" i="15" s="1"/>
  <c r="AZ61" i="15"/>
  <c r="P144" i="15" s="1"/>
  <c r="AU80" i="15"/>
  <c r="K163" i="15" s="1"/>
  <c r="AO92" i="15"/>
  <c r="AW92" i="15"/>
  <c r="AL53" i="15"/>
  <c r="B136" i="15" s="1"/>
  <c r="BC53" i="15"/>
  <c r="S136" i="15" s="1"/>
  <c r="AL62" i="15"/>
  <c r="B145" i="15" s="1"/>
  <c r="BC62" i="15"/>
  <c r="S145" i="15" s="1"/>
  <c r="AL77" i="15"/>
  <c r="B160" i="15" s="1"/>
  <c r="BC77" i="15"/>
  <c r="S160" i="15" s="1"/>
  <c r="AL85" i="15"/>
  <c r="B168" i="15" s="1"/>
  <c r="BC85" i="15"/>
  <c r="S168" i="15" s="1"/>
  <c r="AL93" i="15"/>
  <c r="B176" i="15" s="1"/>
  <c r="BC93" i="15"/>
  <c r="S176" i="15" s="1"/>
  <c r="BQ69" i="15"/>
  <c r="AG152" i="15" s="1"/>
  <c r="BI69" i="15"/>
  <c r="Y152" i="15" s="1"/>
  <c r="BM78" i="15"/>
  <c r="AC161" i="15" s="1"/>
  <c r="BE78" i="15"/>
  <c r="U161" i="15" s="1"/>
  <c r="BL78" i="15"/>
  <c r="AB161" i="15" s="1"/>
  <c r="BD78" i="15"/>
  <c r="BK78" i="15"/>
  <c r="AA161" i="15" s="1"/>
  <c r="BR78" i="15"/>
  <c r="AH161" i="15" s="1"/>
  <c r="BJ78" i="15"/>
  <c r="Z161" i="15" s="1"/>
  <c r="BQ78" i="15"/>
  <c r="AG161" i="15" s="1"/>
  <c r="BI78" i="15"/>
  <c r="Y161" i="15" s="1"/>
  <c r="BP78" i="15"/>
  <c r="AF161" i="15" s="1"/>
  <c r="BH78" i="15"/>
  <c r="X161" i="15" s="1"/>
  <c r="BO78" i="15"/>
  <c r="AE161" i="15" s="1"/>
  <c r="BG78" i="15"/>
  <c r="W161" i="15" s="1"/>
  <c r="BO89" i="15"/>
  <c r="AE172" i="15" s="1"/>
  <c r="BG89" i="15"/>
  <c r="W172" i="15" s="1"/>
  <c r="BN89" i="15"/>
  <c r="AD172" i="15" s="1"/>
  <c r="BF89" i="15"/>
  <c r="V172" i="15" s="1"/>
  <c r="BM89" i="15"/>
  <c r="AC172" i="15" s="1"/>
  <c r="BE89" i="15"/>
  <c r="U172" i="15" s="1"/>
  <c r="BL89" i="15"/>
  <c r="AB172" i="15" s="1"/>
  <c r="BD89" i="15"/>
  <c r="BK89" i="15"/>
  <c r="AA172" i="15" s="1"/>
  <c r="BR89" i="15"/>
  <c r="AH172" i="15" s="1"/>
  <c r="BJ89" i="15"/>
  <c r="Z172" i="15" s="1"/>
  <c r="BQ89" i="15"/>
  <c r="AG172" i="15" s="1"/>
  <c r="BI89" i="15"/>
  <c r="Y172" i="15" s="1"/>
  <c r="BC54" i="15"/>
  <c r="S137" i="15" s="1"/>
  <c r="BC57" i="15"/>
  <c r="S140" i="15" s="1"/>
  <c r="BC68" i="15"/>
  <c r="S151" i="15" s="1"/>
  <c r="BC75" i="15"/>
  <c r="S158" i="15" s="1"/>
  <c r="BC83" i="15"/>
  <c r="S166" i="15" s="1"/>
  <c r="BC88" i="15"/>
  <c r="S171" i="15" s="1"/>
  <c r="BC51" i="15"/>
  <c r="S134" i="15" s="1"/>
  <c r="BC56" i="15"/>
  <c r="S139" i="15" s="1"/>
  <c r="BC59" i="15"/>
  <c r="S142" i="15" s="1"/>
  <c r="BC70" i="15"/>
  <c r="S153" i="15" s="1"/>
  <c r="BC90" i="15"/>
  <c r="S173" i="15" s="1"/>
  <c r="BC52" i="15"/>
  <c r="S135" i="15" s="1"/>
  <c r="BC60" i="15"/>
  <c r="S143" i="15" s="1"/>
  <c r="BC65" i="15"/>
  <c r="S148" i="15" s="1"/>
  <c r="BC71" i="15"/>
  <c r="S154" i="15" s="1"/>
  <c r="BC79" i="15"/>
  <c r="S162" i="15" s="1"/>
  <c r="BC84" i="15"/>
  <c r="S167" i="15" s="1"/>
  <c r="BC91" i="15"/>
  <c r="S174" i="15" s="1"/>
  <c r="BC61" i="15"/>
  <c r="S144" i="15" s="1"/>
  <c r="BC76" i="15"/>
  <c r="S159" i="15" s="1"/>
  <c r="BC80" i="15"/>
  <c r="S163" i="15" s="1"/>
  <c r="BC92" i="15"/>
  <c r="S175" i="15" s="1"/>
  <c r="BF49" i="15"/>
  <c r="V132" i="15" s="1"/>
  <c r="BN49" i="15"/>
  <c r="AD132" i="15" s="1"/>
  <c r="BG49" i="15"/>
  <c r="W132" i="15" s="1"/>
  <c r="BO49" i="15"/>
  <c r="AE132" i="15" s="1"/>
  <c r="BI49" i="15"/>
  <c r="Y132" i="15" s="1"/>
  <c r="BQ49" i="15"/>
  <c r="AG132" i="15" s="1"/>
  <c r="BD49" i="15"/>
  <c r="AS64" i="15"/>
  <c r="I147" i="15" s="1"/>
  <c r="BA64" i="15"/>
  <c r="Q147" i="15" s="1"/>
  <c r="AO67" i="15"/>
  <c r="AW67" i="15"/>
  <c r="M150" i="15" s="1"/>
  <c r="AO74" i="15"/>
  <c r="AW74" i="15"/>
  <c r="AS82" i="15"/>
  <c r="BA82" i="15"/>
  <c r="AS87" i="15"/>
  <c r="BA87" i="15"/>
  <c r="AT64" i="15"/>
  <c r="AP67" i="15"/>
  <c r="F150" i="15" s="1"/>
  <c r="AX67" i="15"/>
  <c r="N150" i="15" s="1"/>
  <c r="AP74" i="15"/>
  <c r="AX74" i="15"/>
  <c r="AT82" i="15"/>
  <c r="AT87" i="15"/>
  <c r="J170" i="15" s="1"/>
  <c r="AM82" i="15"/>
  <c r="AU82" i="15"/>
  <c r="AM87" i="15"/>
  <c r="AU87" i="15"/>
  <c r="AM64" i="15"/>
  <c r="C147" i="15" s="1"/>
  <c r="AU64" i="15"/>
  <c r="K147" i="15" s="1"/>
  <c r="AQ67" i="15"/>
  <c r="G150" i="15" s="1"/>
  <c r="AY67" i="15"/>
  <c r="O150" i="15" s="1"/>
  <c r="AQ74" i="15"/>
  <c r="AY74" i="15"/>
  <c r="AN64" i="15"/>
  <c r="D147" i="15" s="1"/>
  <c r="AV64" i="15"/>
  <c r="L147" i="15" s="1"/>
  <c r="AR67" i="15"/>
  <c r="AZ67" i="15"/>
  <c r="P150" i="15" s="1"/>
  <c r="AR74" i="15"/>
  <c r="AZ74" i="15"/>
  <c r="AN82" i="15"/>
  <c r="AV82" i="15"/>
  <c r="AN87" i="15"/>
  <c r="AV87" i="15"/>
  <c r="AO64" i="15"/>
  <c r="AW64" i="15"/>
  <c r="M147" i="15" s="1"/>
  <c r="AS67" i="15"/>
  <c r="I150" i="15" s="1"/>
  <c r="BA67" i="15"/>
  <c r="Q150" i="15" s="1"/>
  <c r="AS74" i="15"/>
  <c r="BA74" i="15"/>
  <c r="AO82" i="15"/>
  <c r="AW82" i="15"/>
  <c r="AO87" i="15"/>
  <c r="AW87" i="15"/>
  <c r="M170" i="15" s="1"/>
  <c r="AP64" i="15"/>
  <c r="AX64" i="15"/>
  <c r="N147" i="15" s="1"/>
  <c r="AT67" i="15"/>
  <c r="J150" i="15" s="1"/>
  <c r="AT74" i="15"/>
  <c r="AP82" i="15"/>
  <c r="AX82" i="15"/>
  <c r="AP87" i="15"/>
  <c r="AX87" i="15"/>
  <c r="AQ64" i="15"/>
  <c r="G147" i="15" s="1"/>
  <c r="AM67" i="15"/>
  <c r="C150" i="15" s="1"/>
  <c r="AM74" i="15"/>
  <c r="AQ82" i="15"/>
  <c r="AQ87" i="15"/>
  <c r="P139" i="15"/>
  <c r="M142" i="15"/>
  <c r="F134" i="15"/>
  <c r="K143" i="15"/>
  <c r="O135" i="15"/>
  <c r="J137" i="15"/>
  <c r="M140" i="15"/>
  <c r="J144" i="15"/>
  <c r="J151" i="15"/>
  <c r="K151" i="15"/>
  <c r="N153" i="15"/>
  <c r="P137" i="15"/>
  <c r="J134" i="15"/>
  <c r="O147" i="15"/>
  <c r="K150" i="15"/>
  <c r="D188" i="15"/>
  <c r="T172" i="15" l="1"/>
  <c r="T161" i="15"/>
  <c r="T164" i="15"/>
  <c r="T138" i="15"/>
  <c r="T141" i="15"/>
  <c r="T169" i="15"/>
  <c r="T133" i="15"/>
  <c r="T146" i="15"/>
  <c r="T152" i="15"/>
  <c r="T132" i="15"/>
  <c r="B132" i="15"/>
  <c r="BA69" i="15"/>
  <c r="Q152" i="15" s="1"/>
  <c r="B152" i="15"/>
  <c r="BG87" i="15"/>
  <c r="W170" i="15" s="1"/>
  <c r="S170" i="15"/>
  <c r="BQ74" i="15"/>
  <c r="AH74" i="15" s="1"/>
  <c r="AO89" i="15"/>
  <c r="W89" i="15" s="1"/>
  <c r="B172" i="15"/>
  <c r="BH67" i="15"/>
  <c r="X150" i="15" s="1"/>
  <c r="S150" i="15"/>
  <c r="BE82" i="15"/>
  <c r="U165" i="15" s="1"/>
  <c r="S165" i="15"/>
  <c r="AS55" i="15"/>
  <c r="I138" i="15" s="1"/>
  <c r="B138" i="15"/>
  <c r="BG64" i="15"/>
  <c r="W147" i="15" s="1"/>
  <c r="S147" i="15"/>
  <c r="BN64" i="15"/>
  <c r="AD147" i="15" s="1"/>
  <c r="AS69" i="15"/>
  <c r="I152" i="15" s="1"/>
  <c r="AN69" i="15"/>
  <c r="D152" i="15" s="1"/>
  <c r="BH74" i="15"/>
  <c r="Y74" i="15" s="1"/>
  <c r="BP74" i="15"/>
  <c r="AG74" i="15" s="1"/>
  <c r="BO74" i="15"/>
  <c r="BA89" i="15"/>
  <c r="AI89" i="15" s="1"/>
  <c r="AP89" i="15"/>
  <c r="X89" i="15" s="1"/>
  <c r="BQ64" i="15"/>
  <c r="AG147" i="15" s="1"/>
  <c r="BQ82" i="15"/>
  <c r="AG165" i="15" s="1"/>
  <c r="BE87" i="15"/>
  <c r="U170" i="15" s="1"/>
  <c r="AX89" i="15"/>
  <c r="AF89" i="15" s="1"/>
  <c r="AS89" i="15"/>
  <c r="AA89" i="15" s="1"/>
  <c r="BH82" i="15"/>
  <c r="X165" i="15" s="1"/>
  <c r="BK82" i="15"/>
  <c r="AA165" i="15" s="1"/>
  <c r="BQ87" i="15"/>
  <c r="AG170" i="15" s="1"/>
  <c r="BM82" i="15"/>
  <c r="AC165" i="15" s="1"/>
  <c r="AW69" i="15"/>
  <c r="M152" i="15" s="1"/>
  <c r="AT69" i="15"/>
  <c r="AT89" i="15"/>
  <c r="AO69" i="15"/>
  <c r="BI82" i="15"/>
  <c r="Y165" i="15" s="1"/>
  <c r="BL82" i="15"/>
  <c r="AB165" i="15" s="1"/>
  <c r="AM89" i="15"/>
  <c r="U89" i="15" s="1"/>
  <c r="AX69" i="15"/>
  <c r="N152" i="15" s="1"/>
  <c r="AQ69" i="15"/>
  <c r="AP69" i="15"/>
  <c r="F152" i="15" s="1"/>
  <c r="AZ89" i="15"/>
  <c r="AH89" i="15" s="1"/>
  <c r="AY89" i="15"/>
  <c r="AG89" i="15" s="1"/>
  <c r="AW89" i="15"/>
  <c r="M172" i="15" s="1"/>
  <c r="BD82" i="15"/>
  <c r="BR82" i="15"/>
  <c r="AH165" i="15" s="1"/>
  <c r="BO82" i="15"/>
  <c r="AE165" i="15" s="1"/>
  <c r="BN82" i="15"/>
  <c r="AD165" i="15" s="1"/>
  <c r="AR89" i="15"/>
  <c r="AQ89" i="15"/>
  <c r="Y89" i="15" s="1"/>
  <c r="BJ82" i="15"/>
  <c r="Z165" i="15" s="1"/>
  <c r="BP82" i="15"/>
  <c r="AF165" i="15" s="1"/>
  <c r="BG82" i="15"/>
  <c r="W165" i="15" s="1"/>
  <c r="BF82" i="15"/>
  <c r="V165" i="15" s="1"/>
  <c r="AV69" i="15"/>
  <c r="AU69" i="15"/>
  <c r="AU55" i="15"/>
  <c r="AC55" i="15" s="1"/>
  <c r="BD64" i="15"/>
  <c r="BK64" i="15"/>
  <c r="AA147" i="15" s="1"/>
  <c r="BP87" i="15"/>
  <c r="AF170" i="15" s="1"/>
  <c r="BP64" i="15"/>
  <c r="AF147" i="15" s="1"/>
  <c r="BF87" i="15"/>
  <c r="V170" i="15" s="1"/>
  <c r="BL87" i="15"/>
  <c r="AB170" i="15" s="1"/>
  <c r="BI87" i="15"/>
  <c r="Y170" i="15" s="1"/>
  <c r="BI64" i="15"/>
  <c r="Y147" i="15" s="1"/>
  <c r="BM87" i="15"/>
  <c r="AC170" i="15" s="1"/>
  <c r="BK87" i="15"/>
  <c r="AA170" i="15" s="1"/>
  <c r="BR87" i="15"/>
  <c r="AH170" i="15" s="1"/>
  <c r="BR64" i="15"/>
  <c r="AI64" i="15" s="1"/>
  <c r="BH87" i="15"/>
  <c r="X170" i="15" s="1"/>
  <c r="BH64" i="15"/>
  <c r="X147" i="15" s="1"/>
  <c r="BN87" i="15"/>
  <c r="AE87" i="15" s="1"/>
  <c r="BF64" i="15"/>
  <c r="V147" i="15" s="1"/>
  <c r="J147" i="15"/>
  <c r="BD87" i="15"/>
  <c r="BJ87" i="15"/>
  <c r="Z170" i="15" s="1"/>
  <c r="BJ64" i="15"/>
  <c r="Z147" i="15" s="1"/>
  <c r="BO64" i="15"/>
  <c r="BO87" i="15"/>
  <c r="AE170" i="15" s="1"/>
  <c r="AZ55" i="15"/>
  <c r="AH55" i="15" s="1"/>
  <c r="AM55" i="15"/>
  <c r="AT55" i="15"/>
  <c r="J138" i="15" s="1"/>
  <c r="AR55" i="15"/>
  <c r="AX55" i="15"/>
  <c r="N138" i="15" s="1"/>
  <c r="F147" i="15"/>
  <c r="AY55" i="15"/>
  <c r="AG55" i="15" s="1"/>
  <c r="AP55" i="15"/>
  <c r="F138" i="15" s="1"/>
  <c r="AQ55" i="15"/>
  <c r="G138" i="15" s="1"/>
  <c r="AN55" i="15"/>
  <c r="D138" i="15" s="1"/>
  <c r="BA55" i="15"/>
  <c r="Q138" i="15" s="1"/>
  <c r="U138" i="15"/>
  <c r="E147" i="15"/>
  <c r="AV55" i="15"/>
  <c r="AW55" i="15"/>
  <c r="AO55" i="15"/>
  <c r="AV50" i="15"/>
  <c r="AN50" i="15"/>
  <c r="AU50" i="15"/>
  <c r="AM50" i="15"/>
  <c r="BA50" i="15"/>
  <c r="AR50" i="15"/>
  <c r="AT50" i="15"/>
  <c r="AS50" i="15"/>
  <c r="AZ50" i="15"/>
  <c r="AQ50" i="15"/>
  <c r="AX50" i="15"/>
  <c r="AP50" i="15"/>
  <c r="AW50" i="15"/>
  <c r="AO50" i="15"/>
  <c r="AY50" i="15"/>
  <c r="U69" i="15"/>
  <c r="AU89" i="15"/>
  <c r="AC89" i="15" s="1"/>
  <c r="AN89" i="15"/>
  <c r="V89" i="15" s="1"/>
  <c r="AV89" i="15"/>
  <c r="AD89" i="15" s="1"/>
  <c r="AY69" i="15"/>
  <c r="AZ69" i="15"/>
  <c r="P152" i="15" s="1"/>
  <c r="AR69" i="15"/>
  <c r="BP66" i="15"/>
  <c r="BH66" i="15"/>
  <c r="BO66" i="15"/>
  <c r="BG66" i="15"/>
  <c r="BN66" i="15"/>
  <c r="BF66" i="15"/>
  <c r="BM66" i="15"/>
  <c r="BE66" i="15"/>
  <c r="BL66" i="15"/>
  <c r="BD66" i="15"/>
  <c r="BI66" i="15"/>
  <c r="BK66" i="15"/>
  <c r="BQ66" i="15"/>
  <c r="BR66" i="15"/>
  <c r="BJ66" i="15"/>
  <c r="AW63" i="15"/>
  <c r="AO63" i="15"/>
  <c r="AV63" i="15"/>
  <c r="L146" i="15" s="1"/>
  <c r="AN63" i="15"/>
  <c r="AU63" i="15"/>
  <c r="AM63" i="15"/>
  <c r="AT63" i="15"/>
  <c r="BA63" i="15"/>
  <c r="AS63" i="15"/>
  <c r="AX63" i="15"/>
  <c r="AZ63" i="15"/>
  <c r="AR63" i="15"/>
  <c r="H146" i="15" s="1"/>
  <c r="AY63" i="15"/>
  <c r="AQ63" i="15"/>
  <c r="AP63" i="15"/>
  <c r="BL72" i="15"/>
  <c r="BD72" i="15"/>
  <c r="BK72" i="15"/>
  <c r="BR72" i="15"/>
  <c r="AI72" i="15" s="1"/>
  <c r="BJ72" i="15"/>
  <c r="BQ72" i="15"/>
  <c r="AH72" i="15" s="1"/>
  <c r="BI72" i="15"/>
  <c r="Y155" i="15" s="1"/>
  <c r="BP72" i="15"/>
  <c r="AG72" i="15" s="1"/>
  <c r="BH72" i="15"/>
  <c r="Y72" i="15" s="1"/>
  <c r="BE72" i="15"/>
  <c r="V72" i="15" s="1"/>
  <c r="BO72" i="15"/>
  <c r="AF72" i="15" s="1"/>
  <c r="BG72" i="15"/>
  <c r="X72" i="15" s="1"/>
  <c r="BM72" i="15"/>
  <c r="BN72" i="15"/>
  <c r="AE72" i="15" s="1"/>
  <c r="BF72" i="15"/>
  <c r="W72" i="15" s="1"/>
  <c r="AW86" i="15"/>
  <c r="AO86" i="15"/>
  <c r="AV86" i="15"/>
  <c r="AN86" i="15"/>
  <c r="AU86" i="15"/>
  <c r="AM86" i="15"/>
  <c r="AT86" i="15"/>
  <c r="BA86" i="15"/>
  <c r="AS86" i="15"/>
  <c r="AX86" i="15"/>
  <c r="AP86" i="15"/>
  <c r="AZ86" i="15"/>
  <c r="AR86" i="15"/>
  <c r="AY86" i="15"/>
  <c r="AQ86" i="15"/>
  <c r="BG74" i="15"/>
  <c r="BL74" i="15"/>
  <c r="BK74" i="15"/>
  <c r="AA157" i="15" s="1"/>
  <c r="AU81" i="15"/>
  <c r="AC81" i="15" s="1"/>
  <c r="AM81" i="15"/>
  <c r="U81" i="15" s="1"/>
  <c r="AT81" i="15"/>
  <c r="AB81" i="15" s="1"/>
  <c r="BA81" i="15"/>
  <c r="AI81" i="15" s="1"/>
  <c r="AS81" i="15"/>
  <c r="AA81" i="15" s="1"/>
  <c r="AZ81" i="15"/>
  <c r="AH81" i="15" s="1"/>
  <c r="AR81" i="15"/>
  <c r="Z81" i="15" s="1"/>
  <c r="AV81" i="15"/>
  <c r="AD81" i="15" s="1"/>
  <c r="AN81" i="15"/>
  <c r="V81" i="15" s="1"/>
  <c r="AY81" i="15"/>
  <c r="AG81" i="15" s="1"/>
  <c r="AQ81" i="15"/>
  <c r="Y81" i="15" s="1"/>
  <c r="AX81" i="15"/>
  <c r="AF81" i="15" s="1"/>
  <c r="AP81" i="15"/>
  <c r="X81" i="15" s="1"/>
  <c r="AW81" i="15"/>
  <c r="AE81" i="15" s="1"/>
  <c r="AO81" i="15"/>
  <c r="W81" i="15" s="1"/>
  <c r="BD74" i="15"/>
  <c r="BR74" i="15"/>
  <c r="BN74" i="15"/>
  <c r="BM74" i="15"/>
  <c r="BJ74" i="15"/>
  <c r="Z157" i="15" s="1"/>
  <c r="BP94" i="15"/>
  <c r="BH94" i="15"/>
  <c r="BO94" i="15"/>
  <c r="BG94" i="15"/>
  <c r="BN94" i="15"/>
  <c r="BF94" i="15"/>
  <c r="V177" i="15" s="1"/>
  <c r="BM94" i="15"/>
  <c r="BE94" i="15"/>
  <c r="U177" i="15" s="1"/>
  <c r="BL94" i="15"/>
  <c r="BD94" i="15"/>
  <c r="BQ94" i="15"/>
  <c r="BK94" i="15"/>
  <c r="BR94" i="15"/>
  <c r="AH177" i="15" s="1"/>
  <c r="BJ94" i="15"/>
  <c r="BI94" i="15"/>
  <c r="BF74" i="15"/>
  <c r="BE74" i="15"/>
  <c r="BI74" i="15"/>
  <c r="Y157" i="15" s="1"/>
  <c r="AT58" i="15"/>
  <c r="BA58" i="15"/>
  <c r="AS58" i="15"/>
  <c r="AU58" i="15"/>
  <c r="AZ58" i="15"/>
  <c r="AR58" i="15"/>
  <c r="AY58" i="15"/>
  <c r="AQ58" i="15"/>
  <c r="AX58" i="15"/>
  <c r="AP58" i="15"/>
  <c r="AW58" i="15"/>
  <c r="AO58" i="15"/>
  <c r="AM58" i="15"/>
  <c r="AV58" i="15"/>
  <c r="AN58" i="15"/>
  <c r="BP67" i="15"/>
  <c r="BQ67" i="15"/>
  <c r="BI67" i="15"/>
  <c r="Y150" i="15" s="1"/>
  <c r="BN67" i="15"/>
  <c r="BR67" i="15"/>
  <c r="AH150" i="15" s="1"/>
  <c r="BF67" i="15"/>
  <c r="V150" i="15" s="1"/>
  <c r="BJ67" i="15"/>
  <c r="Z150" i="15" s="1"/>
  <c r="E150" i="15"/>
  <c r="BO67" i="15"/>
  <c r="AE150" i="15" s="1"/>
  <c r="BM67" i="15"/>
  <c r="AW78" i="15"/>
  <c r="AE78" i="15" s="1"/>
  <c r="AO78" i="15"/>
  <c r="W78" i="15" s="1"/>
  <c r="AV78" i="15"/>
  <c r="AD78" i="15" s="1"/>
  <c r="AN78" i="15"/>
  <c r="V78" i="15" s="1"/>
  <c r="AU78" i="15"/>
  <c r="AC78" i="15" s="1"/>
  <c r="AM78" i="15"/>
  <c r="U78" i="15" s="1"/>
  <c r="AT78" i="15"/>
  <c r="AB78" i="15" s="1"/>
  <c r="BA78" i="15"/>
  <c r="AI78" i="15" s="1"/>
  <c r="AS78" i="15"/>
  <c r="AA78" i="15" s="1"/>
  <c r="AX78" i="15"/>
  <c r="AF78" i="15" s="1"/>
  <c r="AP78" i="15"/>
  <c r="X78" i="15" s="1"/>
  <c r="AZ78" i="15"/>
  <c r="AH78" i="15" s="1"/>
  <c r="AR78" i="15"/>
  <c r="Z78" i="15" s="1"/>
  <c r="AY78" i="15"/>
  <c r="AG78" i="15" s="1"/>
  <c r="AQ78" i="15"/>
  <c r="Y78" i="15" s="1"/>
  <c r="BG67" i="15"/>
  <c r="BE67" i="15"/>
  <c r="BL67" i="15"/>
  <c r="BD67" i="15"/>
  <c r="AV49" i="15"/>
  <c r="AN49" i="15"/>
  <c r="AU49" i="15"/>
  <c r="AT49" i="15"/>
  <c r="AO49" i="15"/>
  <c r="AW49" i="15"/>
  <c r="BA49" i="15"/>
  <c r="AS49" i="15"/>
  <c r="AZ49" i="15"/>
  <c r="AR49" i="15"/>
  <c r="AY49" i="15"/>
  <c r="AQ49" i="15"/>
  <c r="AX49" i="15"/>
  <c r="AP49" i="15"/>
  <c r="BL64" i="15"/>
  <c r="BM64" i="15"/>
  <c r="AC147" i="15" s="1"/>
  <c r="BE64" i="15"/>
  <c r="BK67" i="15"/>
  <c r="AA150" i="15" s="1"/>
  <c r="BN88" i="15"/>
  <c r="BF88" i="15"/>
  <c r="BM88" i="15"/>
  <c r="BE88" i="15"/>
  <c r="BL88" i="15"/>
  <c r="BD88" i="15"/>
  <c r="BK88" i="15"/>
  <c r="BR88" i="15"/>
  <c r="BJ88" i="15"/>
  <c r="BQ88" i="15"/>
  <c r="BI88" i="15"/>
  <c r="BP88" i="15"/>
  <c r="BH88" i="15"/>
  <c r="BO88" i="15"/>
  <c r="BG88" i="15"/>
  <c r="BK54" i="15"/>
  <c r="BR54" i="15"/>
  <c r="BJ54" i="15"/>
  <c r="BQ54" i="15"/>
  <c r="BI54" i="15"/>
  <c r="BP54" i="15"/>
  <c r="BH54" i="15"/>
  <c r="BO54" i="15"/>
  <c r="BG54" i="15"/>
  <c r="BN54" i="15"/>
  <c r="BF54" i="15"/>
  <c r="BM54" i="15"/>
  <c r="BE54" i="15"/>
  <c r="BD54" i="15"/>
  <c r="BL54" i="15"/>
  <c r="AT77" i="15"/>
  <c r="BA77" i="15"/>
  <c r="AS77" i="15"/>
  <c r="AZ77" i="15"/>
  <c r="AR77" i="15"/>
  <c r="AY77" i="15"/>
  <c r="AQ77" i="15"/>
  <c r="AX77" i="15"/>
  <c r="AP77" i="15"/>
  <c r="AW77" i="15"/>
  <c r="AO77" i="15"/>
  <c r="AV77" i="15"/>
  <c r="AN77" i="15"/>
  <c r="AU77" i="15"/>
  <c r="AM77" i="15"/>
  <c r="AU62" i="15"/>
  <c r="AM62" i="15"/>
  <c r="AT62" i="15"/>
  <c r="BA62" i="15"/>
  <c r="AS62" i="15"/>
  <c r="AV62" i="15"/>
  <c r="AZ62" i="15"/>
  <c r="AR62" i="15"/>
  <c r="AN62" i="15"/>
  <c r="AY62" i="15"/>
  <c r="AQ62" i="15"/>
  <c r="AX62" i="15"/>
  <c r="AP62" i="15"/>
  <c r="AW62" i="15"/>
  <c r="AO62" i="15"/>
  <c r="BP80" i="15"/>
  <c r="BH80" i="15"/>
  <c r="BO80" i="15"/>
  <c r="BG80" i="15"/>
  <c r="BN80" i="15"/>
  <c r="BF80" i="15"/>
  <c r="BM80" i="15"/>
  <c r="BE80" i="15"/>
  <c r="BL80" i="15"/>
  <c r="BD80" i="15"/>
  <c r="BK80" i="15"/>
  <c r="BR80" i="15"/>
  <c r="BJ80" i="15"/>
  <c r="BI80" i="15"/>
  <c r="BQ80" i="15"/>
  <c r="BK60" i="15"/>
  <c r="BR60" i="15"/>
  <c r="BJ60" i="15"/>
  <c r="BQ60" i="15"/>
  <c r="BI60" i="15"/>
  <c r="BP60" i="15"/>
  <c r="BH60" i="15"/>
  <c r="BO60" i="15"/>
  <c r="BG60" i="15"/>
  <c r="BN60" i="15"/>
  <c r="BF60" i="15"/>
  <c r="BM60" i="15"/>
  <c r="BE60" i="15"/>
  <c r="BL60" i="15"/>
  <c r="BD60" i="15"/>
  <c r="BR70" i="15"/>
  <c r="BJ70" i="15"/>
  <c r="BQ70" i="15"/>
  <c r="BH70" i="15"/>
  <c r="BP70" i="15"/>
  <c r="BG70" i="15"/>
  <c r="BO70" i="15"/>
  <c r="BF70" i="15"/>
  <c r="BN70" i="15"/>
  <c r="BE70" i="15"/>
  <c r="BM70" i="15"/>
  <c r="BD70" i="15"/>
  <c r="BL70" i="15"/>
  <c r="BK70" i="15"/>
  <c r="BI70" i="15"/>
  <c r="BQ83" i="15"/>
  <c r="BI83" i="15"/>
  <c r="BP83" i="15"/>
  <c r="BH83" i="15"/>
  <c r="BO83" i="15"/>
  <c r="BG83" i="15"/>
  <c r="BN83" i="15"/>
  <c r="BF83" i="15"/>
  <c r="BM83" i="15"/>
  <c r="BE83" i="15"/>
  <c r="BL83" i="15"/>
  <c r="BD83" i="15"/>
  <c r="BK83" i="15"/>
  <c r="BR83" i="15"/>
  <c r="BJ83" i="15"/>
  <c r="BK93" i="15"/>
  <c r="AA176" i="15" s="1"/>
  <c r="BR93" i="15"/>
  <c r="AH176" i="15" s="1"/>
  <c r="BJ93" i="15"/>
  <c r="Z176" i="15" s="1"/>
  <c r="BQ93" i="15"/>
  <c r="AG176" i="15" s="1"/>
  <c r="BI93" i="15"/>
  <c r="Y176" i="15" s="1"/>
  <c r="BP93" i="15"/>
  <c r="AF176" i="15" s="1"/>
  <c r="BH93" i="15"/>
  <c r="X176" i="15" s="1"/>
  <c r="BO93" i="15"/>
  <c r="AE176" i="15" s="1"/>
  <c r="BG93" i="15"/>
  <c r="W176" i="15" s="1"/>
  <c r="BN93" i="15"/>
  <c r="AD176" i="15" s="1"/>
  <c r="BF93" i="15"/>
  <c r="V176" i="15" s="1"/>
  <c r="BM93" i="15"/>
  <c r="AC176" i="15" s="1"/>
  <c r="BE93" i="15"/>
  <c r="U176" i="15" s="1"/>
  <c r="BL93" i="15"/>
  <c r="AB176" i="15" s="1"/>
  <c r="BD93" i="15"/>
  <c r="BO76" i="15"/>
  <c r="BG76" i="15"/>
  <c r="BN76" i="15"/>
  <c r="BF76" i="15"/>
  <c r="BM76" i="15"/>
  <c r="BE76" i="15"/>
  <c r="BL76" i="15"/>
  <c r="BD76" i="15"/>
  <c r="BK76" i="15"/>
  <c r="BR76" i="15"/>
  <c r="BJ76" i="15"/>
  <c r="BQ76" i="15"/>
  <c r="BI76" i="15"/>
  <c r="BP76" i="15"/>
  <c r="BH76" i="15"/>
  <c r="BQ91" i="15"/>
  <c r="BI91" i="15"/>
  <c r="BP91" i="15"/>
  <c r="BH91" i="15"/>
  <c r="BO91" i="15"/>
  <c r="BG91" i="15"/>
  <c r="BN91" i="15"/>
  <c r="BF91" i="15"/>
  <c r="BM91" i="15"/>
  <c r="BE91" i="15"/>
  <c r="BL91" i="15"/>
  <c r="BD91" i="15"/>
  <c r="BK91" i="15"/>
  <c r="BR91" i="15"/>
  <c r="BJ91" i="15"/>
  <c r="AW93" i="15"/>
  <c r="AO93" i="15"/>
  <c r="AV93" i="15"/>
  <c r="AN93" i="15"/>
  <c r="AU93" i="15"/>
  <c r="AM93" i="15"/>
  <c r="AT93" i="15"/>
  <c r="BA93" i="15"/>
  <c r="AS93" i="15"/>
  <c r="AZ93" i="15"/>
  <c r="AR93" i="15"/>
  <c r="AY93" i="15"/>
  <c r="AQ93" i="15"/>
  <c r="AX93" i="15"/>
  <c r="AP93" i="15"/>
  <c r="BL84" i="15"/>
  <c r="BD84" i="15"/>
  <c r="BK84" i="15"/>
  <c r="BR84" i="15"/>
  <c r="BJ84" i="15"/>
  <c r="BQ84" i="15"/>
  <c r="BI84" i="15"/>
  <c r="BP84" i="15"/>
  <c r="BH84" i="15"/>
  <c r="BO84" i="15"/>
  <c r="BG84" i="15"/>
  <c r="BN84" i="15"/>
  <c r="BF84" i="15"/>
  <c r="BM84" i="15"/>
  <c r="BE84" i="15"/>
  <c r="BQ52" i="15"/>
  <c r="BI52" i="15"/>
  <c r="BP52" i="15"/>
  <c r="BH52" i="15"/>
  <c r="BO52" i="15"/>
  <c r="BG52" i="15"/>
  <c r="BN52" i="15"/>
  <c r="BF52" i="15"/>
  <c r="BM52" i="15"/>
  <c r="BE52" i="15"/>
  <c r="BL52" i="15"/>
  <c r="BD52" i="15"/>
  <c r="BK52" i="15"/>
  <c r="BR52" i="15"/>
  <c r="BJ52" i="15"/>
  <c r="BK75" i="15"/>
  <c r="BR75" i="15"/>
  <c r="BJ75" i="15"/>
  <c r="BQ75" i="15"/>
  <c r="BI75" i="15"/>
  <c r="BP75" i="15"/>
  <c r="BH75" i="15"/>
  <c r="BO75" i="15"/>
  <c r="BG75" i="15"/>
  <c r="BN75" i="15"/>
  <c r="BF75" i="15"/>
  <c r="BM75" i="15"/>
  <c r="BE75" i="15"/>
  <c r="BL75" i="15"/>
  <c r="BD75" i="15"/>
  <c r="BN85" i="15"/>
  <c r="AD168" i="15" s="1"/>
  <c r="BF85" i="15"/>
  <c r="V168" i="15" s="1"/>
  <c r="BM85" i="15"/>
  <c r="AC168" i="15" s="1"/>
  <c r="BE85" i="15"/>
  <c r="U168" i="15" s="1"/>
  <c r="BL85" i="15"/>
  <c r="AB168" i="15" s="1"/>
  <c r="BD85" i="15"/>
  <c r="BK85" i="15"/>
  <c r="AA168" i="15" s="1"/>
  <c r="BR85" i="15"/>
  <c r="AH168" i="15" s="1"/>
  <c r="BJ85" i="15"/>
  <c r="Z168" i="15" s="1"/>
  <c r="BQ85" i="15"/>
  <c r="AG168" i="15" s="1"/>
  <c r="BI85" i="15"/>
  <c r="Y168" i="15" s="1"/>
  <c r="BP85" i="15"/>
  <c r="AF168" i="15" s="1"/>
  <c r="BH85" i="15"/>
  <c r="X168" i="15" s="1"/>
  <c r="BO85" i="15"/>
  <c r="AE168" i="15" s="1"/>
  <c r="BG85" i="15"/>
  <c r="W168" i="15" s="1"/>
  <c r="BK53" i="15"/>
  <c r="AA136" i="15" s="1"/>
  <c r="BR53" i="15"/>
  <c r="AH136" i="15" s="1"/>
  <c r="BJ53" i="15"/>
  <c r="Z136" i="15" s="1"/>
  <c r="BQ53" i="15"/>
  <c r="AG136" i="15" s="1"/>
  <c r="BI53" i="15"/>
  <c r="Y136" i="15" s="1"/>
  <c r="BP53" i="15"/>
  <c r="AF136" i="15" s="1"/>
  <c r="BH53" i="15"/>
  <c r="X136" i="15" s="1"/>
  <c r="BO53" i="15"/>
  <c r="AE136" i="15" s="1"/>
  <c r="BG53" i="15"/>
  <c r="W136" i="15" s="1"/>
  <c r="BN53" i="15"/>
  <c r="AD136" i="15" s="1"/>
  <c r="BF53" i="15"/>
  <c r="V136" i="15" s="1"/>
  <c r="BM53" i="15"/>
  <c r="AC136" i="15" s="1"/>
  <c r="BE53" i="15"/>
  <c r="U136" i="15" s="1"/>
  <c r="BL53" i="15"/>
  <c r="AB136" i="15" s="1"/>
  <c r="BD53" i="15"/>
  <c r="BO79" i="15"/>
  <c r="BG79" i="15"/>
  <c r="BN79" i="15"/>
  <c r="BF79" i="15"/>
  <c r="BM79" i="15"/>
  <c r="BE79" i="15"/>
  <c r="BL79" i="15"/>
  <c r="BD79" i="15"/>
  <c r="BK79" i="15"/>
  <c r="BR79" i="15"/>
  <c r="BJ79" i="15"/>
  <c r="BQ79" i="15"/>
  <c r="BI79" i="15"/>
  <c r="BP79" i="15"/>
  <c r="BH79" i="15"/>
  <c r="BR59" i="15"/>
  <c r="BJ59" i="15"/>
  <c r="BQ59" i="15"/>
  <c r="BI59" i="15"/>
  <c r="BP59" i="15"/>
  <c r="BH59" i="15"/>
  <c r="BO59" i="15"/>
  <c r="BG59" i="15"/>
  <c r="BN59" i="15"/>
  <c r="BF59" i="15"/>
  <c r="BM59" i="15"/>
  <c r="BE59" i="15"/>
  <c r="BL59" i="15"/>
  <c r="BD59" i="15"/>
  <c r="BK59" i="15"/>
  <c r="BP68" i="15"/>
  <c r="BK68" i="15"/>
  <c r="BJ68" i="15"/>
  <c r="BR68" i="15"/>
  <c r="BI68" i="15"/>
  <c r="BQ68" i="15"/>
  <c r="BH68" i="15"/>
  <c r="BO68" i="15"/>
  <c r="BG68" i="15"/>
  <c r="BN68" i="15"/>
  <c r="BF68" i="15"/>
  <c r="BM68" i="15"/>
  <c r="BE68" i="15"/>
  <c r="BL68" i="15"/>
  <c r="BD68" i="15"/>
  <c r="AZ85" i="15"/>
  <c r="AR85" i="15"/>
  <c r="AY85" i="15"/>
  <c r="AQ85" i="15"/>
  <c r="AX85" i="15"/>
  <c r="AP85" i="15"/>
  <c r="AW85" i="15"/>
  <c r="AO85" i="15"/>
  <c r="AV85" i="15"/>
  <c r="AN85" i="15"/>
  <c r="AU85" i="15"/>
  <c r="AM85" i="15"/>
  <c r="AT85" i="15"/>
  <c r="AS85" i="15"/>
  <c r="BA85" i="15"/>
  <c r="AU53" i="15"/>
  <c r="AM53" i="15"/>
  <c r="AT53" i="15"/>
  <c r="BA53" i="15"/>
  <c r="AS53" i="15"/>
  <c r="AZ53" i="15"/>
  <c r="AR53" i="15"/>
  <c r="AY53" i="15"/>
  <c r="AQ53" i="15"/>
  <c r="AX53" i="15"/>
  <c r="AP53" i="15"/>
  <c r="AW53" i="15"/>
  <c r="AO53" i="15"/>
  <c r="AV53" i="15"/>
  <c r="AN53" i="15"/>
  <c r="BP90" i="15"/>
  <c r="BH90" i="15"/>
  <c r="BO90" i="15"/>
  <c r="BG90" i="15"/>
  <c r="BN90" i="15"/>
  <c r="BF90" i="15"/>
  <c r="BM90" i="15"/>
  <c r="BE90" i="15"/>
  <c r="BL90" i="15"/>
  <c r="BD90" i="15"/>
  <c r="BK90" i="15"/>
  <c r="BR90" i="15"/>
  <c r="BJ90" i="15"/>
  <c r="BQ90" i="15"/>
  <c r="BI90" i="15"/>
  <c r="BM56" i="15"/>
  <c r="BE56" i="15"/>
  <c r="BL56" i="15"/>
  <c r="BD56" i="15"/>
  <c r="BK56" i="15"/>
  <c r="BR56" i="15"/>
  <c r="BJ56" i="15"/>
  <c r="BQ56" i="15"/>
  <c r="BI56" i="15"/>
  <c r="BP56" i="15"/>
  <c r="BH56" i="15"/>
  <c r="BO56" i="15"/>
  <c r="BG56" i="15"/>
  <c r="BN56" i="15"/>
  <c r="BF56" i="15"/>
  <c r="BL61" i="15"/>
  <c r="BD61" i="15"/>
  <c r="BK61" i="15"/>
  <c r="BR61" i="15"/>
  <c r="BJ61" i="15"/>
  <c r="BQ61" i="15"/>
  <c r="BI61" i="15"/>
  <c r="BP61" i="15"/>
  <c r="BH61" i="15"/>
  <c r="BO61" i="15"/>
  <c r="BG61" i="15"/>
  <c r="BN61" i="15"/>
  <c r="BF61" i="15"/>
  <c r="BM61" i="15"/>
  <c r="BE61" i="15"/>
  <c r="BK71" i="15"/>
  <c r="BL71" i="15"/>
  <c r="BJ71" i="15"/>
  <c r="BR71" i="15"/>
  <c r="BI71" i="15"/>
  <c r="BQ71" i="15"/>
  <c r="BH71" i="15"/>
  <c r="BP71" i="15"/>
  <c r="BG71" i="15"/>
  <c r="BO71" i="15"/>
  <c r="BF71" i="15"/>
  <c r="BN71" i="15"/>
  <c r="BE71" i="15"/>
  <c r="BM71" i="15"/>
  <c r="BD71" i="15"/>
  <c r="BP51" i="15"/>
  <c r="BH51" i="15"/>
  <c r="BO51" i="15"/>
  <c r="BG51" i="15"/>
  <c r="BN51" i="15"/>
  <c r="BF51" i="15"/>
  <c r="BM51" i="15"/>
  <c r="BE51" i="15"/>
  <c r="BL51" i="15"/>
  <c r="BD51" i="15"/>
  <c r="BK51" i="15"/>
  <c r="BR51" i="15"/>
  <c r="BJ51" i="15"/>
  <c r="BI51" i="15"/>
  <c r="BQ51" i="15"/>
  <c r="BR92" i="15"/>
  <c r="BJ92" i="15"/>
  <c r="BQ92" i="15"/>
  <c r="BI92" i="15"/>
  <c r="BP92" i="15"/>
  <c r="BH92" i="15"/>
  <c r="BO92" i="15"/>
  <c r="BG92" i="15"/>
  <c r="BN92" i="15"/>
  <c r="BF92" i="15"/>
  <c r="BM92" i="15"/>
  <c r="BE92" i="15"/>
  <c r="BL92" i="15"/>
  <c r="BD92" i="15"/>
  <c r="BK92" i="15"/>
  <c r="BR65" i="15"/>
  <c r="BJ65" i="15"/>
  <c r="BQ65" i="15"/>
  <c r="BI65" i="15"/>
  <c r="BP65" i="15"/>
  <c r="BH65" i="15"/>
  <c r="BO65" i="15"/>
  <c r="BG65" i="15"/>
  <c r="BN65" i="15"/>
  <c r="BF65" i="15"/>
  <c r="BM65" i="15"/>
  <c r="BE65" i="15"/>
  <c r="BL65" i="15"/>
  <c r="BD65" i="15"/>
  <c r="BK65" i="15"/>
  <c r="BP57" i="15"/>
  <c r="BH57" i="15"/>
  <c r="BO57" i="15"/>
  <c r="BG57" i="15"/>
  <c r="BN57" i="15"/>
  <c r="BF57" i="15"/>
  <c r="BM57" i="15"/>
  <c r="BE57" i="15"/>
  <c r="BL57" i="15"/>
  <c r="BD57" i="15"/>
  <c r="BK57" i="15"/>
  <c r="BR57" i="15"/>
  <c r="BJ57" i="15"/>
  <c r="BI57" i="15"/>
  <c r="BQ57" i="15"/>
  <c r="BP77" i="15"/>
  <c r="AF160" i="15" s="1"/>
  <c r="BH77" i="15"/>
  <c r="X160" i="15" s="1"/>
  <c r="BO77" i="15"/>
  <c r="AE160" i="15" s="1"/>
  <c r="BG77" i="15"/>
  <c r="W160" i="15" s="1"/>
  <c r="BN77" i="15"/>
  <c r="AD160" i="15" s="1"/>
  <c r="BF77" i="15"/>
  <c r="V160" i="15" s="1"/>
  <c r="BM77" i="15"/>
  <c r="AC160" i="15" s="1"/>
  <c r="BE77" i="15"/>
  <c r="U160" i="15" s="1"/>
  <c r="BL77" i="15"/>
  <c r="AB160" i="15" s="1"/>
  <c r="BD77" i="15"/>
  <c r="BK77" i="15"/>
  <c r="AA160" i="15" s="1"/>
  <c r="BR77" i="15"/>
  <c r="AH160" i="15" s="1"/>
  <c r="BJ77" i="15"/>
  <c r="Z160" i="15" s="1"/>
  <c r="BI77" i="15"/>
  <c r="Y160" i="15" s="1"/>
  <c r="BQ77" i="15"/>
  <c r="AG160" i="15" s="1"/>
  <c r="BM62" i="15"/>
  <c r="AC145" i="15" s="1"/>
  <c r="BE62" i="15"/>
  <c r="U145" i="15" s="1"/>
  <c r="BL62" i="15"/>
  <c r="AB145" i="15" s="1"/>
  <c r="BD62" i="15"/>
  <c r="BK62" i="15"/>
  <c r="AA145" i="15" s="1"/>
  <c r="BR62" i="15"/>
  <c r="AH145" i="15" s="1"/>
  <c r="BJ62" i="15"/>
  <c r="Z145" i="15" s="1"/>
  <c r="BQ62" i="15"/>
  <c r="AG145" i="15" s="1"/>
  <c r="BI62" i="15"/>
  <c r="Y145" i="15" s="1"/>
  <c r="BP62" i="15"/>
  <c r="AF145" i="15" s="1"/>
  <c r="BH62" i="15"/>
  <c r="X145" i="15" s="1"/>
  <c r="BO62" i="15"/>
  <c r="AE145" i="15" s="1"/>
  <c r="BG62" i="15"/>
  <c r="W145" i="15" s="1"/>
  <c r="BN62" i="15"/>
  <c r="AD145" i="15" s="1"/>
  <c r="BF62" i="15"/>
  <c r="V145" i="15" s="1"/>
  <c r="H150" i="15"/>
  <c r="BU50" i="15" l="1"/>
  <c r="BU65" i="15"/>
  <c r="BU61" i="15"/>
  <c r="BU91" i="15"/>
  <c r="BU60" i="15"/>
  <c r="BU94" i="15"/>
  <c r="BU63" i="15"/>
  <c r="BU49" i="15"/>
  <c r="BU86" i="15"/>
  <c r="BU58" i="15"/>
  <c r="BU51" i="15"/>
  <c r="BU81" i="15"/>
  <c r="BU79" i="15"/>
  <c r="T136" i="15"/>
  <c r="BU53" i="15"/>
  <c r="T168" i="15"/>
  <c r="BU85" i="15"/>
  <c r="BU52" i="15"/>
  <c r="BU76" i="15"/>
  <c r="T176" i="15"/>
  <c r="BU93" i="15"/>
  <c r="BU66" i="15"/>
  <c r="BU55" i="15"/>
  <c r="BU75" i="15"/>
  <c r="BU84" i="15"/>
  <c r="BU70" i="15"/>
  <c r="BU80" i="15"/>
  <c r="BU88" i="15"/>
  <c r="BU67" i="15"/>
  <c r="BU78" i="15"/>
  <c r="T147" i="15"/>
  <c r="BU64" i="15"/>
  <c r="BU71" i="15"/>
  <c r="T145" i="15"/>
  <c r="BU62" i="15"/>
  <c r="BU57" i="15"/>
  <c r="BU56" i="15"/>
  <c r="BU83" i="15"/>
  <c r="BU54" i="15"/>
  <c r="U72" i="15"/>
  <c r="BU72" i="15"/>
  <c r="T165" i="15"/>
  <c r="BU82" i="15"/>
  <c r="T160" i="15"/>
  <c r="BU77" i="15"/>
  <c r="BU90" i="15"/>
  <c r="BU68" i="15"/>
  <c r="BU59" i="15"/>
  <c r="BU74" i="15"/>
  <c r="BU69" i="15"/>
  <c r="BU89" i="15"/>
  <c r="BU92" i="15"/>
  <c r="T170" i="15"/>
  <c r="BU87" i="15"/>
  <c r="V82" i="15"/>
  <c r="AA55" i="15"/>
  <c r="X87" i="15"/>
  <c r="AI82" i="15"/>
  <c r="X64" i="15"/>
  <c r="AA69" i="15"/>
  <c r="V69" i="15"/>
  <c r="Z89" i="15"/>
  <c r="W82" i="15"/>
  <c r="AE64" i="15"/>
  <c r="Y67" i="15"/>
  <c r="AI69" i="15"/>
  <c r="AH64" i="15"/>
  <c r="AB82" i="15"/>
  <c r="AF74" i="15"/>
  <c r="AD82" i="15"/>
  <c r="AI74" i="15"/>
  <c r="AH82" i="15"/>
  <c r="V87" i="15"/>
  <c r="Y64" i="15"/>
  <c r="AD63" i="15"/>
  <c r="Y82" i="15"/>
  <c r="AD87" i="15"/>
  <c r="AB89" i="15"/>
  <c r="AH87" i="15"/>
  <c r="AD170" i="15"/>
  <c r="X69" i="15"/>
  <c r="AA74" i="15"/>
  <c r="AI87" i="15"/>
  <c r="AI85" i="15"/>
  <c r="AF69" i="15"/>
  <c r="AE93" i="15"/>
  <c r="AI93" i="15"/>
  <c r="AC87" i="15"/>
  <c r="P138" i="15"/>
  <c r="AG82" i="15"/>
  <c r="AE89" i="15"/>
  <c r="Y55" i="15"/>
  <c r="Z82" i="15"/>
  <c r="AF85" i="15"/>
  <c r="X82" i="15"/>
  <c r="U82" i="15"/>
  <c r="Y87" i="15"/>
  <c r="X85" i="15"/>
  <c r="Y85" i="15"/>
  <c r="W93" i="15"/>
  <c r="Z85" i="15"/>
  <c r="AA82" i="15"/>
  <c r="AI67" i="15"/>
  <c r="AA64" i="15"/>
  <c r="U64" i="15"/>
  <c r="Z64" i="15"/>
  <c r="AA87" i="15"/>
  <c r="AH93" i="15"/>
  <c r="L152" i="15"/>
  <c r="AD69" i="15"/>
  <c r="AB69" i="15"/>
  <c r="J152" i="15"/>
  <c r="AE69" i="15"/>
  <c r="AC69" i="15"/>
  <c r="K152" i="15"/>
  <c r="AG64" i="15"/>
  <c r="AF82" i="15"/>
  <c r="G152" i="15"/>
  <c r="Y69" i="15"/>
  <c r="AE74" i="15"/>
  <c r="X93" i="15"/>
  <c r="AB93" i="15"/>
  <c r="X55" i="15"/>
  <c r="Z72" i="15"/>
  <c r="W69" i="15"/>
  <c r="E152" i="15"/>
  <c r="AF87" i="15"/>
  <c r="AE82" i="15"/>
  <c r="AG87" i="15"/>
  <c r="AC82" i="15"/>
  <c r="V55" i="15"/>
  <c r="V93" i="15"/>
  <c r="AB55" i="15"/>
  <c r="W74" i="15"/>
  <c r="K138" i="15"/>
  <c r="AB87" i="15"/>
  <c r="Z87" i="15"/>
  <c r="W64" i="15"/>
  <c r="U87" i="15"/>
  <c r="AD93" i="15"/>
  <c r="AE147" i="15"/>
  <c r="AF64" i="15"/>
  <c r="W87" i="15"/>
  <c r="AH147" i="15"/>
  <c r="U93" i="15"/>
  <c r="AB74" i="15"/>
  <c r="AB64" i="15"/>
  <c r="AF55" i="15"/>
  <c r="AA85" i="15"/>
  <c r="O138" i="15"/>
  <c r="H138" i="15"/>
  <c r="Z55" i="15"/>
  <c r="AI55" i="15"/>
  <c r="AC93" i="15"/>
  <c r="C138" i="15"/>
  <c r="U55" i="15"/>
  <c r="AA93" i="15"/>
  <c r="AH69" i="15"/>
  <c r="AB85" i="15"/>
  <c r="AF93" i="15"/>
  <c r="Z63" i="15"/>
  <c r="AA50" i="15"/>
  <c r="I133" i="15"/>
  <c r="V94" i="15"/>
  <c r="O133" i="15"/>
  <c r="AG50" i="15"/>
  <c r="J133" i="15"/>
  <c r="AB50" i="15"/>
  <c r="M138" i="15"/>
  <c r="AE55" i="15"/>
  <c r="AG69" i="15"/>
  <c r="O152" i="15"/>
  <c r="E138" i="15"/>
  <c r="W55" i="15"/>
  <c r="AJ81" i="15"/>
  <c r="E133" i="15"/>
  <c r="W50" i="15"/>
  <c r="Z50" i="15"/>
  <c r="H133" i="15"/>
  <c r="L138" i="15"/>
  <c r="AD55" i="15"/>
  <c r="AE50" i="15"/>
  <c r="M133" i="15"/>
  <c r="AI50" i="15"/>
  <c r="Q133" i="15"/>
  <c r="AE85" i="15"/>
  <c r="F133" i="15"/>
  <c r="X50" i="15"/>
  <c r="C133" i="15"/>
  <c r="U50" i="15"/>
  <c r="N133" i="15"/>
  <c r="AF50" i="15"/>
  <c r="AC50" i="15"/>
  <c r="K133" i="15"/>
  <c r="H152" i="15"/>
  <c r="Z69" i="15"/>
  <c r="G133" i="15"/>
  <c r="Y50" i="15"/>
  <c r="D133" i="15"/>
  <c r="V50" i="15"/>
  <c r="AH50" i="15"/>
  <c r="P133" i="15"/>
  <c r="AD50" i="15"/>
  <c r="L133" i="15"/>
  <c r="AC157" i="15"/>
  <c r="AD74" i="15"/>
  <c r="AI63" i="15"/>
  <c r="Q146" i="15"/>
  <c r="AA67" i="15"/>
  <c r="AD177" i="15"/>
  <c r="AE94" i="15"/>
  <c r="AI94" i="15"/>
  <c r="P169" i="15"/>
  <c r="AH86" i="15"/>
  <c r="D169" i="15"/>
  <c r="V86" i="15"/>
  <c r="AA155" i="15"/>
  <c r="AB72" i="15"/>
  <c r="N146" i="15"/>
  <c r="AF63" i="15"/>
  <c r="E146" i="15"/>
  <c r="W63" i="15"/>
  <c r="AB149" i="15"/>
  <c r="AC66" i="15"/>
  <c r="AF149" i="15"/>
  <c r="AG66" i="15"/>
  <c r="AA177" i="15"/>
  <c r="AB94" i="15"/>
  <c r="W177" i="15"/>
  <c r="X94" i="15"/>
  <c r="F169" i="15"/>
  <c r="X86" i="15"/>
  <c r="L169" i="15"/>
  <c r="AD86" i="15"/>
  <c r="AA63" i="15"/>
  <c r="I146" i="15"/>
  <c r="AE63" i="15"/>
  <c r="M146" i="15"/>
  <c r="U149" i="15"/>
  <c r="V66" i="15"/>
  <c r="Z149" i="15"/>
  <c r="AA66" i="15"/>
  <c r="U85" i="15"/>
  <c r="Y93" i="15"/>
  <c r="T177" i="15"/>
  <c r="U94" i="15"/>
  <c r="X177" i="15"/>
  <c r="Y94" i="15"/>
  <c r="I169" i="15"/>
  <c r="AA86" i="15"/>
  <c r="M169" i="15"/>
  <c r="AE86" i="15"/>
  <c r="F146" i="15"/>
  <c r="X63" i="15"/>
  <c r="J146" i="15"/>
  <c r="AB63" i="15"/>
  <c r="AH149" i="15"/>
  <c r="AI66" i="15"/>
  <c r="W66" i="15"/>
  <c r="V149" i="15"/>
  <c r="U74" i="15"/>
  <c r="AB155" i="15"/>
  <c r="AC72" i="15"/>
  <c r="AC149" i="15"/>
  <c r="AD66" i="15"/>
  <c r="Z74" i="15"/>
  <c r="AJ78" i="15"/>
  <c r="V74" i="15"/>
  <c r="AB177" i="15"/>
  <c r="AC94" i="15"/>
  <c r="AF177" i="15"/>
  <c r="AG94" i="15"/>
  <c r="X74" i="15"/>
  <c r="Q169" i="15"/>
  <c r="AI86" i="15"/>
  <c r="G146" i="15"/>
  <c r="Y63" i="15"/>
  <c r="C146" i="15"/>
  <c r="U63" i="15"/>
  <c r="AG149" i="15"/>
  <c r="AH66" i="15"/>
  <c r="AD149" i="15"/>
  <c r="AE66" i="15"/>
  <c r="AE177" i="15"/>
  <c r="AF94" i="15"/>
  <c r="E169" i="15"/>
  <c r="W86" i="15"/>
  <c r="G169" i="15"/>
  <c r="Y86" i="15"/>
  <c r="J169" i="15"/>
  <c r="AB86" i="15"/>
  <c r="AG63" i="15"/>
  <c r="O146" i="15"/>
  <c r="K146" i="15"/>
  <c r="AC63" i="15"/>
  <c r="AA149" i="15"/>
  <c r="AB66" i="15"/>
  <c r="W149" i="15"/>
  <c r="X66" i="15"/>
  <c r="AD85" i="15"/>
  <c r="Y177" i="15"/>
  <c r="Z94" i="15"/>
  <c r="AC177" i="15"/>
  <c r="AD94" i="15"/>
  <c r="O169" i="15"/>
  <c r="AG86" i="15"/>
  <c r="C169" i="15"/>
  <c r="U86" i="15"/>
  <c r="AC155" i="15"/>
  <c r="AD72" i="15"/>
  <c r="Z155" i="15"/>
  <c r="AA72" i="15"/>
  <c r="D146" i="15"/>
  <c r="V63" i="15"/>
  <c r="Z66" i="15"/>
  <c r="Y149" i="15"/>
  <c r="AE149" i="15"/>
  <c r="AF66" i="15"/>
  <c r="AG177" i="15"/>
  <c r="AH94" i="15"/>
  <c r="N169" i="15"/>
  <c r="AF86" i="15"/>
  <c r="Z67" i="15"/>
  <c r="Z177" i="15"/>
  <c r="AA94" i="15"/>
  <c r="W94" i="15"/>
  <c r="AB157" i="15"/>
  <c r="AC74" i="15"/>
  <c r="H169" i="15"/>
  <c r="Z86" i="15"/>
  <c r="K169" i="15"/>
  <c r="AC86" i="15"/>
  <c r="AH63" i="15"/>
  <c r="P146" i="15"/>
  <c r="T149" i="15"/>
  <c r="U66" i="15"/>
  <c r="X149" i="15"/>
  <c r="Y66" i="15"/>
  <c r="AC85" i="15"/>
  <c r="AG93" i="15"/>
  <c r="Y49" i="15"/>
  <c r="AB49" i="15"/>
  <c r="U150" i="15"/>
  <c r="V67" i="15"/>
  <c r="W58" i="15"/>
  <c r="E141" i="15"/>
  <c r="AC58" i="15"/>
  <c r="K141" i="15"/>
  <c r="AH58" i="15"/>
  <c r="P141" i="15"/>
  <c r="AG49" i="15"/>
  <c r="U49" i="15"/>
  <c r="W150" i="15"/>
  <c r="X67" i="15"/>
  <c r="M141" i="15"/>
  <c r="AE58" i="15"/>
  <c r="I141" i="15"/>
  <c r="AA58" i="15"/>
  <c r="W49" i="15"/>
  <c r="AF150" i="15"/>
  <c r="AG67" i="15"/>
  <c r="Z49" i="15"/>
  <c r="AC49" i="15"/>
  <c r="F141" i="15"/>
  <c r="X58" i="15"/>
  <c r="AI58" i="15"/>
  <c r="Q141" i="15"/>
  <c r="AB150" i="15"/>
  <c r="AC67" i="15"/>
  <c r="C141" i="15"/>
  <c r="U58" i="15"/>
  <c r="AF49" i="15"/>
  <c r="W85" i="15"/>
  <c r="U147" i="15"/>
  <c r="V64" i="15"/>
  <c r="AH49" i="15"/>
  <c r="V49" i="15"/>
  <c r="AC150" i="15"/>
  <c r="AD67" i="15"/>
  <c r="AF67" i="15"/>
  <c r="N141" i="15"/>
  <c r="AF58" i="15"/>
  <c r="AB58" i="15"/>
  <c r="J141" i="15"/>
  <c r="AA49" i="15"/>
  <c r="AD49" i="15"/>
  <c r="AD64" i="15"/>
  <c r="G141" i="15"/>
  <c r="Y58" i="15"/>
  <c r="AB67" i="15"/>
  <c r="AB147" i="15"/>
  <c r="AC64" i="15"/>
  <c r="AI49" i="15"/>
  <c r="T150" i="15"/>
  <c r="U67" i="15"/>
  <c r="AD150" i="15"/>
  <c r="AE67" i="15"/>
  <c r="V58" i="15"/>
  <c r="D141" i="15"/>
  <c r="AG58" i="15"/>
  <c r="O141" i="15"/>
  <c r="W67" i="15"/>
  <c r="X49" i="15"/>
  <c r="AE49" i="15"/>
  <c r="AG150" i="15"/>
  <c r="AH67" i="15"/>
  <c r="L141" i="15"/>
  <c r="AD58" i="15"/>
  <c r="H141" i="15"/>
  <c r="Z58" i="15"/>
  <c r="W140" i="15"/>
  <c r="X57" i="15"/>
  <c r="U144" i="15"/>
  <c r="V61" i="15"/>
  <c r="AB173" i="15"/>
  <c r="AC90" i="15"/>
  <c r="AH53" i="15"/>
  <c r="P136" i="15"/>
  <c r="AC135" i="15"/>
  <c r="AD52" i="15"/>
  <c r="AB166" i="15"/>
  <c r="AC83" i="15"/>
  <c r="U153" i="15"/>
  <c r="V70" i="15"/>
  <c r="AA143" i="15"/>
  <c r="AB60" i="15"/>
  <c r="AC163" i="15"/>
  <c r="AD80" i="15"/>
  <c r="P145" i="15"/>
  <c r="AH62" i="15"/>
  <c r="U137" i="15"/>
  <c r="V54" i="15"/>
  <c r="U171" i="15"/>
  <c r="V88" i="15"/>
  <c r="AA140" i="15"/>
  <c r="AB57" i="15"/>
  <c r="T175" i="15"/>
  <c r="U92" i="15"/>
  <c r="X175" i="15"/>
  <c r="Y92" i="15"/>
  <c r="AB134" i="15"/>
  <c r="AC51" i="15"/>
  <c r="AF134" i="15"/>
  <c r="AG51" i="15"/>
  <c r="T154" i="15"/>
  <c r="U71" i="15"/>
  <c r="X154" i="15"/>
  <c r="Y71" i="15"/>
  <c r="AC144" i="15"/>
  <c r="AD61" i="15"/>
  <c r="AG144" i="15"/>
  <c r="AH61" i="15"/>
  <c r="Y139" i="15"/>
  <c r="Z56" i="15"/>
  <c r="AC139" i="15"/>
  <c r="AD56" i="15"/>
  <c r="U173" i="15"/>
  <c r="V90" i="15"/>
  <c r="E136" i="15"/>
  <c r="W53" i="15"/>
  <c r="I136" i="15"/>
  <c r="AA53" i="15"/>
  <c r="AG85" i="15"/>
  <c r="AD151" i="15"/>
  <c r="AE68" i="15"/>
  <c r="AA151" i="15"/>
  <c r="AB68" i="15"/>
  <c r="AD142" i="15"/>
  <c r="AE59" i="15"/>
  <c r="AH142" i="15"/>
  <c r="AI59" i="15"/>
  <c r="X162" i="15"/>
  <c r="Y79" i="15"/>
  <c r="AB162" i="15"/>
  <c r="AC79" i="15"/>
  <c r="AD158" i="15"/>
  <c r="AE75" i="15"/>
  <c r="AH158" i="15"/>
  <c r="AI75" i="15"/>
  <c r="V135" i="15"/>
  <c r="W52" i="15"/>
  <c r="U167" i="15"/>
  <c r="V84" i="15"/>
  <c r="Y167" i="15"/>
  <c r="Z84" i="15"/>
  <c r="Z93" i="15"/>
  <c r="Z174" i="15"/>
  <c r="AA91" i="15"/>
  <c r="AD174" i="15"/>
  <c r="AE91" i="15"/>
  <c r="AF159" i="15"/>
  <c r="AG76" i="15"/>
  <c r="U159" i="15"/>
  <c r="V76" i="15"/>
  <c r="U166" i="15"/>
  <c r="V83" i="15"/>
  <c r="Y166" i="15"/>
  <c r="Z83" i="15"/>
  <c r="AD153" i="15"/>
  <c r="AE70" i="15"/>
  <c r="AH153" i="15"/>
  <c r="AI70" i="15"/>
  <c r="AF60" i="15"/>
  <c r="AE143" i="15"/>
  <c r="Y163" i="15"/>
  <c r="Z80" i="15"/>
  <c r="V163" i="15"/>
  <c r="W80" i="15"/>
  <c r="M145" i="15"/>
  <c r="AE62" i="15"/>
  <c r="L145" i="15"/>
  <c r="AD62" i="15"/>
  <c r="D160" i="15"/>
  <c r="V77" i="15"/>
  <c r="H160" i="15"/>
  <c r="Z77" i="15"/>
  <c r="AC137" i="15"/>
  <c r="AD54" i="15"/>
  <c r="AG137" i="15"/>
  <c r="AH54" i="15"/>
  <c r="Y171" i="15"/>
  <c r="Z88" i="15"/>
  <c r="AC171" i="15"/>
  <c r="AD88" i="15"/>
  <c r="AH148" i="15"/>
  <c r="AI65" i="15"/>
  <c r="X134" i="15"/>
  <c r="Y51" i="15"/>
  <c r="U139" i="15"/>
  <c r="V56" i="15"/>
  <c r="AD53" i="15"/>
  <c r="L136" i="15"/>
  <c r="Z151" i="15"/>
  <c r="AA68" i="15"/>
  <c r="AB159" i="15"/>
  <c r="AC76" i="15"/>
  <c r="Z153" i="15"/>
  <c r="AA70" i="15"/>
  <c r="W143" i="15"/>
  <c r="X60" i="15"/>
  <c r="AG163" i="15"/>
  <c r="AH80" i="15"/>
  <c r="O160" i="15"/>
  <c r="AG77" i="15"/>
  <c r="AF171" i="15"/>
  <c r="AG88" i="15"/>
  <c r="W148" i="15"/>
  <c r="X65" i="15"/>
  <c r="T140" i="15"/>
  <c r="U57" i="15"/>
  <c r="X140" i="15"/>
  <c r="Y57" i="15"/>
  <c r="AB175" i="15"/>
  <c r="AC92" i="15"/>
  <c r="AF175" i="15"/>
  <c r="AG92" i="15"/>
  <c r="U134" i="15"/>
  <c r="V51" i="15"/>
  <c r="AC154" i="15"/>
  <c r="AD71" i="15"/>
  <c r="AG154" i="15"/>
  <c r="AH71" i="15"/>
  <c r="V144" i="15"/>
  <c r="W61" i="15"/>
  <c r="Z144" i="15"/>
  <c r="AA61" i="15"/>
  <c r="AG139" i="15"/>
  <c r="AH56" i="15"/>
  <c r="Z90" i="15"/>
  <c r="Y173" i="15"/>
  <c r="AC173" i="15"/>
  <c r="AD90" i="15"/>
  <c r="M136" i="15"/>
  <c r="AE53" i="15"/>
  <c r="Q136" i="15"/>
  <c r="AI53" i="15"/>
  <c r="V85" i="15"/>
  <c r="W151" i="15"/>
  <c r="X68" i="15"/>
  <c r="AF151" i="15"/>
  <c r="AG68" i="15"/>
  <c r="W142" i="15"/>
  <c r="X59" i="15"/>
  <c r="AF162" i="15"/>
  <c r="AG79" i="15"/>
  <c r="U162" i="15"/>
  <c r="V79" i="15"/>
  <c r="W158" i="15"/>
  <c r="X75" i="15"/>
  <c r="AA158" i="15"/>
  <c r="AB75" i="15"/>
  <c r="Z135" i="15"/>
  <c r="AA52" i="15"/>
  <c r="AD135" i="15"/>
  <c r="AE52" i="15"/>
  <c r="AC167" i="15"/>
  <c r="AD84" i="15"/>
  <c r="AG167" i="15"/>
  <c r="AH84" i="15"/>
  <c r="AH174" i="15"/>
  <c r="AI91" i="15"/>
  <c r="W174" i="15"/>
  <c r="X91" i="15"/>
  <c r="Y159" i="15"/>
  <c r="Z76" i="15"/>
  <c r="AC159" i="15"/>
  <c r="AD76" i="15"/>
  <c r="AC166" i="15"/>
  <c r="AD83" i="15"/>
  <c r="AG166" i="15"/>
  <c r="AH83" i="15"/>
  <c r="V153" i="15"/>
  <c r="W70" i="15"/>
  <c r="T143" i="15"/>
  <c r="U60" i="15"/>
  <c r="X143" i="15"/>
  <c r="Y60" i="15"/>
  <c r="Z163" i="15"/>
  <c r="AA80" i="15"/>
  <c r="AD163" i="15"/>
  <c r="AE80" i="15"/>
  <c r="F145" i="15"/>
  <c r="X62" i="15"/>
  <c r="I145" i="15"/>
  <c r="AA62" i="15"/>
  <c r="L160" i="15"/>
  <c r="AD77" i="15"/>
  <c r="P160" i="15"/>
  <c r="AH77" i="15"/>
  <c r="V137" i="15"/>
  <c r="W54" i="15"/>
  <c r="Z137" i="15"/>
  <c r="AA54" i="15"/>
  <c r="AG171" i="15"/>
  <c r="AH88" i="15"/>
  <c r="V171" i="15"/>
  <c r="W88" i="15"/>
  <c r="AH140" i="15"/>
  <c r="AI57" i="15"/>
  <c r="AD148" i="15"/>
  <c r="AE65" i="15"/>
  <c r="AA175" i="15"/>
  <c r="AB92" i="15"/>
  <c r="T134" i="15"/>
  <c r="U51" i="15"/>
  <c r="AF173" i="15"/>
  <c r="AG90" i="15"/>
  <c r="V158" i="15"/>
  <c r="W75" i="15"/>
  <c r="AG135" i="15"/>
  <c r="AH52" i="15"/>
  <c r="AF167" i="15"/>
  <c r="AG84" i="15"/>
  <c r="AF166" i="15"/>
  <c r="AG83" i="15"/>
  <c r="E145" i="15"/>
  <c r="W62" i="15"/>
  <c r="K160" i="15"/>
  <c r="AC77" i="15"/>
  <c r="Y137" i="15"/>
  <c r="Z54" i="15"/>
  <c r="AE140" i="15"/>
  <c r="AF57" i="15"/>
  <c r="AA148" i="15"/>
  <c r="AB65" i="15"/>
  <c r="AE148" i="15"/>
  <c r="AF65" i="15"/>
  <c r="AB140" i="15"/>
  <c r="AC57" i="15"/>
  <c r="AF140" i="15"/>
  <c r="AG57" i="15"/>
  <c r="T148" i="15"/>
  <c r="U65" i="15"/>
  <c r="X148" i="15"/>
  <c r="Y65" i="15"/>
  <c r="U175" i="15"/>
  <c r="V92" i="15"/>
  <c r="Y175" i="15"/>
  <c r="Z92" i="15"/>
  <c r="AG134" i="15"/>
  <c r="AH51" i="15"/>
  <c r="AC134" i="15"/>
  <c r="AD51" i="15"/>
  <c r="U154" i="15"/>
  <c r="V71" i="15"/>
  <c r="Y154" i="15"/>
  <c r="Z71" i="15"/>
  <c r="AD144" i="15"/>
  <c r="AE61" i="15"/>
  <c r="AH144" i="15"/>
  <c r="AI61" i="15"/>
  <c r="W56" i="15"/>
  <c r="V139" i="15"/>
  <c r="Z139" i="15"/>
  <c r="AA56" i="15"/>
  <c r="AH90" i="15"/>
  <c r="AG173" i="15"/>
  <c r="V173" i="15"/>
  <c r="W90" i="15"/>
  <c r="X53" i="15"/>
  <c r="F136" i="15"/>
  <c r="J136" i="15"/>
  <c r="AB53" i="15"/>
  <c r="AH85" i="15"/>
  <c r="AF68" i="15"/>
  <c r="AE151" i="15"/>
  <c r="AA142" i="15"/>
  <c r="AB59" i="15"/>
  <c r="AE142" i="15"/>
  <c r="AF59" i="15"/>
  <c r="Y162" i="15"/>
  <c r="Z79" i="15"/>
  <c r="AC162" i="15"/>
  <c r="AD79" i="15"/>
  <c r="AF75" i="15"/>
  <c r="AE158" i="15"/>
  <c r="AH135" i="15"/>
  <c r="AI52" i="15"/>
  <c r="W135" i="15"/>
  <c r="X52" i="15"/>
  <c r="V167" i="15"/>
  <c r="W84" i="15"/>
  <c r="Z167" i="15"/>
  <c r="AA84" i="15"/>
  <c r="AA174" i="15"/>
  <c r="AB91" i="15"/>
  <c r="AE174" i="15"/>
  <c r="AF91" i="15"/>
  <c r="AG159" i="15"/>
  <c r="AH76" i="15"/>
  <c r="V159" i="15"/>
  <c r="W76" i="15"/>
  <c r="V166" i="15"/>
  <c r="W83" i="15"/>
  <c r="Y153" i="15"/>
  <c r="Z70" i="15"/>
  <c r="AE153" i="15"/>
  <c r="AF70" i="15"/>
  <c r="AB143" i="15"/>
  <c r="AC60" i="15"/>
  <c r="AF143" i="15"/>
  <c r="AG60" i="15"/>
  <c r="AH163" i="15"/>
  <c r="AI80" i="15"/>
  <c r="W163" i="15"/>
  <c r="X80" i="15"/>
  <c r="AF62" i="15"/>
  <c r="N145" i="15"/>
  <c r="Q145" i="15"/>
  <c r="AI62" i="15"/>
  <c r="E160" i="15"/>
  <c r="W77" i="15"/>
  <c r="I160" i="15"/>
  <c r="AA77" i="15"/>
  <c r="AD137" i="15"/>
  <c r="AE54" i="15"/>
  <c r="AH137" i="15"/>
  <c r="AI54" i="15"/>
  <c r="Z171" i="15"/>
  <c r="AA88" i="15"/>
  <c r="AD171" i="15"/>
  <c r="AE88" i="15"/>
  <c r="Y144" i="15"/>
  <c r="Z61" i="15"/>
  <c r="V151" i="15"/>
  <c r="W68" i="15"/>
  <c r="Z142" i="15"/>
  <c r="AA59" i="15"/>
  <c r="X159" i="15"/>
  <c r="Y76" i="15"/>
  <c r="U140" i="15"/>
  <c r="V57" i="15"/>
  <c r="AB148" i="15"/>
  <c r="AC65" i="15"/>
  <c r="AF148" i="15"/>
  <c r="AG65" i="15"/>
  <c r="AC175" i="15"/>
  <c r="AD92" i="15"/>
  <c r="AG175" i="15"/>
  <c r="AH92" i="15"/>
  <c r="Y134" i="15"/>
  <c r="Z51" i="15"/>
  <c r="V134" i="15"/>
  <c r="W51" i="15"/>
  <c r="AD154" i="15"/>
  <c r="AE71" i="15"/>
  <c r="AH154" i="15"/>
  <c r="AI71" i="15"/>
  <c r="W144" i="15"/>
  <c r="X61" i="15"/>
  <c r="AA144" i="15"/>
  <c r="AB61" i="15"/>
  <c r="AD139" i="15"/>
  <c r="AE56" i="15"/>
  <c r="AH139" i="15"/>
  <c r="AI56" i="15"/>
  <c r="Z173" i="15"/>
  <c r="AA90" i="15"/>
  <c r="AD173" i="15"/>
  <c r="AE90" i="15"/>
  <c r="AF53" i="15"/>
  <c r="N136" i="15"/>
  <c r="C136" i="15"/>
  <c r="U53" i="15"/>
  <c r="T151" i="15"/>
  <c r="U68" i="15"/>
  <c r="X151" i="15"/>
  <c r="Y68" i="15"/>
  <c r="T142" i="15"/>
  <c r="U59" i="15"/>
  <c r="X142" i="15"/>
  <c r="Y59" i="15"/>
  <c r="AG162" i="15"/>
  <c r="AH79" i="15"/>
  <c r="V162" i="15"/>
  <c r="W79" i="15"/>
  <c r="T158" i="15"/>
  <c r="U75" i="15"/>
  <c r="X158" i="15"/>
  <c r="Y75" i="15"/>
  <c r="AA135" i="15"/>
  <c r="AB52" i="15"/>
  <c r="AE135" i="15"/>
  <c r="AF52" i="15"/>
  <c r="AD167" i="15"/>
  <c r="AE84" i="15"/>
  <c r="AH167" i="15"/>
  <c r="AI84" i="15"/>
  <c r="T174" i="15"/>
  <c r="U91" i="15"/>
  <c r="X174" i="15"/>
  <c r="Y91" i="15"/>
  <c r="Z159" i="15"/>
  <c r="AA76" i="15"/>
  <c r="AD159" i="15"/>
  <c r="AE76" i="15"/>
  <c r="Z166" i="15"/>
  <c r="AA83" i="15"/>
  <c r="AD166" i="15"/>
  <c r="AE83" i="15"/>
  <c r="AA153" i="15"/>
  <c r="AB70" i="15"/>
  <c r="W153" i="15"/>
  <c r="X70" i="15"/>
  <c r="U143" i="15"/>
  <c r="V60" i="15"/>
  <c r="Y143" i="15"/>
  <c r="Z60" i="15"/>
  <c r="AB80" i="15"/>
  <c r="AA163" i="15"/>
  <c r="AE163" i="15"/>
  <c r="AF80" i="15"/>
  <c r="G145" i="15"/>
  <c r="Y62" i="15"/>
  <c r="J145" i="15"/>
  <c r="AB62" i="15"/>
  <c r="M160" i="15"/>
  <c r="AE77" i="15"/>
  <c r="Q160" i="15"/>
  <c r="AI77" i="15"/>
  <c r="W137" i="15"/>
  <c r="X54" i="15"/>
  <c r="AA137" i="15"/>
  <c r="AB54" i="15"/>
  <c r="AH171" i="15"/>
  <c r="AI88" i="15"/>
  <c r="AG140" i="15"/>
  <c r="AH57" i="15"/>
  <c r="AC140" i="15"/>
  <c r="AD57" i="15"/>
  <c r="U148" i="15"/>
  <c r="V65" i="15"/>
  <c r="Y148" i="15"/>
  <c r="Z65" i="15"/>
  <c r="V175" i="15"/>
  <c r="W92" i="15"/>
  <c r="Z175" i="15"/>
  <c r="AA92" i="15"/>
  <c r="Z134" i="15"/>
  <c r="AA51" i="15"/>
  <c r="AD134" i="15"/>
  <c r="AE51" i="15"/>
  <c r="V154" i="15"/>
  <c r="W71" i="15"/>
  <c r="Z154" i="15"/>
  <c r="AA71" i="15"/>
  <c r="AE144" i="15"/>
  <c r="AF61" i="15"/>
  <c r="T144" i="15"/>
  <c r="U61" i="15"/>
  <c r="W139" i="15"/>
  <c r="X56" i="15"/>
  <c r="AA139" i="15"/>
  <c r="AB56" i="15"/>
  <c r="AH173" i="15"/>
  <c r="AI90" i="15"/>
  <c r="W173" i="15"/>
  <c r="X90" i="15"/>
  <c r="G136" i="15"/>
  <c r="Y53" i="15"/>
  <c r="K136" i="15"/>
  <c r="AC53" i="15"/>
  <c r="AB151" i="15"/>
  <c r="AC68" i="15"/>
  <c r="AG151" i="15"/>
  <c r="AH68" i="15"/>
  <c r="AB142" i="15"/>
  <c r="AC59" i="15"/>
  <c r="AF142" i="15"/>
  <c r="AG59" i="15"/>
  <c r="AA79" i="15"/>
  <c r="Z162" i="15"/>
  <c r="AD162" i="15"/>
  <c r="AE79" i="15"/>
  <c r="AB158" i="15"/>
  <c r="AC75" i="15"/>
  <c r="AF158" i="15"/>
  <c r="AG75" i="15"/>
  <c r="T135" i="15"/>
  <c r="U52" i="15"/>
  <c r="X135" i="15"/>
  <c r="Y52" i="15"/>
  <c r="W167" i="15"/>
  <c r="X84" i="15"/>
  <c r="AA167" i="15"/>
  <c r="AB84" i="15"/>
  <c r="AB174" i="15"/>
  <c r="AC91" i="15"/>
  <c r="AF174" i="15"/>
  <c r="AG91" i="15"/>
  <c r="AH159" i="15"/>
  <c r="AI76" i="15"/>
  <c r="W159" i="15"/>
  <c r="X76" i="15"/>
  <c r="AH166" i="15"/>
  <c r="AI83" i="15"/>
  <c r="W166" i="15"/>
  <c r="X83" i="15"/>
  <c r="AB153" i="15"/>
  <c r="AC70" i="15"/>
  <c r="AF153" i="15"/>
  <c r="AG70" i="15"/>
  <c r="AC143" i="15"/>
  <c r="AD60" i="15"/>
  <c r="AG143" i="15"/>
  <c r="AH60" i="15"/>
  <c r="T163" i="15"/>
  <c r="U80" i="15"/>
  <c r="X163" i="15"/>
  <c r="Y80" i="15"/>
  <c r="O145" i="15"/>
  <c r="AG62" i="15"/>
  <c r="C145" i="15"/>
  <c r="U62" i="15"/>
  <c r="F160" i="15"/>
  <c r="X77" i="15"/>
  <c r="J160" i="15"/>
  <c r="AB77" i="15"/>
  <c r="AE137" i="15"/>
  <c r="AF54" i="15"/>
  <c r="W171" i="15"/>
  <c r="X88" i="15"/>
  <c r="AA171" i="15"/>
  <c r="AB88" i="15"/>
  <c r="AF154" i="15"/>
  <c r="AG71" i="15"/>
  <c r="Z158" i="15"/>
  <c r="AA75" i="15"/>
  <c r="V174" i="15"/>
  <c r="W91" i="15"/>
  <c r="Y140" i="15"/>
  <c r="Z57" i="15"/>
  <c r="V140" i="15"/>
  <c r="W57" i="15"/>
  <c r="AD65" i="15"/>
  <c r="AC148" i="15"/>
  <c r="AG148" i="15"/>
  <c r="AH65" i="15"/>
  <c r="AD175" i="15"/>
  <c r="AE92" i="15"/>
  <c r="AH175" i="15"/>
  <c r="AI92" i="15"/>
  <c r="AH134" i="15"/>
  <c r="AI51" i="15"/>
  <c r="W134" i="15"/>
  <c r="X51" i="15"/>
  <c r="AE154" i="15"/>
  <c r="AF71" i="15"/>
  <c r="AB154" i="15"/>
  <c r="AC71" i="15"/>
  <c r="X144" i="15"/>
  <c r="Y61" i="15"/>
  <c r="AB144" i="15"/>
  <c r="AC61" i="15"/>
  <c r="AE139" i="15"/>
  <c r="AF56" i="15"/>
  <c r="T139" i="15"/>
  <c r="U56" i="15"/>
  <c r="AA173" i="15"/>
  <c r="AB90" i="15"/>
  <c r="AE173" i="15"/>
  <c r="AF90" i="15"/>
  <c r="O136" i="15"/>
  <c r="AG53" i="15"/>
  <c r="U151" i="15"/>
  <c r="V68" i="15"/>
  <c r="Y151" i="15"/>
  <c r="Z68" i="15"/>
  <c r="U142" i="15"/>
  <c r="V59" i="15"/>
  <c r="Y142" i="15"/>
  <c r="Z59" i="15"/>
  <c r="AH162" i="15"/>
  <c r="AI79" i="15"/>
  <c r="W162" i="15"/>
  <c r="X79" i="15"/>
  <c r="U158" i="15"/>
  <c r="V75" i="15"/>
  <c r="Y158" i="15"/>
  <c r="Z75" i="15"/>
  <c r="AB135" i="15"/>
  <c r="AC52" i="15"/>
  <c r="AF135" i="15"/>
  <c r="AG52" i="15"/>
  <c r="AE167" i="15"/>
  <c r="AF84" i="15"/>
  <c r="T167" i="15"/>
  <c r="U84" i="15"/>
  <c r="U174" i="15"/>
  <c r="V91" i="15"/>
  <c r="Y174" i="15"/>
  <c r="Z91" i="15"/>
  <c r="AA159" i="15"/>
  <c r="AB76" i="15"/>
  <c r="AE159" i="15"/>
  <c r="AF76" i="15"/>
  <c r="AA166" i="15"/>
  <c r="AB83" i="15"/>
  <c r="AF83" i="15"/>
  <c r="AE166" i="15"/>
  <c r="T153" i="15"/>
  <c r="U70" i="15"/>
  <c r="X153" i="15"/>
  <c r="Y70" i="15"/>
  <c r="W60" i="15"/>
  <c r="V143" i="15"/>
  <c r="Z143" i="15"/>
  <c r="AA60" i="15"/>
  <c r="AB163" i="15"/>
  <c r="AC80" i="15"/>
  <c r="AF163" i="15"/>
  <c r="AG80" i="15"/>
  <c r="D145" i="15"/>
  <c r="V62" i="15"/>
  <c r="K145" i="15"/>
  <c r="AC62" i="15"/>
  <c r="N160" i="15"/>
  <c r="AF77" i="15"/>
  <c r="AB137" i="15"/>
  <c r="AC54" i="15"/>
  <c r="X137" i="15"/>
  <c r="Y54" i="15"/>
  <c r="AE171" i="15"/>
  <c r="AF88" i="15"/>
  <c r="T171" i="15"/>
  <c r="U88" i="15"/>
  <c r="AE175" i="15"/>
  <c r="AF92" i="15"/>
  <c r="AF139" i="15"/>
  <c r="AG56" i="15"/>
  <c r="W59" i="15"/>
  <c r="V142" i="15"/>
  <c r="T162" i="15"/>
  <c r="U79" i="15"/>
  <c r="Z140" i="15"/>
  <c r="AA57" i="15"/>
  <c r="AD140" i="15"/>
  <c r="AE57" i="15"/>
  <c r="V148" i="15"/>
  <c r="W65" i="15"/>
  <c r="Z148" i="15"/>
  <c r="AA65" i="15"/>
  <c r="W175" i="15"/>
  <c r="X92" i="15"/>
  <c r="AA134" i="15"/>
  <c r="AB51" i="15"/>
  <c r="AE134" i="15"/>
  <c r="AF51" i="15"/>
  <c r="W154" i="15"/>
  <c r="X71" i="15"/>
  <c r="AA154" i="15"/>
  <c r="AB71" i="15"/>
  <c r="AF144" i="15"/>
  <c r="AG61" i="15"/>
  <c r="X139" i="15"/>
  <c r="Y56" i="15"/>
  <c r="AB139" i="15"/>
  <c r="AC56" i="15"/>
  <c r="T173" i="15"/>
  <c r="U90" i="15"/>
  <c r="X173" i="15"/>
  <c r="Y90" i="15"/>
  <c r="D136" i="15"/>
  <c r="V53" i="15"/>
  <c r="H136" i="15"/>
  <c r="Z53" i="15"/>
  <c r="AC151" i="15"/>
  <c r="AD68" i="15"/>
  <c r="AH151" i="15"/>
  <c r="AI68" i="15"/>
  <c r="AC142" i="15"/>
  <c r="AD59" i="15"/>
  <c r="AG142" i="15"/>
  <c r="AH59" i="15"/>
  <c r="AA162" i="15"/>
  <c r="AB79" i="15"/>
  <c r="AE162" i="15"/>
  <c r="AF79" i="15"/>
  <c r="AC158" i="15"/>
  <c r="AD75" i="15"/>
  <c r="AG158" i="15"/>
  <c r="AH75" i="15"/>
  <c r="U135" i="15"/>
  <c r="V52" i="15"/>
  <c r="Y135" i="15"/>
  <c r="Z52" i="15"/>
  <c r="X167" i="15"/>
  <c r="Y84" i="15"/>
  <c r="AB167" i="15"/>
  <c r="AC84" i="15"/>
  <c r="AC174" i="15"/>
  <c r="AD91" i="15"/>
  <c r="AG174" i="15"/>
  <c r="AH91" i="15"/>
  <c r="T159" i="15"/>
  <c r="U76" i="15"/>
  <c r="T166" i="15"/>
  <c r="U83" i="15"/>
  <c r="X166" i="15"/>
  <c r="Y83" i="15"/>
  <c r="AC153" i="15"/>
  <c r="AD70" i="15"/>
  <c r="AG153" i="15"/>
  <c r="AH70" i="15"/>
  <c r="AD143" i="15"/>
  <c r="AE60" i="15"/>
  <c r="AH143" i="15"/>
  <c r="AI60" i="15"/>
  <c r="U163" i="15"/>
  <c r="V80" i="15"/>
  <c r="H145" i="15"/>
  <c r="Z62" i="15"/>
  <c r="C160" i="15"/>
  <c r="U77" i="15"/>
  <c r="G160" i="15"/>
  <c r="Y77" i="15"/>
  <c r="U54" i="15"/>
  <c r="T137" i="15"/>
  <c r="AG54" i="15"/>
  <c r="AF137" i="15"/>
  <c r="X171" i="15"/>
  <c r="Y88" i="15"/>
  <c r="AB171" i="15"/>
  <c r="AC88" i="15"/>
  <c r="BU95" i="15" l="1"/>
  <c r="AJ89" i="15"/>
  <c r="AJ82" i="15"/>
  <c r="AJ87" i="15"/>
  <c r="AJ74" i="15"/>
  <c r="AJ69" i="15"/>
  <c r="AJ55" i="15"/>
  <c r="AJ72" i="15"/>
  <c r="AJ63" i="15"/>
  <c r="AJ50" i="15"/>
  <c r="AJ66" i="15"/>
  <c r="AJ86" i="15"/>
  <c r="Z95" i="15"/>
  <c r="H73" i="15" s="1"/>
  <c r="AJ94" i="15"/>
  <c r="AF95" i="15"/>
  <c r="N73" i="15" s="1"/>
  <c r="AJ64" i="15"/>
  <c r="AI95" i="15"/>
  <c r="Q73" i="15" s="1"/>
  <c r="AB95" i="15"/>
  <c r="J73" i="15" s="1"/>
  <c r="AJ67" i="15"/>
  <c r="AJ53" i="15"/>
  <c r="AJ58" i="15"/>
  <c r="AJ85" i="15"/>
  <c r="AJ93" i="15"/>
  <c r="AJ49" i="15"/>
  <c r="Y95" i="15"/>
  <c r="G73" i="15" s="1"/>
  <c r="W95" i="15"/>
  <c r="E73" i="15" s="1"/>
  <c r="AJ65" i="15"/>
  <c r="AA95" i="15"/>
  <c r="I73" i="15" s="1"/>
  <c r="AG95" i="15"/>
  <c r="O73" i="15" s="1"/>
  <c r="AJ92" i="15"/>
  <c r="AJ79" i="15"/>
  <c r="AJ91" i="15"/>
  <c r="AJ75" i="15"/>
  <c r="AJ59" i="15"/>
  <c r="AJ54" i="15"/>
  <c r="AJ56" i="15"/>
  <c r="AJ71" i="15"/>
  <c r="AJ83" i="15"/>
  <c r="AJ84" i="15"/>
  <c r="AC95" i="15"/>
  <c r="K73" i="15" s="1"/>
  <c r="AE95" i="15"/>
  <c r="M73" i="15" s="1"/>
  <c r="AJ57" i="15"/>
  <c r="AJ90" i="15"/>
  <c r="AJ70" i="15"/>
  <c r="AJ77" i="15"/>
  <c r="AH95" i="15"/>
  <c r="P73" i="15" s="1"/>
  <c r="AJ88" i="15"/>
  <c r="AD95" i="15"/>
  <c r="L73" i="15" s="1"/>
  <c r="AJ80" i="15"/>
  <c r="AJ61" i="15"/>
  <c r="X95" i="15"/>
  <c r="F73" i="15" s="1"/>
  <c r="AJ68" i="15"/>
  <c r="U95" i="15"/>
  <c r="C73" i="15" s="1"/>
  <c r="AJ51" i="15"/>
  <c r="AJ60" i="15"/>
  <c r="AJ76" i="15"/>
  <c r="AJ62" i="15"/>
  <c r="AJ52" i="15"/>
  <c r="V95" i="15"/>
  <c r="D73" i="15" s="1"/>
  <c r="U35" i="15"/>
  <c r="AC35" i="15"/>
  <c r="AB30" i="15"/>
  <c r="AB29" i="15"/>
  <c r="V35" i="15"/>
  <c r="AD35" i="15"/>
  <c r="U30" i="15"/>
  <c r="AC30" i="15"/>
  <c r="U21" i="15"/>
  <c r="AC21" i="15"/>
  <c r="W21" i="15"/>
  <c r="AE21" i="15"/>
  <c r="AC29" i="15"/>
  <c r="W35" i="15"/>
  <c r="AE35" i="15"/>
  <c r="V30" i="15"/>
  <c r="AD30" i="15"/>
  <c r="AA21" i="15"/>
  <c r="AI21" i="15"/>
  <c r="V21" i="15"/>
  <c r="AD21" i="15"/>
  <c r="Y21" i="15"/>
  <c r="Y35" i="15"/>
  <c r="AG35" i="15"/>
  <c r="X30" i="15"/>
  <c r="AF30" i="15"/>
  <c r="AG21" i="15"/>
  <c r="X21" i="15"/>
  <c r="AF21" i="15"/>
  <c r="Z26" i="15"/>
  <c r="AH26" i="15"/>
  <c r="AE22" i="15"/>
  <c r="V29" i="15"/>
  <c r="X35" i="15"/>
  <c r="AF35" i="15"/>
  <c r="AA36" i="15"/>
  <c r="W30" i="15"/>
  <c r="AE30" i="15"/>
  <c r="AA35" i="15"/>
  <c r="AI35" i="15"/>
  <c r="Z30" i="15"/>
  <c r="AH30" i="15"/>
  <c r="AA38" i="15"/>
  <c r="Z21" i="15"/>
  <c r="AB26" i="15"/>
  <c r="AH21" i="15"/>
  <c r="X29" i="15"/>
  <c r="AF29" i="15"/>
  <c r="Z35" i="15"/>
  <c r="AH35" i="15"/>
  <c r="AI37" i="15"/>
  <c r="U36" i="15"/>
  <c r="AC36" i="15"/>
  <c r="AE37" i="15"/>
  <c r="Y30" i="15"/>
  <c r="AG30" i="15"/>
  <c r="AB21" i="15"/>
  <c r="V26" i="15"/>
  <c r="AA22" i="15"/>
  <c r="AI22" i="15"/>
  <c r="Y23" i="15"/>
  <c r="AA29" i="15"/>
  <c r="AI29" i="15"/>
  <c r="AB35" i="15"/>
  <c r="V37" i="15"/>
  <c r="AE36" i="15"/>
  <c r="X36" i="15"/>
  <c r="AF36" i="15"/>
  <c r="AA30" i="15"/>
  <c r="AI30" i="15"/>
  <c r="BX91" i="15" l="1"/>
  <c r="BX74" i="15"/>
  <c r="BX51" i="15"/>
  <c r="BX55" i="15"/>
  <c r="BX84" i="15"/>
  <c r="BX90" i="15"/>
  <c r="BX59" i="15"/>
  <c r="BX75" i="15"/>
  <c r="BX66" i="15"/>
  <c r="BX56" i="15"/>
  <c r="BX73" i="15"/>
  <c r="BX76" i="15"/>
  <c r="BX71" i="15"/>
  <c r="BX92" i="15"/>
  <c r="BX94" i="15"/>
  <c r="BX53" i="15"/>
  <c r="BX58" i="15"/>
  <c r="BX85" i="15"/>
  <c r="BX65" i="15"/>
  <c r="BX68" i="15"/>
  <c r="BX80" i="15"/>
  <c r="BX64" i="15"/>
  <c r="BX86" i="15"/>
  <c r="BX83" i="15"/>
  <c r="BX50" i="15"/>
  <c r="BX61" i="15"/>
  <c r="BX57" i="15"/>
  <c r="BX60" i="15"/>
  <c r="BX77" i="15"/>
  <c r="BX63" i="15"/>
  <c r="BX78" i="15"/>
  <c r="BX69" i="15"/>
  <c r="BX89" i="15"/>
  <c r="BX87" i="15"/>
  <c r="BX49" i="15"/>
  <c r="BX52" i="15"/>
  <c r="BX67" i="15"/>
  <c r="BX82" i="15"/>
  <c r="BX70" i="15"/>
  <c r="BX93" i="15"/>
  <c r="BX81" i="15"/>
  <c r="BX79" i="15"/>
  <c r="BX72" i="15"/>
  <c r="BX88" i="15"/>
  <c r="BX62" i="15"/>
  <c r="BX54" i="15"/>
  <c r="AJ95" i="15"/>
  <c r="R73" i="15" s="1"/>
  <c r="W31" i="15"/>
  <c r="V31" i="15"/>
  <c r="AD26" i="15"/>
  <c r="AG22" i="15"/>
  <c r="Z36" i="15"/>
  <c r="U25" i="15"/>
  <c r="AD37" i="15"/>
  <c r="AA25" i="15"/>
  <c r="AE31" i="15"/>
  <c r="AC20" i="15"/>
  <c r="AG33" i="15"/>
  <c r="W25" i="15"/>
  <c r="AF31" i="15"/>
  <c r="AD31" i="15"/>
  <c r="AA37" i="15"/>
  <c r="X31" i="15"/>
  <c r="W37" i="15"/>
  <c r="AG36" i="15"/>
  <c r="AH36" i="15"/>
  <c r="Y36" i="15"/>
  <c r="AC25" i="15"/>
  <c r="V34" i="15"/>
  <c r="AI25" i="15"/>
  <c r="AA20" i="15"/>
  <c r="U22" i="15"/>
  <c r="AB24" i="15"/>
  <c r="AI38" i="15"/>
  <c r="U29" i="15"/>
  <c r="Z24" i="15"/>
  <c r="AI28" i="15"/>
  <c r="AF25" i="15"/>
  <c r="X22" i="15"/>
  <c r="AC26" i="15"/>
  <c r="AD25" i="15"/>
  <c r="W36" i="15"/>
  <c r="AE25" i="15"/>
  <c r="V25" i="15"/>
  <c r="AD34" i="15"/>
  <c r="X38" i="15"/>
  <c r="AG38" i="15"/>
  <c r="Y29" i="15"/>
  <c r="X28" i="15"/>
  <c r="U28" i="15"/>
  <c r="AE33" i="15"/>
  <c r="AI20" i="15"/>
  <c r="AE29" i="15"/>
  <c r="AD28" i="15"/>
  <c r="AH33" i="15"/>
  <c r="AC33" i="15"/>
  <c r="W23" i="15"/>
  <c r="AA28" i="15"/>
  <c r="AH29" i="15"/>
  <c r="Y33" i="15"/>
  <c r="AC31" i="15"/>
  <c r="Y38" i="15"/>
  <c r="V38" i="15"/>
  <c r="AE38" i="15"/>
  <c r="W29" i="15"/>
  <c r="AC22" i="15"/>
  <c r="AB23" i="15"/>
  <c r="U33" i="15"/>
  <c r="Z28" i="15"/>
  <c r="AE20" i="15"/>
  <c r="AC23" i="15"/>
  <c r="U26" i="15"/>
  <c r="AE34" i="15"/>
  <c r="AG28" i="15"/>
  <c r="W20" i="15"/>
  <c r="AG25" i="15"/>
  <c r="AH28" i="15"/>
  <c r="V23" i="15"/>
  <c r="Z37" i="15"/>
  <c r="X23" i="15"/>
  <c r="Y32" i="15"/>
  <c r="AH23" i="15"/>
  <c r="V27" i="15"/>
  <c r="W32" i="15"/>
  <c r="AB38" i="15"/>
  <c r="Z29" i="15"/>
  <c r="W34" i="15"/>
  <c r="AF24" i="15"/>
  <c r="U19" i="15"/>
  <c r="AG20" i="15"/>
  <c r="AD22" i="15"/>
  <c r="AG23" i="15"/>
  <c r="Y28" i="15"/>
  <c r="U20" i="15"/>
  <c r="W19" i="15"/>
  <c r="AI27" i="15"/>
  <c r="Y22" i="15"/>
  <c r="U31" i="15"/>
  <c r="AB37" i="15"/>
  <c r="Y37" i="15"/>
  <c r="U23" i="15"/>
  <c r="V24" i="15"/>
  <c r="AA31" i="15"/>
  <c r="W38" i="15"/>
  <c r="AH37" i="15"/>
  <c r="X33" i="15"/>
  <c r="AF22" i="15"/>
  <c r="Y24" i="15"/>
  <c r="AF23" i="15"/>
  <c r="AE27" i="15"/>
  <c r="AB33" i="15"/>
  <c r="AI24" i="15"/>
  <c r="AD27" i="15"/>
  <c r="AB27" i="15"/>
  <c r="AH20" i="15"/>
  <c r="AB32" i="15"/>
  <c r="Z20" i="15"/>
  <c r="Z23" i="15"/>
  <c r="X19" i="15"/>
  <c r="AE32" i="15"/>
  <c r="Y25" i="15"/>
  <c r="AE23" i="15"/>
  <c r="AI36" i="15"/>
  <c r="AB20" i="15"/>
  <c r="X25" i="15"/>
  <c r="AD23" i="15"/>
  <c r="AH22" i="15"/>
  <c r="AA23" i="15"/>
  <c r="AF26" i="15"/>
  <c r="AF34" i="15"/>
  <c r="AH32" i="15"/>
  <c r="V22" i="15"/>
  <c r="AG26" i="15"/>
  <c r="AA24" i="15"/>
  <c r="AB19" i="15"/>
  <c r="U34" i="15"/>
  <c r="AI33" i="15"/>
  <c r="AH38" i="15"/>
  <c r="AC27" i="15"/>
  <c r="AI34" i="15"/>
  <c r="AE28" i="15"/>
  <c r="X24" i="15"/>
  <c r="AD36" i="15"/>
  <c r="AI19" i="15"/>
  <c r="Y27" i="15"/>
  <c r="AI32" i="15"/>
  <c r="W22" i="15"/>
  <c r="AA26" i="15"/>
  <c r="W24" i="15"/>
  <c r="AI26" i="15"/>
  <c r="Z22" i="15"/>
  <c r="W27" i="15"/>
  <c r="AD19" i="15"/>
  <c r="AG31" i="15"/>
  <c r="AC38" i="15"/>
  <c r="AB28" i="15"/>
  <c r="Z32" i="15"/>
  <c r="Y26" i="15"/>
  <c r="AF20" i="15"/>
  <c r="AF19" i="15"/>
  <c r="Z38" i="15"/>
  <c r="AC37" i="15"/>
  <c r="AA33" i="15"/>
  <c r="AH24" i="15"/>
  <c r="AC34" i="15"/>
  <c r="U27" i="15"/>
  <c r="AF38" i="15"/>
  <c r="AA34" i="15"/>
  <c r="W28" i="15"/>
  <c r="AC32" i="15"/>
  <c r="AA27" i="15"/>
  <c r="V36" i="15"/>
  <c r="AG29" i="15"/>
  <c r="AF28" i="15"/>
  <c r="AD29" i="15"/>
  <c r="AG34" i="15"/>
  <c r="AC28" i="15"/>
  <c r="AA19" i="15"/>
  <c r="AA32" i="15"/>
  <c r="AH27" i="15"/>
  <c r="AB36" i="15"/>
  <c r="Z27" i="15"/>
  <c r="AH25" i="15"/>
  <c r="AD32" i="15"/>
  <c r="AI23" i="15"/>
  <c r="Y19" i="15"/>
  <c r="AD20" i="15"/>
  <c r="V19" i="15"/>
  <c r="Y31" i="15"/>
  <c r="U38" i="15"/>
  <c r="AF37" i="15"/>
  <c r="X34" i="15"/>
  <c r="AD33" i="15"/>
  <c r="AF27" i="15"/>
  <c r="AB22" i="15"/>
  <c r="X20" i="15"/>
  <c r="U37" i="15"/>
  <c r="AB31" i="15"/>
  <c r="U32" i="15"/>
  <c r="AB34" i="15"/>
  <c r="AH31" i="15"/>
  <c r="AD38" i="15"/>
  <c r="Y34" i="15"/>
  <c r="AH34" i="15"/>
  <c r="Z25" i="15"/>
  <c r="V32" i="15"/>
  <c r="X26" i="15"/>
  <c r="V20" i="15"/>
  <c r="Z19" i="15"/>
  <c r="X37" i="15"/>
  <c r="V33" i="15"/>
  <c r="AC24" i="15"/>
  <c r="X27" i="15"/>
  <c r="AF32" i="15"/>
  <c r="AE26" i="15"/>
  <c r="AE19" i="15"/>
  <c r="AC19" i="15"/>
  <c r="Z31" i="15"/>
  <c r="AG37" i="15"/>
  <c r="W33" i="15"/>
  <c r="AD24" i="15"/>
  <c r="AG27" i="15"/>
  <c r="AE24" i="15"/>
  <c r="AI31" i="15"/>
  <c r="Z34" i="15"/>
  <c r="V28" i="15"/>
  <c r="AF33" i="15"/>
  <c r="Z33" i="15"/>
  <c r="AG24" i="15"/>
  <c r="Y20" i="15"/>
  <c r="AG32" i="15"/>
  <c r="AG19" i="15"/>
  <c r="AH19" i="15"/>
  <c r="U24" i="15"/>
  <c r="AB25" i="15"/>
  <c r="X32" i="15"/>
  <c r="W26" i="15"/>
  <c r="AJ21" i="15"/>
  <c r="AJ35" i="15"/>
  <c r="AJ30" i="15"/>
  <c r="G72" i="15"/>
  <c r="P51" i="15"/>
  <c r="H81" i="15"/>
  <c r="D62" i="15"/>
  <c r="J61" i="15"/>
  <c r="I63" i="15"/>
  <c r="X40" i="15" l="1"/>
  <c r="AA40" i="15"/>
  <c r="AF40" i="15"/>
  <c r="Z40" i="15"/>
  <c r="AC40" i="15"/>
  <c r="AB40" i="15"/>
  <c r="V40" i="15"/>
  <c r="AH39" i="15"/>
  <c r="AG39" i="15"/>
  <c r="AI40" i="15"/>
  <c r="AE39" i="15"/>
  <c r="AF39" i="15"/>
  <c r="AI39" i="15"/>
  <c r="Y40" i="15"/>
  <c r="AD40" i="15"/>
  <c r="AB39" i="15"/>
  <c r="X39" i="15"/>
  <c r="W39" i="15"/>
  <c r="AG40" i="15"/>
  <c r="AE40" i="15"/>
  <c r="V39" i="15"/>
  <c r="AH40" i="15"/>
  <c r="U40" i="15"/>
  <c r="Y39" i="15"/>
  <c r="AA39" i="15"/>
  <c r="AC39" i="15"/>
  <c r="Z39" i="15"/>
  <c r="AD39" i="15"/>
  <c r="U39" i="15"/>
  <c r="W40" i="15"/>
  <c r="AJ37" i="15"/>
  <c r="AJ34" i="15"/>
  <c r="AJ20" i="15"/>
  <c r="AJ25" i="15"/>
  <c r="AJ36" i="15"/>
  <c r="AJ31" i="15"/>
  <c r="AJ27" i="15"/>
  <c r="AJ26" i="15"/>
  <c r="AJ33" i="15"/>
  <c r="AJ32" i="15"/>
  <c r="AJ19" i="15"/>
  <c r="AJ38" i="15"/>
  <c r="AJ28" i="15"/>
  <c r="AJ22" i="15"/>
  <c r="AJ24" i="15"/>
  <c r="AJ23" i="15"/>
  <c r="AJ29" i="15"/>
  <c r="H56" i="15"/>
  <c r="L62" i="15"/>
  <c r="L69" i="15"/>
  <c r="O50" i="15"/>
  <c r="O91" i="15"/>
  <c r="H55" i="15"/>
  <c r="C64" i="15"/>
  <c r="R78" i="15"/>
  <c r="Q68" i="15"/>
  <c r="Q82" i="15"/>
  <c r="I60" i="15"/>
  <c r="M49" i="15"/>
  <c r="K89" i="15"/>
  <c r="N58" i="15"/>
  <c r="K78" i="15"/>
  <c r="H65" i="15"/>
  <c r="K64" i="15"/>
  <c r="M84" i="15"/>
  <c r="M87" i="15"/>
  <c r="F80" i="15"/>
  <c r="L75" i="15"/>
  <c r="F94" i="15"/>
  <c r="P81" i="15"/>
  <c r="I82" i="15"/>
  <c r="D69" i="15"/>
  <c r="C70" i="15"/>
  <c r="C93" i="15"/>
  <c r="C61" i="15"/>
  <c r="C76" i="15"/>
  <c r="C51" i="15"/>
  <c r="C77" i="15"/>
  <c r="C54" i="15"/>
  <c r="C58" i="15"/>
  <c r="C83" i="15"/>
  <c r="C66" i="15"/>
  <c r="C82" i="15"/>
  <c r="C74" i="15"/>
  <c r="C79" i="15"/>
  <c r="C75" i="15"/>
  <c r="C49" i="15"/>
  <c r="C85" i="15"/>
  <c r="C81" i="15"/>
  <c r="C91" i="15"/>
  <c r="C94" i="15"/>
  <c r="C62" i="15"/>
  <c r="C60" i="15"/>
  <c r="C84" i="15"/>
  <c r="C52" i="15"/>
  <c r="C50" i="15"/>
  <c r="C68" i="15"/>
  <c r="C55" i="15"/>
  <c r="C56" i="15"/>
  <c r="C92" i="15"/>
  <c r="C53" i="15"/>
  <c r="C65" i="15"/>
  <c r="C88" i="15"/>
  <c r="C69" i="15"/>
  <c r="C90" i="15"/>
  <c r="C72" i="15"/>
  <c r="C63" i="15"/>
  <c r="C87" i="15"/>
  <c r="C59" i="15"/>
  <c r="C80" i="15"/>
  <c r="C67" i="15"/>
  <c r="C57" i="15"/>
  <c r="C86" i="15"/>
  <c r="P57" i="15"/>
  <c r="C89" i="15"/>
  <c r="I76" i="15"/>
  <c r="N94" i="15"/>
  <c r="K72" i="15"/>
  <c r="K63" i="15"/>
  <c r="K56" i="15"/>
  <c r="K59" i="15"/>
  <c r="K80" i="15"/>
  <c r="K67" i="15"/>
  <c r="K57" i="15"/>
  <c r="K61" i="15"/>
  <c r="K60" i="15"/>
  <c r="K51" i="15"/>
  <c r="K90" i="15"/>
  <c r="K86" i="15"/>
  <c r="K92" i="15"/>
  <c r="K69" i="15"/>
  <c r="K79" i="15"/>
  <c r="K77" i="15"/>
  <c r="K58" i="15"/>
  <c r="K83" i="15"/>
  <c r="K66" i="15"/>
  <c r="K74" i="15"/>
  <c r="K75" i="15"/>
  <c r="K76" i="15"/>
  <c r="K53" i="15"/>
  <c r="K49" i="15"/>
  <c r="K70" i="15"/>
  <c r="K93" i="15"/>
  <c r="K85" i="15"/>
  <c r="K81" i="15"/>
  <c r="K91" i="15"/>
  <c r="K94" i="15"/>
  <c r="K84" i="15"/>
  <c r="K65" i="15"/>
  <c r="K88" i="15"/>
  <c r="K54" i="15"/>
  <c r="K50" i="15"/>
  <c r="K68" i="15"/>
  <c r="K55" i="15"/>
  <c r="K87" i="15"/>
  <c r="K62" i="15"/>
  <c r="K82" i="15"/>
  <c r="K52" i="15"/>
  <c r="C78" i="15"/>
  <c r="H57" i="15"/>
  <c r="N88" i="15"/>
  <c r="P56" i="15"/>
  <c r="E84" i="15"/>
  <c r="J53" i="15"/>
  <c r="M59" i="15"/>
  <c r="M67" i="15"/>
  <c r="M57" i="15"/>
  <c r="M80" i="15"/>
  <c r="M83" i="15"/>
  <c r="M86" i="15"/>
  <c r="M68" i="15"/>
  <c r="M56" i="15"/>
  <c r="M75" i="15"/>
  <c r="M78" i="15"/>
  <c r="M51" i="15"/>
  <c r="M85" i="15"/>
  <c r="M62" i="15"/>
  <c r="M66" i="15"/>
  <c r="M58" i="15"/>
  <c r="M71" i="15"/>
  <c r="M61" i="15"/>
  <c r="M60" i="15"/>
  <c r="M50" i="15"/>
  <c r="M74" i="15"/>
  <c r="M64" i="15"/>
  <c r="M53" i="15"/>
  <c r="M90" i="15"/>
  <c r="M93" i="15"/>
  <c r="M94" i="15"/>
  <c r="M54" i="15"/>
  <c r="M55" i="15"/>
  <c r="M52" i="15"/>
  <c r="M82" i="15"/>
  <c r="M92" i="15"/>
  <c r="M88" i="15"/>
  <c r="M91" i="15"/>
  <c r="M63" i="15"/>
  <c r="M81" i="15"/>
  <c r="M89" i="15"/>
  <c r="M77" i="15"/>
  <c r="M72" i="15"/>
  <c r="M76" i="15"/>
  <c r="M65" i="15"/>
  <c r="M69" i="15"/>
  <c r="P66" i="15"/>
  <c r="H92" i="15"/>
  <c r="F58" i="15"/>
  <c r="H51" i="15"/>
  <c r="D90" i="15"/>
  <c r="I54" i="15"/>
  <c r="O59" i="15"/>
  <c r="K71" i="15"/>
  <c r="Q57" i="15"/>
  <c r="Q83" i="15"/>
  <c r="Q81" i="15"/>
  <c r="Q70" i="15"/>
  <c r="Q53" i="15"/>
  <c r="Q56" i="15"/>
  <c r="Q72" i="15"/>
  <c r="Q78" i="15"/>
  <c r="Q52" i="15"/>
  <c r="Q79" i="15"/>
  <c r="Q90" i="15"/>
  <c r="Q75" i="15"/>
  <c r="Q89" i="15"/>
  <c r="Q51" i="15"/>
  <c r="Q61" i="15"/>
  <c r="Q62" i="15"/>
  <c r="Q50" i="15"/>
  <c r="Q77" i="15"/>
  <c r="Q92" i="15"/>
  <c r="Q94" i="15"/>
  <c r="Q88" i="15"/>
  <c r="Q71" i="15"/>
  <c r="Q65" i="15"/>
  <c r="Q55" i="15"/>
  <c r="Q84" i="15"/>
  <c r="Q80" i="15"/>
  <c r="Q87" i="15"/>
  <c r="Q69" i="15"/>
  <c r="Q93" i="15"/>
  <c r="Q64" i="15"/>
  <c r="Q59" i="15"/>
  <c r="Q91" i="15"/>
  <c r="Q58" i="15"/>
  <c r="Q85" i="15"/>
  <c r="Q74" i="15"/>
  <c r="Q86" i="15"/>
  <c r="Q66" i="15"/>
  <c r="Q49" i="15"/>
  <c r="Q67" i="15"/>
  <c r="E49" i="15"/>
  <c r="N80" i="15"/>
  <c r="E87" i="15"/>
  <c r="Q63" i="15"/>
  <c r="E70" i="15"/>
  <c r="Q54" i="15"/>
  <c r="P92" i="15"/>
  <c r="M79" i="15"/>
  <c r="G49" i="15"/>
  <c r="G94" i="15"/>
  <c r="G57" i="15"/>
  <c r="G75" i="15"/>
  <c r="G64" i="15"/>
  <c r="G76" i="15"/>
  <c r="G56" i="15"/>
  <c r="G58" i="15"/>
  <c r="G62" i="15"/>
  <c r="G61" i="15"/>
  <c r="G66" i="15"/>
  <c r="G92" i="15"/>
  <c r="G60" i="15"/>
  <c r="G74" i="15"/>
  <c r="G89" i="15"/>
  <c r="G77" i="15"/>
  <c r="G81" i="15"/>
  <c r="G80" i="15"/>
  <c r="G90" i="15"/>
  <c r="G71" i="15"/>
  <c r="G68" i="15"/>
  <c r="G51" i="15"/>
  <c r="G84" i="15"/>
  <c r="G53" i="15"/>
  <c r="G67" i="15"/>
  <c r="G86" i="15"/>
  <c r="G55" i="15"/>
  <c r="G70" i="15"/>
  <c r="G54" i="15"/>
  <c r="G83" i="15"/>
  <c r="G87" i="15"/>
  <c r="G52" i="15"/>
  <c r="G82" i="15"/>
  <c r="G88" i="15"/>
  <c r="G65" i="15"/>
  <c r="G79" i="15"/>
  <c r="G63" i="15"/>
  <c r="G69" i="15"/>
  <c r="G93" i="15"/>
  <c r="G78" i="15"/>
  <c r="Q76" i="15"/>
  <c r="I53" i="15"/>
  <c r="I64" i="15"/>
  <c r="I56" i="15"/>
  <c r="I72" i="15"/>
  <c r="I84" i="15"/>
  <c r="I65" i="15"/>
  <c r="I80" i="15"/>
  <c r="I87" i="15"/>
  <c r="I69" i="15"/>
  <c r="I78" i="15"/>
  <c r="I52" i="15"/>
  <c r="I75" i="15"/>
  <c r="I89" i="15"/>
  <c r="I49" i="15"/>
  <c r="I51" i="15"/>
  <c r="I90" i="15"/>
  <c r="I61" i="15"/>
  <c r="I62" i="15"/>
  <c r="I50" i="15"/>
  <c r="I91" i="15"/>
  <c r="I58" i="15"/>
  <c r="I59" i="15"/>
  <c r="I55" i="15"/>
  <c r="I86" i="15"/>
  <c r="I66" i="15"/>
  <c r="I88" i="15"/>
  <c r="I71" i="15"/>
  <c r="I93" i="15"/>
  <c r="I70" i="15"/>
  <c r="I57" i="15"/>
  <c r="I79" i="15"/>
  <c r="I85" i="15"/>
  <c r="I74" i="15"/>
  <c r="I92" i="15"/>
  <c r="I77" i="15"/>
  <c r="I83" i="15"/>
  <c r="I81" i="15"/>
  <c r="I94" i="15"/>
  <c r="D75" i="15"/>
  <c r="G50" i="15"/>
  <c r="E79" i="15"/>
  <c r="G85" i="15"/>
  <c r="P55" i="15"/>
  <c r="O52" i="15"/>
  <c r="O82" i="15"/>
  <c r="O76" i="15"/>
  <c r="O83" i="15"/>
  <c r="O87" i="15"/>
  <c r="O63" i="15"/>
  <c r="O57" i="15"/>
  <c r="O49" i="15"/>
  <c r="O75" i="15"/>
  <c r="O88" i="15"/>
  <c r="O69" i="15"/>
  <c r="O64" i="15"/>
  <c r="O56" i="15"/>
  <c r="O58" i="15"/>
  <c r="O62" i="15"/>
  <c r="O61" i="15"/>
  <c r="O66" i="15"/>
  <c r="O92" i="15"/>
  <c r="O74" i="15"/>
  <c r="O54" i="15"/>
  <c r="O79" i="15"/>
  <c r="O60" i="15"/>
  <c r="O78" i="15"/>
  <c r="O51" i="15"/>
  <c r="O84" i="15"/>
  <c r="O86" i="15"/>
  <c r="O70" i="15"/>
  <c r="O94" i="15"/>
  <c r="O77" i="15"/>
  <c r="O81" i="15"/>
  <c r="O80" i="15"/>
  <c r="O65" i="15"/>
  <c r="O55" i="15"/>
  <c r="O53" i="15"/>
  <c r="O67" i="15"/>
  <c r="O89" i="15"/>
  <c r="O90" i="15"/>
  <c r="O71" i="15"/>
  <c r="O68" i="15"/>
  <c r="O93" i="15"/>
  <c r="Q60" i="15"/>
  <c r="C71" i="15"/>
  <c r="I67" i="15"/>
  <c r="O72" i="15"/>
  <c r="J63" i="15"/>
  <c r="J62" i="15"/>
  <c r="J89" i="15"/>
  <c r="J67" i="15"/>
  <c r="J91" i="15"/>
  <c r="J69" i="15"/>
  <c r="J71" i="15"/>
  <c r="J76" i="15"/>
  <c r="J60" i="15"/>
  <c r="J51" i="15"/>
  <c r="J78" i="15"/>
  <c r="J88" i="15"/>
  <c r="J70" i="15"/>
  <c r="J64" i="15"/>
  <c r="J75" i="15"/>
  <c r="J54" i="15"/>
  <c r="J56" i="15"/>
  <c r="J57" i="15"/>
  <c r="J81" i="15"/>
  <c r="J80" i="15"/>
  <c r="J87" i="15"/>
  <c r="J90" i="15"/>
  <c r="J65" i="15"/>
  <c r="J49" i="15"/>
  <c r="J55" i="15"/>
  <c r="J72" i="15"/>
  <c r="J58" i="15"/>
  <c r="J79" i="15"/>
  <c r="J66" i="15"/>
  <c r="J85" i="15"/>
  <c r="J94" i="15"/>
  <c r="J50" i="15"/>
  <c r="J84" i="15"/>
  <c r="J92" i="15"/>
  <c r="J59" i="15"/>
  <c r="J82" i="15"/>
  <c r="J68" i="15"/>
  <c r="J74" i="15"/>
  <c r="J93" i="15"/>
  <c r="F52" i="15"/>
  <c r="F72" i="15"/>
  <c r="F62" i="15"/>
  <c r="F75" i="15"/>
  <c r="F64" i="15"/>
  <c r="F63" i="15"/>
  <c r="F85" i="15"/>
  <c r="F84" i="15"/>
  <c r="F91" i="15"/>
  <c r="F57" i="15"/>
  <c r="F60" i="15"/>
  <c r="F51" i="15"/>
  <c r="F83" i="15"/>
  <c r="F78" i="15"/>
  <c r="F68" i="15"/>
  <c r="F92" i="15"/>
  <c r="F54" i="15"/>
  <c r="F56" i="15"/>
  <c r="F50" i="15"/>
  <c r="F66" i="15"/>
  <c r="F65" i="15"/>
  <c r="F55" i="15"/>
  <c r="F81" i="15"/>
  <c r="F77" i="15"/>
  <c r="F70" i="15"/>
  <c r="F87" i="15"/>
  <c r="F76" i="15"/>
  <c r="F79" i="15"/>
  <c r="F93" i="15"/>
  <c r="F59" i="15"/>
  <c r="F89" i="15"/>
  <c r="F49" i="15"/>
  <c r="F71" i="15"/>
  <c r="F53" i="15"/>
  <c r="F86" i="15"/>
  <c r="F67" i="15"/>
  <c r="F69" i="15"/>
  <c r="F61" i="15"/>
  <c r="F82" i="15"/>
  <c r="F90" i="15"/>
  <c r="H86" i="15"/>
  <c r="H61" i="15"/>
  <c r="H52" i="15"/>
  <c r="H89" i="15"/>
  <c r="H63" i="15"/>
  <c r="H94" i="15"/>
  <c r="H64" i="15"/>
  <c r="H83" i="15"/>
  <c r="H74" i="15"/>
  <c r="H58" i="15"/>
  <c r="H78" i="15"/>
  <c r="H75" i="15"/>
  <c r="H77" i="15"/>
  <c r="H76" i="15"/>
  <c r="H50" i="15"/>
  <c r="H91" i="15"/>
  <c r="H70" i="15"/>
  <c r="H62" i="15"/>
  <c r="H60" i="15"/>
  <c r="H59" i="15"/>
  <c r="H72" i="15"/>
  <c r="H79" i="15"/>
  <c r="H71" i="15"/>
  <c r="H88" i="15"/>
  <c r="H68" i="15"/>
  <c r="H67" i="15"/>
  <c r="H85" i="15"/>
  <c r="H84" i="15"/>
  <c r="H53" i="15"/>
  <c r="H82" i="15"/>
  <c r="H87" i="15"/>
  <c r="H54" i="15"/>
  <c r="H80" i="15"/>
  <c r="H49" i="15"/>
  <c r="H93" i="15"/>
  <c r="H90" i="15"/>
  <c r="H69" i="15"/>
  <c r="J83" i="15"/>
  <c r="M70" i="15"/>
  <c r="G91" i="15"/>
  <c r="L49" i="15"/>
  <c r="L65" i="15"/>
  <c r="L64" i="15"/>
  <c r="L74" i="15"/>
  <c r="L56" i="15"/>
  <c r="L61" i="15"/>
  <c r="L60" i="15"/>
  <c r="L55" i="15"/>
  <c r="L86" i="15"/>
  <c r="L76" i="15"/>
  <c r="L94" i="15"/>
  <c r="L53" i="15"/>
  <c r="L54" i="15"/>
  <c r="L57" i="15"/>
  <c r="L71" i="15"/>
  <c r="L51" i="15"/>
  <c r="L80" i="15"/>
  <c r="L66" i="15"/>
  <c r="L79" i="15"/>
  <c r="L78" i="15"/>
  <c r="L82" i="15"/>
  <c r="L92" i="15"/>
  <c r="L77" i="15"/>
  <c r="L85" i="15"/>
  <c r="L63" i="15"/>
  <c r="L68" i="15"/>
  <c r="L72" i="15"/>
  <c r="L58" i="15"/>
  <c r="L67" i="15"/>
  <c r="L70" i="15"/>
  <c r="L93" i="15"/>
  <c r="L52" i="15"/>
  <c r="L81" i="15"/>
  <c r="L91" i="15"/>
  <c r="L88" i="15"/>
  <c r="L87" i="15"/>
  <c r="L50" i="15"/>
  <c r="L89" i="15"/>
  <c r="L83" i="15"/>
  <c r="L59" i="15"/>
  <c r="L84" i="15"/>
  <c r="F74" i="15"/>
  <c r="O85" i="15"/>
  <c r="P80" i="15"/>
  <c r="P86" i="15"/>
  <c r="P77" i="15"/>
  <c r="P64" i="15"/>
  <c r="P83" i="15"/>
  <c r="P53" i="15"/>
  <c r="P88" i="15"/>
  <c r="P61" i="15"/>
  <c r="P58" i="15"/>
  <c r="P78" i="15"/>
  <c r="P75" i="15"/>
  <c r="P52" i="15"/>
  <c r="P76" i="15"/>
  <c r="P50" i="15"/>
  <c r="P54" i="15"/>
  <c r="P49" i="15"/>
  <c r="P82" i="15"/>
  <c r="P84" i="15"/>
  <c r="P87" i="15"/>
  <c r="P69" i="15"/>
  <c r="P60" i="15"/>
  <c r="P59" i="15"/>
  <c r="P79" i="15"/>
  <c r="P90" i="15"/>
  <c r="P71" i="15"/>
  <c r="P68" i="15"/>
  <c r="P72" i="15"/>
  <c r="P89" i="15"/>
  <c r="P94" i="15"/>
  <c r="P63" i="15"/>
  <c r="P62" i="15"/>
  <c r="P91" i="15"/>
  <c r="P67" i="15"/>
  <c r="P85" i="15"/>
  <c r="P74" i="15"/>
  <c r="P93" i="15"/>
  <c r="P70" i="15"/>
  <c r="E56" i="15"/>
  <c r="E82" i="15"/>
  <c r="E92" i="15"/>
  <c r="E91" i="15"/>
  <c r="E75" i="15"/>
  <c r="E78" i="15"/>
  <c r="E51" i="15"/>
  <c r="E85" i="15"/>
  <c r="E62" i="15"/>
  <c r="E66" i="15"/>
  <c r="E71" i="15"/>
  <c r="E61" i="15"/>
  <c r="E60" i="15"/>
  <c r="E63" i="15"/>
  <c r="E81" i="15"/>
  <c r="E89" i="15"/>
  <c r="E77" i="15"/>
  <c r="E54" i="15"/>
  <c r="E58" i="15"/>
  <c r="E52" i="15"/>
  <c r="E55" i="15"/>
  <c r="E88" i="15"/>
  <c r="E57" i="15"/>
  <c r="E80" i="15"/>
  <c r="E72" i="15"/>
  <c r="E64" i="15"/>
  <c r="E74" i="15"/>
  <c r="E93" i="15"/>
  <c r="E59" i="15"/>
  <c r="E67" i="15"/>
  <c r="E83" i="15"/>
  <c r="E86" i="15"/>
  <c r="E68" i="15"/>
  <c r="E94" i="15"/>
  <c r="E50" i="15"/>
  <c r="E53" i="15"/>
  <c r="E76" i="15"/>
  <c r="E65" i="15"/>
  <c r="E69" i="15"/>
  <c r="E90" i="15"/>
  <c r="G59" i="15"/>
  <c r="J52" i="15"/>
  <c r="D64" i="15"/>
  <c r="D85" i="15"/>
  <c r="D93" i="15"/>
  <c r="D63" i="15"/>
  <c r="D56" i="15"/>
  <c r="D94" i="15"/>
  <c r="D61" i="15"/>
  <c r="D77" i="15"/>
  <c r="D54" i="15"/>
  <c r="D57" i="15"/>
  <c r="D71" i="15"/>
  <c r="D51" i="15"/>
  <c r="D50" i="15"/>
  <c r="D89" i="15"/>
  <c r="D68" i="15"/>
  <c r="D70" i="15"/>
  <c r="D58" i="15"/>
  <c r="D80" i="15"/>
  <c r="D72" i="15"/>
  <c r="D52" i="15"/>
  <c r="D53" i="15"/>
  <c r="D83" i="15"/>
  <c r="D81" i="15"/>
  <c r="D91" i="15"/>
  <c r="D88" i="15"/>
  <c r="D86" i="15"/>
  <c r="D60" i="15"/>
  <c r="D74" i="15"/>
  <c r="D67" i="15"/>
  <c r="D76" i="15"/>
  <c r="D49" i="15"/>
  <c r="D66" i="15"/>
  <c r="D82" i="15"/>
  <c r="D92" i="15"/>
  <c r="D87" i="15"/>
  <c r="D65" i="15"/>
  <c r="D55" i="15"/>
  <c r="D59" i="15"/>
  <c r="D84" i="15"/>
  <c r="D79" i="15"/>
  <c r="D78" i="15"/>
  <c r="N53" i="15"/>
  <c r="N87" i="15"/>
  <c r="N71" i="15"/>
  <c r="N52" i="15"/>
  <c r="N51" i="15"/>
  <c r="N55" i="15"/>
  <c r="N72" i="15"/>
  <c r="N64" i="15"/>
  <c r="N86" i="15"/>
  <c r="N76" i="15"/>
  <c r="N79" i="15"/>
  <c r="N89" i="15"/>
  <c r="N93" i="15"/>
  <c r="N60" i="15"/>
  <c r="N83" i="15"/>
  <c r="N78" i="15"/>
  <c r="N68" i="15"/>
  <c r="N54" i="15"/>
  <c r="N56" i="15"/>
  <c r="N81" i="15"/>
  <c r="N92" i="15"/>
  <c r="N49" i="15"/>
  <c r="N75" i="15"/>
  <c r="N61" i="15"/>
  <c r="N82" i="15"/>
  <c r="N90" i="15"/>
  <c r="N77" i="15"/>
  <c r="N70" i="15"/>
  <c r="N65" i="15"/>
  <c r="N63" i="15"/>
  <c r="N85" i="15"/>
  <c r="N84" i="15"/>
  <c r="N50" i="15"/>
  <c r="N57" i="15"/>
  <c r="N59" i="15"/>
  <c r="N66" i="15"/>
  <c r="N62" i="15"/>
  <c r="N91" i="15"/>
  <c r="N67" i="15"/>
  <c r="N69" i="15"/>
  <c r="N74" i="15"/>
  <c r="H66" i="15"/>
  <c r="I68" i="15"/>
  <c r="P65" i="15"/>
  <c r="F88" i="15"/>
  <c r="J77" i="15"/>
  <c r="L90" i="15"/>
  <c r="J86" i="15"/>
  <c r="AE43" i="15" l="1"/>
  <c r="M185" i="15" s="1"/>
  <c r="M192" i="15" s="1"/>
  <c r="AJ39" i="15"/>
  <c r="AJ40" i="15"/>
  <c r="AF43" i="15"/>
  <c r="N185" i="15" s="1"/>
  <c r="N192" i="15" s="1"/>
  <c r="AA43" i="15"/>
  <c r="I185" i="15" s="1"/>
  <c r="I192" i="15" s="1"/>
  <c r="AH43" i="15"/>
  <c r="P185" i="15" s="1"/>
  <c r="P192" i="15" s="1"/>
  <c r="W43" i="15"/>
  <c r="E185" i="15" s="1"/>
  <c r="E192" i="15" s="1"/>
  <c r="Y43" i="15"/>
  <c r="G185" i="15" s="1"/>
  <c r="G192" i="15" s="1"/>
  <c r="X43" i="15"/>
  <c r="F185" i="15" s="1"/>
  <c r="F192" i="15" s="1"/>
  <c r="AC43" i="15"/>
  <c r="K185" i="15" s="1"/>
  <c r="K192" i="15" s="1"/>
  <c r="AI43" i="15"/>
  <c r="Q185" i="15" s="1"/>
  <c r="Q192" i="15" s="1"/>
  <c r="U43" i="15"/>
  <c r="C185" i="15" s="1"/>
  <c r="Z43" i="15"/>
  <c r="H185" i="15" s="1"/>
  <c r="H192" i="15" s="1"/>
  <c r="V43" i="15"/>
  <c r="D185" i="15" s="1"/>
  <c r="D192" i="15" s="1"/>
  <c r="AG43" i="15"/>
  <c r="O185" i="15" s="1"/>
  <c r="O192" i="15" s="1"/>
  <c r="AB43" i="15"/>
  <c r="J185" i="15" s="1"/>
  <c r="J192" i="15" s="1"/>
  <c r="AD43" i="15"/>
  <c r="L185" i="15" s="1"/>
  <c r="L192" i="15" s="1"/>
  <c r="R92" i="15"/>
  <c r="R61" i="15"/>
  <c r="R63" i="15"/>
  <c r="R60" i="15"/>
  <c r="R82" i="15"/>
  <c r="R57" i="15"/>
  <c r="D30" i="15"/>
  <c r="O30" i="15"/>
  <c r="Q30" i="15"/>
  <c r="E30" i="15"/>
  <c r="P30" i="15"/>
  <c r="O28" i="15"/>
  <c r="G30" i="15"/>
  <c r="M30" i="15"/>
  <c r="K30" i="15"/>
  <c r="L30" i="15"/>
  <c r="R87" i="15"/>
  <c r="R85" i="15"/>
  <c r="I30" i="15"/>
  <c r="H30" i="15"/>
  <c r="G28" i="15"/>
  <c r="M37" i="15"/>
  <c r="R66" i="15"/>
  <c r="R77" i="15"/>
  <c r="N30" i="15"/>
  <c r="F30" i="15"/>
  <c r="J30" i="15"/>
  <c r="C21" i="15"/>
  <c r="R56" i="15"/>
  <c r="R64" i="15"/>
  <c r="R91" i="15"/>
  <c r="R93" i="15"/>
  <c r="R65" i="15"/>
  <c r="R54" i="15"/>
  <c r="P20" i="15"/>
  <c r="R53" i="15"/>
  <c r="R67" i="15"/>
  <c r="R90" i="15"/>
  <c r="R76" i="15"/>
  <c r="R55" i="15"/>
  <c r="R58" i="15"/>
  <c r="R50" i="15"/>
  <c r="R72" i="15"/>
  <c r="R80" i="15"/>
  <c r="R89" i="15"/>
  <c r="R49" i="15"/>
  <c r="R51" i="15"/>
  <c r="R83" i="15"/>
  <c r="R75" i="15"/>
  <c r="R71" i="15"/>
  <c r="R81" i="15"/>
  <c r="R52" i="15"/>
  <c r="R21" i="15" s="1"/>
  <c r="R79" i="15"/>
  <c r="R59" i="15"/>
  <c r="R62" i="15"/>
  <c r="R69" i="15"/>
  <c r="R84" i="15"/>
  <c r="R86" i="15"/>
  <c r="R35" i="15" s="1"/>
  <c r="R68" i="15"/>
  <c r="R30" i="15" s="1"/>
  <c r="R94" i="15"/>
  <c r="R70" i="15"/>
  <c r="R74" i="15"/>
  <c r="R88" i="15"/>
  <c r="D28" i="15"/>
  <c r="F35" i="15"/>
  <c r="F29" i="15"/>
  <c r="O26" i="15"/>
  <c r="I26" i="15"/>
  <c r="N38" i="15"/>
  <c r="N35" i="15"/>
  <c r="D36" i="15"/>
  <c r="D21" i="15"/>
  <c r="D22" i="15"/>
  <c r="E33" i="15"/>
  <c r="E232" i="15" s="1"/>
  <c r="E26" i="15"/>
  <c r="E38" i="15"/>
  <c r="P33" i="15"/>
  <c r="P232" i="15" s="1"/>
  <c r="P32" i="15"/>
  <c r="L32" i="15"/>
  <c r="L24" i="15"/>
  <c r="H19" i="15"/>
  <c r="H22" i="15"/>
  <c r="H35" i="15"/>
  <c r="F22" i="15"/>
  <c r="O37" i="15"/>
  <c r="G21" i="15"/>
  <c r="G24" i="15"/>
  <c r="Q38" i="15"/>
  <c r="P29" i="15"/>
  <c r="M21" i="15"/>
  <c r="M28" i="15"/>
  <c r="M23" i="15"/>
  <c r="K32" i="15"/>
  <c r="K25" i="15"/>
  <c r="K23" i="15"/>
  <c r="K34" i="15"/>
  <c r="O23" i="15"/>
  <c r="N19" i="15"/>
  <c r="D32" i="15"/>
  <c r="E35" i="15"/>
  <c r="H34" i="15"/>
  <c r="J26" i="15"/>
  <c r="I33" i="15"/>
  <c r="I232" i="15" s="1"/>
  <c r="H29" i="15"/>
  <c r="N25" i="15"/>
  <c r="N21" i="15"/>
  <c r="D38" i="15"/>
  <c r="D24" i="15"/>
  <c r="E24" i="15"/>
  <c r="P21" i="15"/>
  <c r="L21" i="15"/>
  <c r="L38" i="15"/>
  <c r="L28" i="15"/>
  <c r="L33" i="15"/>
  <c r="L232" i="15" s="1"/>
  <c r="H23" i="15"/>
  <c r="H32" i="15"/>
  <c r="H37" i="15"/>
  <c r="F38" i="15"/>
  <c r="F32" i="15"/>
  <c r="F21" i="15"/>
  <c r="J31" i="15"/>
  <c r="O34" i="15"/>
  <c r="O24" i="15"/>
  <c r="O22" i="15"/>
  <c r="I21" i="15"/>
  <c r="Q33" i="15"/>
  <c r="Q232" i="15" s="1"/>
  <c r="G31" i="15"/>
  <c r="G38" i="15"/>
  <c r="G33" i="15"/>
  <c r="G232" i="15" s="1"/>
  <c r="M38" i="15"/>
  <c r="K33" i="15"/>
  <c r="K232" i="15" s="1"/>
  <c r="C38" i="15"/>
  <c r="M36" i="15"/>
  <c r="I25" i="15"/>
  <c r="L26" i="15"/>
  <c r="N33" i="15"/>
  <c r="N232" i="15" s="1"/>
  <c r="D27" i="15"/>
  <c r="H20" i="15"/>
  <c r="F36" i="15"/>
  <c r="F24" i="15"/>
  <c r="J25" i="15"/>
  <c r="O32" i="15"/>
  <c r="G25" i="15"/>
  <c r="M35" i="15"/>
  <c r="L31" i="15"/>
  <c r="N24" i="15"/>
  <c r="N34" i="15"/>
  <c r="N23" i="15"/>
  <c r="D20" i="15"/>
  <c r="J21" i="15"/>
  <c r="E25" i="15"/>
  <c r="P37" i="15"/>
  <c r="L22" i="15"/>
  <c r="L35" i="15"/>
  <c r="H33" i="15"/>
  <c r="H232" i="15" s="1"/>
  <c r="M20" i="15"/>
  <c r="J19" i="15"/>
  <c r="J36" i="15"/>
  <c r="J24" i="15"/>
  <c r="O35" i="15"/>
  <c r="O27" i="15"/>
  <c r="O36" i="15"/>
  <c r="O33" i="15"/>
  <c r="O232" i="15" s="1"/>
  <c r="I20" i="15"/>
  <c r="I19" i="15"/>
  <c r="G34" i="15"/>
  <c r="G36" i="15"/>
  <c r="G35" i="15"/>
  <c r="G27" i="15"/>
  <c r="Q19" i="15"/>
  <c r="Q27" i="15"/>
  <c r="Q28" i="15"/>
  <c r="E32" i="15"/>
  <c r="M31" i="15"/>
  <c r="M29" i="15"/>
  <c r="K31" i="15"/>
  <c r="K37" i="15"/>
  <c r="H24" i="15"/>
  <c r="N20" i="15"/>
  <c r="D33" i="15"/>
  <c r="D232" i="15" s="1"/>
  <c r="P36" i="15"/>
  <c r="J32" i="15"/>
  <c r="G22" i="15"/>
  <c r="N26" i="15"/>
  <c r="N37" i="15"/>
  <c r="N27" i="15"/>
  <c r="N36" i="15"/>
  <c r="D34" i="15"/>
  <c r="D29" i="15"/>
  <c r="E28" i="15"/>
  <c r="E22" i="15"/>
  <c r="E37" i="15"/>
  <c r="E34" i="15"/>
  <c r="L34" i="15"/>
  <c r="L27" i="15"/>
  <c r="H25" i="15"/>
  <c r="F19" i="15"/>
  <c r="F34" i="15"/>
  <c r="F25" i="15"/>
  <c r="F27" i="15"/>
  <c r="J23" i="15"/>
  <c r="J28" i="15"/>
  <c r="O25" i="15"/>
  <c r="O38" i="15"/>
  <c r="O31" i="15"/>
  <c r="I37" i="15"/>
  <c r="G29" i="15"/>
  <c r="Q32" i="15"/>
  <c r="Q23" i="15"/>
  <c r="M22" i="15"/>
  <c r="P24" i="15"/>
  <c r="K26" i="15"/>
  <c r="K28" i="15"/>
  <c r="K22" i="15"/>
  <c r="K38" i="15"/>
  <c r="K27" i="15"/>
  <c r="E23" i="15"/>
  <c r="Q25" i="15"/>
  <c r="N31" i="15"/>
  <c r="N28" i="15"/>
  <c r="D25" i="15"/>
  <c r="P19" i="15"/>
  <c r="L20" i="15"/>
  <c r="L36" i="15"/>
  <c r="L19" i="15"/>
  <c r="H31" i="15"/>
  <c r="H28" i="15"/>
  <c r="H26" i="15"/>
  <c r="H27" i="15"/>
  <c r="H21" i="15"/>
  <c r="F31" i="15"/>
  <c r="J29" i="15"/>
  <c r="J34" i="15"/>
  <c r="J37" i="15"/>
  <c r="I29" i="15"/>
  <c r="I23" i="15"/>
  <c r="I34" i="15"/>
  <c r="G32" i="15"/>
  <c r="E36" i="15"/>
  <c r="Q29" i="15"/>
  <c r="Q20" i="15"/>
  <c r="Q24" i="15"/>
  <c r="M33" i="15"/>
  <c r="M232" i="15" s="1"/>
  <c r="M27" i="15"/>
  <c r="K36" i="15"/>
  <c r="K19" i="15"/>
  <c r="K35" i="15"/>
  <c r="G23" i="15"/>
  <c r="M19" i="15"/>
  <c r="N32" i="15"/>
  <c r="P27" i="15"/>
  <c r="O19" i="15"/>
  <c r="I36" i="15"/>
  <c r="E19" i="15"/>
  <c r="D31" i="15"/>
  <c r="J35" i="15"/>
  <c r="N29" i="15"/>
  <c r="D35" i="15"/>
  <c r="E29" i="15"/>
  <c r="P28" i="15"/>
  <c r="P22" i="15"/>
  <c r="P25" i="15"/>
  <c r="P35" i="15"/>
  <c r="L37" i="15"/>
  <c r="L25" i="15"/>
  <c r="L23" i="15"/>
  <c r="F37" i="15"/>
  <c r="F33" i="15"/>
  <c r="F232" i="15" s="1"/>
  <c r="F20" i="15"/>
  <c r="F28" i="15"/>
  <c r="F23" i="15"/>
  <c r="F26" i="15"/>
  <c r="J27" i="15"/>
  <c r="J33" i="15"/>
  <c r="J232" i="15" s="1"/>
  <c r="O29" i="15"/>
  <c r="O21" i="15"/>
  <c r="I38" i="15"/>
  <c r="I35" i="15"/>
  <c r="I24" i="15"/>
  <c r="G37" i="15"/>
  <c r="G26" i="15"/>
  <c r="G20" i="15"/>
  <c r="G19" i="15"/>
  <c r="M32" i="15"/>
  <c r="Q35" i="15"/>
  <c r="Q31" i="15"/>
  <c r="Q26" i="15"/>
  <c r="Q37" i="15"/>
  <c r="Q21" i="15"/>
  <c r="H38" i="15"/>
  <c r="M26" i="15"/>
  <c r="M34" i="15"/>
  <c r="M24" i="15"/>
  <c r="E20" i="15"/>
  <c r="K20" i="15"/>
  <c r="K24" i="15"/>
  <c r="Q22" i="15"/>
  <c r="D26" i="15"/>
  <c r="E21" i="15"/>
  <c r="N22" i="15"/>
  <c r="D23" i="15"/>
  <c r="D19" i="15"/>
  <c r="D37" i="15"/>
  <c r="E31" i="15"/>
  <c r="E27" i="15"/>
  <c r="P26" i="15"/>
  <c r="P31" i="15"/>
  <c r="P34" i="15"/>
  <c r="P23" i="15"/>
  <c r="L29" i="15"/>
  <c r="H36" i="15"/>
  <c r="J38" i="15"/>
  <c r="J20" i="15"/>
  <c r="J22" i="15"/>
  <c r="O20" i="15"/>
  <c r="I32" i="15"/>
  <c r="I28" i="15"/>
  <c r="I31" i="15"/>
  <c r="I27" i="15"/>
  <c r="P38" i="15"/>
  <c r="Q36" i="15"/>
  <c r="Q34" i="15"/>
  <c r="M25" i="15"/>
  <c r="K21" i="15"/>
  <c r="K29" i="15"/>
  <c r="I22" i="15"/>
  <c r="C28" i="15"/>
  <c r="C31" i="15"/>
  <c r="C37" i="15"/>
  <c r="C36" i="15"/>
  <c r="C35" i="15"/>
  <c r="C33" i="15"/>
  <c r="C232" i="15" s="1"/>
  <c r="C32" i="15"/>
  <c r="C27" i="15"/>
  <c r="C26" i="15"/>
  <c r="C25" i="15"/>
  <c r="C24" i="15"/>
  <c r="C23" i="15"/>
  <c r="C22" i="15"/>
  <c r="C19" i="15"/>
  <c r="C30" i="15"/>
  <c r="C20" i="15"/>
  <c r="C29" i="15"/>
  <c r="C34" i="15"/>
  <c r="F95" i="15"/>
  <c r="M95" i="15"/>
  <c r="C95" i="15"/>
  <c r="N95" i="15"/>
  <c r="L95" i="15"/>
  <c r="J95" i="15"/>
  <c r="I95" i="15"/>
  <c r="Q95" i="15"/>
  <c r="E95" i="15"/>
  <c r="G95" i="15"/>
  <c r="D95" i="15"/>
  <c r="P95" i="15"/>
  <c r="H95" i="15"/>
  <c r="O95" i="15"/>
  <c r="K95" i="15"/>
  <c r="M41" i="15" l="1"/>
  <c r="H41" i="15"/>
  <c r="L41" i="15"/>
  <c r="L42" i="15"/>
  <c r="G42" i="15"/>
  <c r="J42" i="15"/>
  <c r="O42" i="15"/>
  <c r="P42" i="15"/>
  <c r="E41" i="15"/>
  <c r="F41" i="15"/>
  <c r="K42" i="15"/>
  <c r="D41" i="15"/>
  <c r="K41" i="15"/>
  <c r="C41" i="15"/>
  <c r="I42" i="15"/>
  <c r="M42" i="15"/>
  <c r="O41" i="15"/>
  <c r="H42" i="15"/>
  <c r="Q42" i="15"/>
  <c r="F42" i="15"/>
  <c r="I41" i="15"/>
  <c r="G41" i="15"/>
  <c r="D42" i="15"/>
  <c r="P41" i="15"/>
  <c r="C42" i="15"/>
  <c r="E42" i="15"/>
  <c r="J41" i="15"/>
  <c r="N42" i="15"/>
  <c r="Q41" i="15"/>
  <c r="N41" i="15"/>
  <c r="D40" i="15"/>
  <c r="E40" i="15"/>
  <c r="I40" i="15"/>
  <c r="K40" i="15"/>
  <c r="L40" i="15"/>
  <c r="C40" i="15"/>
  <c r="F40" i="15"/>
  <c r="P40" i="15"/>
  <c r="N40" i="15"/>
  <c r="Q40" i="15"/>
  <c r="G40" i="15"/>
  <c r="H40" i="15"/>
  <c r="M40" i="15"/>
  <c r="O40" i="15"/>
  <c r="J40" i="15"/>
  <c r="C192" i="15"/>
  <c r="B185" i="15"/>
  <c r="B192" i="15" s="1"/>
  <c r="AJ43" i="15"/>
  <c r="AG117" i="15"/>
  <c r="T117" i="15"/>
  <c r="W117" i="15"/>
  <c r="U117" i="15"/>
  <c r="AH117" i="15"/>
  <c r="AH119" i="15"/>
  <c r="AD117" i="15"/>
  <c r="AF117" i="15"/>
  <c r="Y117" i="15"/>
  <c r="AB117" i="15"/>
  <c r="AA117" i="15"/>
  <c r="AC117" i="15"/>
  <c r="V117" i="15"/>
  <c r="X117" i="15"/>
  <c r="AE117" i="15"/>
  <c r="Z117" i="15"/>
  <c r="C102" i="15"/>
  <c r="G103" i="15"/>
  <c r="H114" i="15"/>
  <c r="Q102" i="15"/>
  <c r="N107" i="15"/>
  <c r="L117" i="15"/>
  <c r="N104" i="15"/>
  <c r="N102" i="15"/>
  <c r="M104" i="15"/>
  <c r="H105" i="15"/>
  <c r="M113" i="15"/>
  <c r="E113" i="15"/>
  <c r="C107" i="15"/>
  <c r="J103" i="15"/>
  <c r="E110" i="15"/>
  <c r="Q105" i="15"/>
  <c r="Q104" i="15"/>
  <c r="G109" i="15"/>
  <c r="J110" i="15"/>
  <c r="L108" i="15"/>
  <c r="N112" i="15"/>
  <c r="M102" i="15"/>
  <c r="Q103" i="15"/>
  <c r="L102" i="15"/>
  <c r="E106" i="15"/>
  <c r="Q106" i="15"/>
  <c r="J106" i="15"/>
  <c r="G110" i="15"/>
  <c r="O110" i="15"/>
  <c r="L105" i="15"/>
  <c r="L114" i="15"/>
  <c r="D110" i="15"/>
  <c r="G117" i="15"/>
  <c r="J114" i="15"/>
  <c r="N108" i="15"/>
  <c r="O106" i="15"/>
  <c r="P112" i="15"/>
  <c r="H102" i="15"/>
  <c r="D105" i="15"/>
  <c r="N113" i="15"/>
  <c r="C112" i="15"/>
  <c r="C108" i="15"/>
  <c r="C114" i="15"/>
  <c r="E114" i="15"/>
  <c r="K107" i="15"/>
  <c r="F109" i="15"/>
  <c r="G106" i="15"/>
  <c r="Q112" i="15"/>
  <c r="J112" i="15"/>
  <c r="K110" i="15"/>
  <c r="F110" i="15"/>
  <c r="N109" i="15"/>
  <c r="K114" i="15"/>
  <c r="N117" i="15"/>
  <c r="F104" i="15"/>
  <c r="H112" i="15"/>
  <c r="L107" i="15"/>
  <c r="D104" i="15"/>
  <c r="G113" i="15"/>
  <c r="Q113" i="15"/>
  <c r="C106" i="15"/>
  <c r="J105" i="15"/>
  <c r="D109" i="15"/>
  <c r="J117" i="15"/>
  <c r="M105" i="15"/>
  <c r="N110" i="15"/>
  <c r="H103" i="15"/>
  <c r="E117" i="15"/>
  <c r="C103" i="15"/>
  <c r="K103" i="15"/>
  <c r="I107" i="15"/>
  <c r="L103" i="15"/>
  <c r="G112" i="15"/>
  <c r="E105" i="15"/>
  <c r="M112" i="15"/>
  <c r="J107" i="15"/>
  <c r="G108" i="15"/>
  <c r="I117" i="15"/>
  <c r="G107" i="15"/>
  <c r="C104" i="15"/>
  <c r="C113" i="15"/>
  <c r="C110" i="15"/>
  <c r="I105" i="15"/>
  <c r="I114" i="15"/>
  <c r="L112" i="15"/>
  <c r="D102" i="15"/>
  <c r="E103" i="15"/>
  <c r="Q114" i="15"/>
  <c r="P108" i="15"/>
  <c r="E102" i="15"/>
  <c r="K102" i="15"/>
  <c r="H104" i="15"/>
  <c r="P102" i="15"/>
  <c r="K105" i="15"/>
  <c r="M114" i="15"/>
  <c r="J104" i="15"/>
  <c r="I108" i="15"/>
  <c r="Q117" i="15"/>
  <c r="P104" i="15"/>
  <c r="J109" i="15"/>
  <c r="K108" i="15"/>
  <c r="G104" i="15"/>
  <c r="L113" i="15"/>
  <c r="O113" i="15"/>
  <c r="K112" i="15"/>
  <c r="P106" i="15"/>
  <c r="D106" i="15"/>
  <c r="M107" i="15"/>
  <c r="F103" i="15"/>
  <c r="P105" i="15"/>
  <c r="H110" i="15"/>
  <c r="D108" i="15"/>
  <c r="O114" i="15"/>
  <c r="F102" i="15"/>
  <c r="D112" i="15"/>
  <c r="I102" i="15"/>
  <c r="J102" i="15"/>
  <c r="D103" i="15"/>
  <c r="J108" i="15"/>
  <c r="I104" i="15"/>
  <c r="E107" i="15"/>
  <c r="P117" i="15"/>
  <c r="J113" i="15"/>
  <c r="H113" i="15"/>
  <c r="P109" i="15"/>
  <c r="L106" i="15"/>
  <c r="Q107" i="15"/>
  <c r="Q108" i="15"/>
  <c r="H107" i="15"/>
  <c r="F112" i="15"/>
  <c r="C109" i="15"/>
  <c r="I110" i="15"/>
  <c r="Q109" i="15"/>
  <c r="F106" i="15"/>
  <c r="D114" i="15"/>
  <c r="F114" i="15"/>
  <c r="F108" i="15"/>
  <c r="G105" i="15"/>
  <c r="E108" i="15"/>
  <c r="L109" i="15"/>
  <c r="G114" i="15"/>
  <c r="L104" i="15"/>
  <c r="K106" i="15"/>
  <c r="P103" i="15"/>
  <c r="C117" i="15"/>
  <c r="K104" i="15"/>
  <c r="N105" i="15"/>
  <c r="O104" i="15"/>
  <c r="F117" i="15"/>
  <c r="O102" i="15"/>
  <c r="M110" i="15"/>
  <c r="I106" i="15"/>
  <c r="H109" i="15"/>
  <c r="K109" i="15"/>
  <c r="H108" i="15"/>
  <c r="D117" i="15"/>
  <c r="I103" i="15"/>
  <c r="M103" i="15"/>
  <c r="N106" i="15"/>
  <c r="F107" i="15"/>
  <c r="O105" i="15"/>
  <c r="D107" i="15"/>
  <c r="M106" i="15"/>
  <c r="F105" i="15"/>
  <c r="I109" i="15"/>
  <c r="K113" i="15"/>
  <c r="P113" i="15"/>
  <c r="D113" i="15"/>
  <c r="C105" i="15"/>
  <c r="M108" i="15"/>
  <c r="O103" i="15"/>
  <c r="P114" i="15"/>
  <c r="E104" i="15"/>
  <c r="M109" i="15"/>
  <c r="G102" i="15"/>
  <c r="O112" i="15"/>
  <c r="E112" i="15"/>
  <c r="P110" i="15"/>
  <c r="M117" i="15"/>
  <c r="I112" i="15"/>
  <c r="N114" i="15"/>
  <c r="P107" i="15"/>
  <c r="O108" i="15"/>
  <c r="L110" i="15"/>
  <c r="N103" i="15"/>
  <c r="Q110" i="15"/>
  <c r="O117" i="15"/>
  <c r="H117" i="15"/>
  <c r="K117" i="15"/>
  <c r="O107" i="15"/>
  <c r="H106" i="15"/>
  <c r="E109" i="15"/>
  <c r="O109" i="15"/>
  <c r="F113" i="15"/>
  <c r="I113" i="15"/>
  <c r="R29" i="15"/>
  <c r="R31" i="15"/>
  <c r="R26" i="15"/>
  <c r="R25" i="15"/>
  <c r="R36" i="15"/>
  <c r="R22" i="15"/>
  <c r="R34" i="15"/>
  <c r="R38" i="15"/>
  <c r="R24" i="15"/>
  <c r="R33" i="15"/>
  <c r="R23" i="15"/>
  <c r="R95" i="15"/>
  <c r="R19" i="15"/>
  <c r="R27" i="15"/>
  <c r="R20" i="15"/>
  <c r="R28" i="15"/>
  <c r="R37" i="15"/>
  <c r="R32" i="15"/>
  <c r="F39" i="15"/>
  <c r="P39" i="15"/>
  <c r="G39" i="15"/>
  <c r="E39" i="15"/>
  <c r="K39" i="15"/>
  <c r="L39" i="15"/>
  <c r="N39" i="15"/>
  <c r="M39" i="15"/>
  <c r="Q39" i="15"/>
  <c r="H39" i="15"/>
  <c r="D39" i="15"/>
  <c r="O39" i="15"/>
  <c r="I39" i="15"/>
  <c r="J39" i="15"/>
  <c r="C39" i="15"/>
  <c r="R41" i="15" l="1"/>
  <c r="R42" i="15"/>
  <c r="R40" i="15"/>
  <c r="AE119" i="15"/>
  <c r="Z119" i="15"/>
  <c r="Y119" i="15"/>
  <c r="AA119" i="15"/>
  <c r="W119" i="15"/>
  <c r="X119" i="15"/>
  <c r="AB119" i="15"/>
  <c r="K119" i="15" s="1"/>
  <c r="K234" i="15" s="1"/>
  <c r="T119" i="15"/>
  <c r="C119" i="15" s="1"/>
  <c r="C234" i="15" s="1"/>
  <c r="N119" i="15"/>
  <c r="N234" i="15" s="1"/>
  <c r="I119" i="15"/>
  <c r="I234" i="15" s="1"/>
  <c r="F119" i="15"/>
  <c r="F234" i="15" s="1"/>
  <c r="J119" i="15"/>
  <c r="J234" i="15" s="1"/>
  <c r="H119" i="15"/>
  <c r="H234" i="15" s="1"/>
  <c r="G119" i="15"/>
  <c r="G234" i="15" s="1"/>
  <c r="AG119" i="15"/>
  <c r="Q119" i="15"/>
  <c r="Q234" i="15" s="1"/>
  <c r="AD119" i="15"/>
  <c r="AC119" i="15"/>
  <c r="V119" i="15"/>
  <c r="AF119" i="15"/>
  <c r="U119" i="15"/>
  <c r="F43" i="15"/>
  <c r="M43" i="15"/>
  <c r="N43" i="15"/>
  <c r="C43" i="15"/>
  <c r="L43" i="15"/>
  <c r="E43" i="15"/>
  <c r="J43" i="15"/>
  <c r="D43" i="15"/>
  <c r="H43" i="15"/>
  <c r="I43" i="15"/>
  <c r="P43" i="15"/>
  <c r="Q43" i="15"/>
  <c r="G43" i="15"/>
  <c r="K43" i="15"/>
  <c r="O43" i="15"/>
  <c r="C123" i="15"/>
  <c r="H123" i="15"/>
  <c r="Q123" i="15"/>
  <c r="J123" i="15"/>
  <c r="D123" i="15"/>
  <c r="P123" i="15"/>
  <c r="E123" i="15"/>
  <c r="L123" i="15"/>
  <c r="N123" i="15"/>
  <c r="O123" i="15"/>
  <c r="G123" i="15"/>
  <c r="I123" i="15"/>
  <c r="F123" i="15"/>
  <c r="K123" i="15"/>
  <c r="M123" i="15"/>
  <c r="R39" i="15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K34" i="7"/>
  <c r="K21" i="7"/>
  <c r="C196" i="15" l="1" a="1"/>
  <c r="B4" i="8"/>
  <c r="O119" i="15"/>
  <c r="O234" i="15" s="1"/>
  <c r="E119" i="15"/>
  <c r="E234" i="15" s="1"/>
  <c r="L119" i="15"/>
  <c r="L234" i="15" s="1"/>
  <c r="M119" i="15"/>
  <c r="M234" i="15" s="1"/>
  <c r="P119" i="15"/>
  <c r="P234" i="15" s="1"/>
  <c r="D119" i="15"/>
  <c r="D234" i="15" s="1"/>
  <c r="R43" i="15"/>
  <c r="G14" i="8"/>
  <c r="G13" i="8"/>
  <c r="G12" i="8"/>
  <c r="G15" i="8"/>
  <c r="G8" i="8"/>
  <c r="G11" i="8"/>
  <c r="G9" i="8"/>
  <c r="G10" i="8"/>
  <c r="E196" i="15" l="1"/>
  <c r="E200" i="15" s="1"/>
  <c r="H196" i="15"/>
  <c r="H200" i="15" s="1"/>
  <c r="Q196" i="15"/>
  <c r="Q200" i="15" s="1"/>
  <c r="P196" i="15"/>
  <c r="P200" i="15" s="1"/>
  <c r="O196" i="15"/>
  <c r="O200" i="15" s="1"/>
  <c r="L196" i="15"/>
  <c r="L200" i="15" s="1"/>
  <c r="G196" i="15"/>
  <c r="G200" i="15" s="1"/>
  <c r="N196" i="15"/>
  <c r="N200" i="15" s="1"/>
  <c r="F196" i="15"/>
  <c r="F200" i="15" s="1"/>
  <c r="K196" i="15"/>
  <c r="K200" i="15" s="1"/>
  <c r="M196" i="15"/>
  <c r="M200" i="15" s="1"/>
  <c r="C196" i="15"/>
  <c r="J196" i="15"/>
  <c r="J200" i="15" s="1"/>
  <c r="I196" i="15"/>
  <c r="I200" i="15" s="1"/>
  <c r="D196" i="15"/>
  <c r="D200" i="15" s="1"/>
  <c r="G7" i="8"/>
  <c r="H7" i="8" s="1"/>
  <c r="G203" i="15" l="1"/>
  <c r="G207" i="15"/>
  <c r="O203" i="15"/>
  <c r="O207" i="15"/>
  <c r="I203" i="15"/>
  <c r="I207" i="15"/>
  <c r="P203" i="15"/>
  <c r="P207" i="15"/>
  <c r="D207" i="15"/>
  <c r="D203" i="15"/>
  <c r="M203" i="15"/>
  <c r="M207" i="15"/>
  <c r="Q203" i="15"/>
  <c r="Q207" i="15"/>
  <c r="N203" i="15"/>
  <c r="N207" i="15"/>
  <c r="J203" i="15"/>
  <c r="J207" i="15"/>
  <c r="B196" i="15"/>
  <c r="B200" i="15" s="1"/>
  <c r="C200" i="15"/>
  <c r="H203" i="15"/>
  <c r="H207" i="15"/>
  <c r="L203" i="15"/>
  <c r="L207" i="15"/>
  <c r="K207" i="15"/>
  <c r="K203" i="15"/>
  <c r="F207" i="15"/>
  <c r="F203" i="15"/>
  <c r="E203" i="15"/>
  <c r="E207" i="15"/>
  <c r="H13" i="8"/>
  <c r="H12" i="8"/>
  <c r="H15" i="8"/>
  <c r="H8" i="8"/>
  <c r="H10" i="8"/>
  <c r="H11" i="8"/>
  <c r="H14" i="8"/>
  <c r="H9" i="8"/>
  <c r="L210" i="15" l="1"/>
  <c r="L211" i="15" s="1"/>
  <c r="L220" i="15"/>
  <c r="L221" i="15"/>
  <c r="L222" i="15"/>
  <c r="L218" i="15"/>
  <c r="L226" i="15"/>
  <c r="L224" i="15"/>
  <c r="L228" i="15"/>
  <c r="L230" i="15"/>
  <c r="L225" i="15"/>
  <c r="L229" i="15"/>
  <c r="L223" i="15"/>
  <c r="L219" i="15"/>
  <c r="L238" i="15"/>
  <c r="N210" i="15"/>
  <c r="N211" i="15" s="1"/>
  <c r="N230" i="15"/>
  <c r="N219" i="15"/>
  <c r="N229" i="15"/>
  <c r="N226" i="15"/>
  <c r="N222" i="15"/>
  <c r="N225" i="15"/>
  <c r="N218" i="15"/>
  <c r="N221" i="15"/>
  <c r="N228" i="15"/>
  <c r="N220" i="15"/>
  <c r="N223" i="15"/>
  <c r="N224" i="15"/>
  <c r="N238" i="15"/>
  <c r="P210" i="15"/>
  <c r="P211" i="15" s="1"/>
  <c r="P222" i="15"/>
  <c r="P224" i="15"/>
  <c r="P230" i="15"/>
  <c r="P221" i="15"/>
  <c r="P225" i="15"/>
  <c r="P218" i="15"/>
  <c r="P229" i="15"/>
  <c r="P228" i="15"/>
  <c r="P226" i="15"/>
  <c r="P219" i="15"/>
  <c r="P223" i="15"/>
  <c r="P220" i="15"/>
  <c r="P238" i="15"/>
  <c r="I210" i="15"/>
  <c r="I211" i="15" s="1"/>
  <c r="I230" i="15"/>
  <c r="I220" i="15"/>
  <c r="I225" i="15"/>
  <c r="I229" i="15"/>
  <c r="I219" i="15"/>
  <c r="I228" i="15"/>
  <c r="I221" i="15"/>
  <c r="I222" i="15"/>
  <c r="I224" i="15"/>
  <c r="I223" i="15"/>
  <c r="I226" i="15"/>
  <c r="I218" i="15"/>
  <c r="I238" i="15"/>
  <c r="F210" i="15"/>
  <c r="F211" i="15" s="1"/>
  <c r="F224" i="15"/>
  <c r="F228" i="15"/>
  <c r="F225" i="15"/>
  <c r="F218" i="15"/>
  <c r="F222" i="15"/>
  <c r="F223" i="15"/>
  <c r="F221" i="15"/>
  <c r="F219" i="15"/>
  <c r="F226" i="15"/>
  <c r="F229" i="15"/>
  <c r="F220" i="15"/>
  <c r="F230" i="15"/>
  <c r="F238" i="15"/>
  <c r="C203" i="15"/>
  <c r="C207" i="15"/>
  <c r="E210" i="15"/>
  <c r="E211" i="15" s="1"/>
  <c r="E229" i="15"/>
  <c r="E225" i="15"/>
  <c r="E219" i="15"/>
  <c r="E230" i="15"/>
  <c r="E224" i="15"/>
  <c r="E220" i="15"/>
  <c r="E223" i="15"/>
  <c r="E218" i="15"/>
  <c r="E221" i="15"/>
  <c r="E226" i="15"/>
  <c r="E228" i="15"/>
  <c r="E222" i="15"/>
  <c r="E238" i="15"/>
  <c r="B207" i="15"/>
  <c r="B203" i="15"/>
  <c r="B210" i="15" s="1"/>
  <c r="B211" i="15" s="1"/>
  <c r="M210" i="15"/>
  <c r="M211" i="15" s="1"/>
  <c r="M226" i="15"/>
  <c r="M224" i="15"/>
  <c r="M219" i="15"/>
  <c r="M221" i="15"/>
  <c r="M220" i="15"/>
  <c r="M218" i="15"/>
  <c r="M228" i="15"/>
  <c r="M223" i="15"/>
  <c r="M230" i="15"/>
  <c r="M229" i="15"/>
  <c r="M225" i="15"/>
  <c r="M222" i="15"/>
  <c r="M238" i="15"/>
  <c r="O210" i="15"/>
  <c r="O211" i="15" s="1"/>
  <c r="O226" i="15"/>
  <c r="O220" i="15"/>
  <c r="O218" i="15"/>
  <c r="O225" i="15"/>
  <c r="O221" i="15"/>
  <c r="O219" i="15"/>
  <c r="O228" i="15"/>
  <c r="O222" i="15"/>
  <c r="O230" i="15"/>
  <c r="O224" i="15"/>
  <c r="O223" i="15"/>
  <c r="O229" i="15"/>
  <c r="O238" i="15"/>
  <c r="Q210" i="15"/>
  <c r="Q211" i="15" s="1"/>
  <c r="Q228" i="15"/>
  <c r="Q229" i="15"/>
  <c r="Q226" i="15"/>
  <c r="Q221" i="15"/>
  <c r="Q223" i="15"/>
  <c r="Q224" i="15"/>
  <c r="Q225" i="15"/>
  <c r="Q230" i="15"/>
  <c r="Q219" i="15"/>
  <c r="Q218" i="15"/>
  <c r="Q220" i="15"/>
  <c r="Q222" i="15"/>
  <c r="Q238" i="15"/>
  <c r="K210" i="15"/>
  <c r="K211" i="15" s="1"/>
  <c r="K230" i="15"/>
  <c r="K220" i="15"/>
  <c r="K223" i="15"/>
  <c r="K221" i="15"/>
  <c r="K228" i="15"/>
  <c r="K219" i="15"/>
  <c r="K218" i="15"/>
  <c r="K229" i="15"/>
  <c r="K224" i="15"/>
  <c r="K222" i="15"/>
  <c r="K226" i="15"/>
  <c r="K225" i="15"/>
  <c r="K238" i="15"/>
  <c r="D210" i="15"/>
  <c r="D211" i="15" s="1"/>
  <c r="D224" i="15"/>
  <c r="D221" i="15"/>
  <c r="D219" i="15"/>
  <c r="D218" i="15"/>
  <c r="D226" i="15"/>
  <c r="D228" i="15"/>
  <c r="D222" i="15"/>
  <c r="D230" i="15"/>
  <c r="D220" i="15"/>
  <c r="D225" i="15"/>
  <c r="D223" i="15"/>
  <c r="D229" i="15"/>
  <c r="D238" i="15"/>
  <c r="H210" i="15"/>
  <c r="H211" i="15" s="1"/>
  <c r="H226" i="15"/>
  <c r="H224" i="15"/>
  <c r="H228" i="15"/>
  <c r="H221" i="15"/>
  <c r="H223" i="15"/>
  <c r="H222" i="15"/>
  <c r="H219" i="15"/>
  <c r="H220" i="15"/>
  <c r="H230" i="15"/>
  <c r="H225" i="15"/>
  <c r="H218" i="15"/>
  <c r="H229" i="15"/>
  <c r="H238" i="15"/>
  <c r="J210" i="15"/>
  <c r="J211" i="15" s="1"/>
  <c r="J222" i="15"/>
  <c r="J226" i="15"/>
  <c r="J225" i="15"/>
  <c r="J220" i="15"/>
  <c r="J228" i="15"/>
  <c r="J223" i="15"/>
  <c r="J230" i="15"/>
  <c r="J229" i="15"/>
  <c r="J224" i="15"/>
  <c r="J221" i="15"/>
  <c r="J218" i="15"/>
  <c r="J219" i="15"/>
  <c r="J238" i="15"/>
  <c r="G210" i="15"/>
  <c r="G211" i="15" s="1"/>
  <c r="G219" i="15"/>
  <c r="G220" i="15"/>
  <c r="G223" i="15"/>
  <c r="G224" i="15"/>
  <c r="G222" i="15"/>
  <c r="G229" i="15"/>
  <c r="G230" i="15"/>
  <c r="G226" i="15"/>
  <c r="G228" i="15"/>
  <c r="G221" i="15"/>
  <c r="G218" i="15"/>
  <c r="G225" i="15"/>
  <c r="G238" i="15"/>
  <c r="J30" i="9"/>
  <c r="K31" i="9"/>
  <c r="J34" i="9"/>
  <c r="I41" i="9"/>
  <c r="J41" i="9"/>
  <c r="K32" i="9"/>
  <c r="C210" i="15" l="1"/>
  <c r="C211" i="15" s="1"/>
  <c r="C226" i="15"/>
  <c r="C224" i="15"/>
  <c r="C220" i="15"/>
  <c r="C222" i="15"/>
  <c r="C230" i="15"/>
  <c r="C225" i="15"/>
  <c r="C223" i="15"/>
  <c r="C218" i="15"/>
  <c r="C238" i="15"/>
  <c r="C228" i="15"/>
  <c r="C229" i="15"/>
  <c r="C219" i="15"/>
  <c r="C221" i="15"/>
  <c r="I22" i="9"/>
  <c r="I28" i="9"/>
  <c r="I23" i="9"/>
  <c r="I29" i="9"/>
  <c r="I24" i="9"/>
  <c r="I30" i="9"/>
  <c r="I20" i="9"/>
  <c r="I25" i="9"/>
  <c r="K26" i="9"/>
  <c r="I36" i="9"/>
  <c r="K33" i="9"/>
  <c r="I33" i="9"/>
  <c r="K35" i="9"/>
  <c r="J31" i="9"/>
  <c r="K41" i="9"/>
  <c r="K29" i="9"/>
  <c r="K21" i="9"/>
  <c r="J37" i="9"/>
  <c r="K25" i="9"/>
  <c r="J27" i="9"/>
  <c r="K23" i="9"/>
  <c r="J36" i="9"/>
  <c r="J32" i="9"/>
  <c r="K24" i="9"/>
  <c r="J25" i="9"/>
  <c r="J28" i="9"/>
  <c r="K34" i="9"/>
  <c r="J21" i="9"/>
  <c r="I34" i="9"/>
  <c r="K27" i="9"/>
  <c r="K20" i="9"/>
  <c r="J29" i="9"/>
  <c r="I31" i="9"/>
  <c r="K28" i="9"/>
  <c r="K30" i="9"/>
  <c r="J24" i="9"/>
  <c r="I32" i="9"/>
  <c r="I26" i="9"/>
  <c r="J33" i="9"/>
  <c r="K37" i="9"/>
  <c r="J20" i="9"/>
  <c r="J26" i="9"/>
  <c r="J23" i="9"/>
  <c r="I37" i="9"/>
  <c r="I21" i="9"/>
  <c r="J35" i="9"/>
  <c r="I35" i="9"/>
  <c r="K22" i="9"/>
  <c r="J22" i="9"/>
  <c r="K36" i="9"/>
  <c r="I27" i="9"/>
  <c r="I9" i="9" l="1"/>
  <c r="I15" i="9"/>
  <c r="I10" i="9"/>
  <c r="J8" i="9"/>
  <c r="I16" i="9"/>
  <c r="J14" i="9"/>
  <c r="I11" i="9"/>
  <c r="J9" i="9"/>
  <c r="K18" i="9"/>
  <c r="I17" i="9"/>
  <c r="J10" i="9"/>
  <c r="J16" i="9"/>
  <c r="K38" i="9"/>
  <c r="K13" i="9"/>
  <c r="I18" i="9"/>
  <c r="J11" i="9"/>
  <c r="K39" i="9"/>
  <c r="I7" i="9"/>
  <c r="J17" i="9"/>
  <c r="K40" i="9"/>
  <c r="K7" i="9"/>
  <c r="J12" i="9"/>
  <c r="K16" i="9"/>
  <c r="J18" i="9"/>
  <c r="K17" i="9"/>
  <c r="K19" i="9"/>
  <c r="J7" i="9"/>
  <c r="H41" i="9"/>
  <c r="J15" i="9"/>
  <c r="J13" i="9"/>
  <c r="J19" i="9"/>
  <c r="H36" i="9"/>
  <c r="K11" i="9"/>
  <c r="I13" i="9"/>
  <c r="K10" i="9"/>
  <c r="H20" i="9"/>
  <c r="I38" i="9"/>
  <c r="K12" i="9"/>
  <c r="J38" i="9"/>
  <c r="H30" i="9"/>
  <c r="I12" i="9"/>
  <c r="J40" i="9"/>
  <c r="I39" i="9"/>
  <c r="K8" i="9"/>
  <c r="H31" i="9"/>
  <c r="J39" i="9"/>
  <c r="I40" i="9"/>
  <c r="H37" i="9"/>
  <c r="K14" i="9"/>
  <c r="H34" i="9"/>
  <c r="K9" i="9"/>
  <c r="I8" i="9"/>
  <c r="H32" i="9"/>
  <c r="I19" i="9"/>
  <c r="K15" i="9"/>
  <c r="I14" i="9"/>
  <c r="H25" i="9" l="1"/>
  <c r="H29" i="9"/>
  <c r="H8" i="9"/>
  <c r="H9" i="9"/>
  <c r="H15" i="9"/>
  <c r="H10" i="9"/>
  <c r="H16" i="9"/>
  <c r="H11" i="9"/>
  <c r="H17" i="9"/>
  <c r="H12" i="9"/>
  <c r="H18" i="9"/>
  <c r="H24" i="9"/>
  <c r="H26" i="9"/>
  <c r="H33" i="9"/>
  <c r="H7" i="9"/>
  <c r="H14" i="9"/>
  <c r="H21" i="9"/>
  <c r="H35" i="9"/>
  <c r="H13" i="9"/>
  <c r="H27" i="9"/>
  <c r="H19" i="9"/>
  <c r="H22" i="9"/>
  <c r="H28" i="9"/>
  <c r="H23" i="9"/>
  <c r="H38" i="9" l="1"/>
  <c r="H39" i="9"/>
  <c r="H40" i="9"/>
  <c r="K40" i="7" l="1"/>
  <c r="K39" i="7"/>
  <c r="K38" i="7"/>
  <c r="K37" i="7"/>
  <c r="K36" i="7"/>
  <c r="K35" i="7"/>
  <c r="K33" i="7"/>
  <c r="K32" i="7"/>
  <c r="K31" i="7"/>
  <c r="K30" i="7"/>
  <c r="K29" i="7"/>
  <c r="K28" i="7"/>
  <c r="K22" i="7"/>
  <c r="K27" i="7"/>
  <c r="K23" i="7"/>
  <c r="K24" i="7"/>
  <c r="K26" i="7"/>
  <c r="K25" i="7"/>
  <c r="K20" i="7"/>
  <c r="K19" i="7"/>
  <c r="K18" i="7"/>
  <c r="K17" i="7"/>
  <c r="K16" i="7"/>
  <c r="K15" i="7"/>
  <c r="K13" i="7"/>
  <c r="K12" i="7"/>
  <c r="K11" i="7"/>
  <c r="K10" i="7"/>
  <c r="K9" i="7"/>
  <c r="K8" i="7"/>
  <c r="A1" i="1" l="1"/>
  <c r="C148" i="15" l="1"/>
  <c r="C111" i="15"/>
  <c r="C227" i="15" s="1"/>
  <c r="T115" i="15"/>
  <c r="T116" i="15" s="1"/>
  <c r="T157" i="15" s="1"/>
  <c r="C158" i="15" l="1"/>
  <c r="C156" i="15"/>
  <c r="T156" i="15"/>
  <c r="T118" i="15"/>
  <c r="C161" i="15" s="1"/>
  <c r="T155" i="15"/>
  <c r="C155" i="15"/>
  <c r="C125" i="15"/>
  <c r="C240" i="15" s="1"/>
  <c r="T121" i="15"/>
  <c r="T122" i="15"/>
  <c r="C116" i="15"/>
  <c r="T120" i="15"/>
  <c r="C157" i="15"/>
  <c r="C165" i="15" l="1"/>
  <c r="C166" i="15"/>
  <c r="C162" i="15"/>
  <c r="C118" i="15"/>
  <c r="C233" i="15" s="1"/>
  <c r="C168" i="15"/>
  <c r="C167" i="15"/>
  <c r="C164" i="15"/>
  <c r="C120" i="15"/>
  <c r="C235" i="15" s="1"/>
  <c r="C170" i="15"/>
  <c r="C171" i="15"/>
  <c r="C176" i="15"/>
  <c r="C177" i="15"/>
  <c r="C122" i="15"/>
  <c r="C237" i="15" s="1"/>
  <c r="C175" i="15"/>
  <c r="C231" i="15"/>
  <c r="C174" i="15"/>
  <c r="C173" i="15"/>
  <c r="C121" i="15"/>
  <c r="C236" i="15" s="1"/>
  <c r="C172" i="15"/>
  <c r="C124" i="15" l="1"/>
  <c r="C239" i="15" s="1"/>
  <c r="C126" i="15"/>
  <c r="C241" i="15" s="1"/>
  <c r="C127" i="15"/>
  <c r="C242" i="15" s="1"/>
  <c r="H148" i="15"/>
  <c r="D111" i="15"/>
  <c r="H111" i="15"/>
  <c r="J148" i="15"/>
  <c r="G111" i="15"/>
  <c r="G227" i="15" s="1"/>
  <c r="G148" i="15"/>
  <c r="F148" i="15"/>
  <c r="F111" i="15"/>
  <c r="N111" i="15"/>
  <c r="Q148" i="15"/>
  <c r="M148" i="15"/>
  <c r="O111" i="15"/>
  <c r="K111" i="15"/>
  <c r="I111" i="15"/>
  <c r="O148" i="15"/>
  <c r="M111" i="15"/>
  <c r="L148" i="15"/>
  <c r="P148" i="15"/>
  <c r="I148" i="15"/>
  <c r="E148" i="15"/>
  <c r="AD115" i="15"/>
  <c r="AD116" i="15" s="1"/>
  <c r="AD157" i="15" s="1"/>
  <c r="N148" i="15"/>
  <c r="X115" i="15"/>
  <c r="X116" i="15" s="1"/>
  <c r="X157" i="15" s="1"/>
  <c r="D148" i="15"/>
  <c r="K148" i="15"/>
  <c r="J111" i="15"/>
  <c r="J227" i="15" s="1"/>
  <c r="AB115" i="15"/>
  <c r="AB116" i="15" s="1"/>
  <c r="K156" i="15" s="1"/>
  <c r="AA115" i="15"/>
  <c r="AA116" i="15" s="1"/>
  <c r="AF115" i="15"/>
  <c r="AF116" i="15" s="1"/>
  <c r="AF157" i="15" s="1"/>
  <c r="AE115" i="15"/>
  <c r="AE116" i="15" s="1"/>
  <c r="AE157" i="15" s="1"/>
  <c r="Z115" i="15"/>
  <c r="Z116" i="15" s="1"/>
  <c r="W115" i="15"/>
  <c r="W116" i="15" s="1"/>
  <c r="W157" i="15" s="1"/>
  <c r="AC115" i="15"/>
  <c r="AC116" i="15" s="1"/>
  <c r="L111" i="15"/>
  <c r="AG115" i="15"/>
  <c r="AG116" i="15" s="1"/>
  <c r="AG157" i="15" s="1"/>
  <c r="P111" i="15"/>
  <c r="Y115" i="15"/>
  <c r="Y116" i="15" s="1"/>
  <c r="V115" i="15"/>
  <c r="V116" i="15" s="1"/>
  <c r="V157" i="15" s="1"/>
  <c r="E111" i="15"/>
  <c r="AH115" i="15"/>
  <c r="AH116" i="15" s="1"/>
  <c r="AH157" i="15" s="1"/>
  <c r="Q111" i="15"/>
  <c r="U115" i="15"/>
  <c r="U116" i="15" s="1"/>
  <c r="U157" i="15" s="1"/>
  <c r="M158" i="15" l="1"/>
  <c r="M156" i="15"/>
  <c r="AD156" i="15"/>
  <c r="J158" i="15"/>
  <c r="J156" i="15"/>
  <c r="O156" i="15"/>
  <c r="AF156" i="15"/>
  <c r="D158" i="15"/>
  <c r="D156" i="15"/>
  <c r="U156" i="15"/>
  <c r="P158" i="15"/>
  <c r="P156" i="15"/>
  <c r="AG156" i="15"/>
  <c r="L158" i="15"/>
  <c r="L156" i="15"/>
  <c r="H158" i="15"/>
  <c r="H156" i="15"/>
  <c r="Q156" i="15"/>
  <c r="AH156" i="15"/>
  <c r="F156" i="15"/>
  <c r="W156" i="15"/>
  <c r="I158" i="15"/>
  <c r="I156" i="15"/>
  <c r="G158" i="15"/>
  <c r="G156" i="15"/>
  <c r="X156" i="15"/>
  <c r="E156" i="15"/>
  <c r="V156" i="15"/>
  <c r="N156" i="15"/>
  <c r="AE156" i="15"/>
  <c r="AH155" i="15"/>
  <c r="Q158" i="15"/>
  <c r="W155" i="15"/>
  <c r="F158" i="15"/>
  <c r="AB120" i="15"/>
  <c r="K120" i="15" s="1"/>
  <c r="K235" i="15" s="1"/>
  <c r="K158" i="15"/>
  <c r="V155" i="15"/>
  <c r="E158" i="15"/>
  <c r="AE155" i="15"/>
  <c r="N158" i="15"/>
  <c r="AF155" i="15"/>
  <c r="O158" i="15"/>
  <c r="P155" i="15"/>
  <c r="AG155" i="15"/>
  <c r="D157" i="15"/>
  <c r="U155" i="15"/>
  <c r="X155" i="15"/>
  <c r="Z121" i="15"/>
  <c r="I121" i="15" s="1"/>
  <c r="I236" i="15" s="1"/>
  <c r="I155" i="15"/>
  <c r="AD155" i="15"/>
  <c r="M155" i="15"/>
  <c r="F125" i="15"/>
  <c r="F240" i="15" s="1"/>
  <c r="D227" i="15"/>
  <c r="D125" i="15"/>
  <c r="D240" i="15" s="1"/>
  <c r="L227" i="15"/>
  <c r="L125" i="15"/>
  <c r="L240" i="15" s="1"/>
  <c r="K227" i="15"/>
  <c r="K125" i="15"/>
  <c r="K240" i="15" s="1"/>
  <c r="P125" i="15"/>
  <c r="P240" i="15" s="1"/>
  <c r="Q227" i="15"/>
  <c r="Q125" i="15"/>
  <c r="Q240" i="15" s="1"/>
  <c r="O227" i="15"/>
  <c r="O125" i="15"/>
  <c r="O240" i="15" s="1"/>
  <c r="I227" i="15"/>
  <c r="I125" i="15"/>
  <c r="I240" i="15" s="1"/>
  <c r="J125" i="15"/>
  <c r="J240" i="15" s="1"/>
  <c r="M227" i="15"/>
  <c r="M125" i="15"/>
  <c r="M240" i="15" s="1"/>
  <c r="N125" i="15"/>
  <c r="N240" i="15" s="1"/>
  <c r="G125" i="15"/>
  <c r="G240" i="15" s="1"/>
  <c r="E227" i="15"/>
  <c r="E125" i="15"/>
  <c r="E240" i="15" s="1"/>
  <c r="F227" i="15"/>
  <c r="H227" i="15"/>
  <c r="H125" i="15"/>
  <c r="H240" i="15" s="1"/>
  <c r="AF122" i="15"/>
  <c r="O176" i="15" s="1"/>
  <c r="AF120" i="15"/>
  <c r="O170" i="15" s="1"/>
  <c r="O157" i="15"/>
  <c r="AF118" i="15"/>
  <c r="O155" i="15"/>
  <c r="V122" i="15"/>
  <c r="E177" i="15" s="1"/>
  <c r="E157" i="15"/>
  <c r="AH118" i="15"/>
  <c r="AH121" i="15"/>
  <c r="Q173" i="15" s="1"/>
  <c r="Q157" i="15"/>
  <c r="Q155" i="15"/>
  <c r="AH122" i="15"/>
  <c r="Q122" i="15" s="1"/>
  <c r="Q237" i="15" s="1"/>
  <c r="F116" i="15"/>
  <c r="F231" i="15" s="1"/>
  <c r="F155" i="15"/>
  <c r="G116" i="15"/>
  <c r="G231" i="15" s="1"/>
  <c r="I157" i="15"/>
  <c r="Z122" i="15"/>
  <c r="I177" i="15" s="1"/>
  <c r="X118" i="15"/>
  <c r="D155" i="15"/>
  <c r="X120" i="15"/>
  <c r="G170" i="15" s="1"/>
  <c r="AC122" i="15"/>
  <c r="AC118" i="15"/>
  <c r="L166" i="15" s="1"/>
  <c r="L116" i="15"/>
  <c r="L155" i="15"/>
  <c r="AC121" i="15"/>
  <c r="L157" i="15"/>
  <c r="AC120" i="15"/>
  <c r="N157" i="15"/>
  <c r="AE120" i="15"/>
  <c r="AE118" i="15"/>
  <c r="N166" i="15" s="1"/>
  <c r="AE121" i="15"/>
  <c r="N116" i="15"/>
  <c r="N155" i="15"/>
  <c r="AE122" i="15"/>
  <c r="J157" i="15"/>
  <c r="J155" i="15"/>
  <c r="AA118" i="15"/>
  <c r="J166" i="15" s="1"/>
  <c r="AA122" i="15"/>
  <c r="J116" i="15"/>
  <c r="AA121" i="15"/>
  <c r="J172" i="15" s="1"/>
  <c r="AA120" i="15"/>
  <c r="Y121" i="15"/>
  <c r="H172" i="15" s="1"/>
  <c r="H116" i="15"/>
  <c r="H157" i="15"/>
  <c r="Y118" i="15"/>
  <c r="H155" i="15"/>
  <c r="Y122" i="15"/>
  <c r="Y120" i="15"/>
  <c r="I116" i="15"/>
  <c r="W122" i="15"/>
  <c r="W121" i="15"/>
  <c r="P116" i="15"/>
  <c r="AG118" i="15"/>
  <c r="P166" i="15" s="1"/>
  <c r="Z118" i="15"/>
  <c r="I166" i="15" s="1"/>
  <c r="Z120" i="15"/>
  <c r="AG120" i="15"/>
  <c r="U122" i="15"/>
  <c r="D116" i="15"/>
  <c r="U121" i="15"/>
  <c r="AG122" i="15"/>
  <c r="AD121" i="15"/>
  <c r="AD120" i="15"/>
  <c r="AD122" i="15"/>
  <c r="E116" i="15"/>
  <c r="V121" i="15"/>
  <c r="E155" i="15"/>
  <c r="V120" i="15"/>
  <c r="V118" i="15"/>
  <c r="E166" i="15" s="1"/>
  <c r="U118" i="15"/>
  <c r="D166" i="15" s="1"/>
  <c r="M157" i="15"/>
  <c r="P227" i="15"/>
  <c r="F157" i="15"/>
  <c r="W120" i="15"/>
  <c r="W118" i="15"/>
  <c r="F166" i="15" s="1"/>
  <c r="K157" i="15"/>
  <c r="AB122" i="15"/>
  <c r="K155" i="15"/>
  <c r="AB118" i="15"/>
  <c r="K166" i="15" s="1"/>
  <c r="AB121" i="15"/>
  <c r="K116" i="15"/>
  <c r="X121" i="15"/>
  <c r="X122" i="15"/>
  <c r="G157" i="15"/>
  <c r="G155" i="15"/>
  <c r="U120" i="15"/>
  <c r="P157" i="15"/>
  <c r="AG121" i="15"/>
  <c r="AD118" i="15"/>
  <c r="M166" i="15" s="1"/>
  <c r="N227" i="15"/>
  <c r="M116" i="15"/>
  <c r="Q116" i="15"/>
  <c r="O116" i="15"/>
  <c r="AF121" i="15"/>
  <c r="AH120" i="15"/>
  <c r="H167" i="15" l="1"/>
  <c r="H166" i="15"/>
  <c r="K170" i="15"/>
  <c r="K171" i="15"/>
  <c r="I173" i="15"/>
  <c r="I174" i="15"/>
  <c r="I172" i="15"/>
  <c r="G167" i="15"/>
  <c r="G166" i="15"/>
  <c r="O168" i="15"/>
  <c r="O166" i="15"/>
  <c r="Q166" i="15"/>
  <c r="Q174" i="15"/>
  <c r="Q164" i="15"/>
  <c r="G162" i="15"/>
  <c r="O167" i="15"/>
  <c r="Q121" i="15"/>
  <c r="Q236" i="15" s="1"/>
  <c r="O165" i="15"/>
  <c r="Q172" i="15"/>
  <c r="O164" i="15"/>
  <c r="O120" i="15"/>
  <c r="O235" i="15" s="1"/>
  <c r="Q168" i="15"/>
  <c r="Q118" i="15"/>
  <c r="Q233" i="15" s="1"/>
  <c r="O177" i="15"/>
  <c r="Q162" i="15"/>
  <c r="O175" i="15"/>
  <c r="O122" i="15"/>
  <c r="O237" i="15" s="1"/>
  <c r="G168" i="15"/>
  <c r="G164" i="15"/>
  <c r="O161" i="15"/>
  <c r="G165" i="15"/>
  <c r="G161" i="15"/>
  <c r="E176" i="15"/>
  <c r="E175" i="15"/>
  <c r="Q175" i="15"/>
  <c r="I176" i="15"/>
  <c r="G118" i="15"/>
  <c r="G233" i="15" s="1"/>
  <c r="O171" i="15"/>
  <c r="E122" i="15"/>
  <c r="E237" i="15" s="1"/>
  <c r="I175" i="15"/>
  <c r="I122" i="15"/>
  <c r="I237" i="15" s="1"/>
  <c r="G120" i="15"/>
  <c r="G171" i="15"/>
  <c r="O118" i="15"/>
  <c r="O233" i="15" s="1"/>
  <c r="O162" i="15"/>
  <c r="Q177" i="15"/>
  <c r="Q176" i="15"/>
  <c r="Q165" i="15"/>
  <c r="Q161" i="15"/>
  <c r="Q167" i="15"/>
  <c r="E231" i="15"/>
  <c r="N231" i="15"/>
  <c r="M122" i="15"/>
  <c r="M237" i="15" s="1"/>
  <c r="M176" i="15"/>
  <c r="M177" i="15"/>
  <c r="M175" i="15"/>
  <c r="P164" i="15"/>
  <c r="P118" i="15"/>
  <c r="P168" i="15"/>
  <c r="P161" i="15"/>
  <c r="P165" i="15"/>
  <c r="P167" i="15"/>
  <c r="P162" i="15"/>
  <c r="N121" i="15"/>
  <c r="N236" i="15" s="1"/>
  <c r="N172" i="15"/>
  <c r="N173" i="15"/>
  <c r="N174" i="15"/>
  <c r="Q171" i="15"/>
  <c r="Q170" i="15"/>
  <c r="Q120" i="15"/>
  <c r="Q235" i="15" s="1"/>
  <c r="D165" i="15"/>
  <c r="D167" i="15"/>
  <c r="D164" i="15"/>
  <c r="D118" i="15"/>
  <c r="D162" i="15"/>
  <c r="D161" i="15"/>
  <c r="D168" i="15"/>
  <c r="M120" i="15"/>
  <c r="M235" i="15" s="1"/>
  <c r="M171" i="15"/>
  <c r="P177" i="15"/>
  <c r="P175" i="15"/>
  <c r="P176" i="15"/>
  <c r="P122" i="15"/>
  <c r="P237" i="15" s="1"/>
  <c r="P231" i="15"/>
  <c r="N165" i="15"/>
  <c r="N167" i="15"/>
  <c r="N168" i="15"/>
  <c r="N161" i="15"/>
  <c r="N162" i="15"/>
  <c r="N164" i="15"/>
  <c r="N118" i="15"/>
  <c r="N233" i="15" s="1"/>
  <c r="L121" i="15"/>
  <c r="L236" i="15" s="1"/>
  <c r="L173" i="15"/>
  <c r="L174" i="15"/>
  <c r="L172" i="15"/>
  <c r="M231" i="15"/>
  <c r="K118" i="15"/>
  <c r="K233" i="15" s="1"/>
  <c r="K162" i="15"/>
  <c r="K165" i="15"/>
  <c r="K167" i="15"/>
  <c r="K161" i="15"/>
  <c r="K164" i="15"/>
  <c r="K168" i="15"/>
  <c r="I231" i="15"/>
  <c r="H231" i="15"/>
  <c r="M162" i="15"/>
  <c r="M168" i="15"/>
  <c r="M161" i="15"/>
  <c r="M167" i="15"/>
  <c r="M165" i="15"/>
  <c r="M164" i="15"/>
  <c r="M118" i="15"/>
  <c r="M233" i="15" s="1"/>
  <c r="J122" i="15"/>
  <c r="J237" i="15" s="1"/>
  <c r="J176" i="15"/>
  <c r="J177" i="15"/>
  <c r="J175" i="15"/>
  <c r="P121" i="15"/>
  <c r="P236" i="15" s="1"/>
  <c r="P172" i="15"/>
  <c r="P174" i="15"/>
  <c r="P173" i="15"/>
  <c r="K177" i="15"/>
  <c r="K175" i="15"/>
  <c r="K122" i="15"/>
  <c r="K237" i="15" s="1"/>
  <c r="K176" i="15"/>
  <c r="E170" i="15"/>
  <c r="E171" i="15"/>
  <c r="E120" i="15"/>
  <c r="E235" i="15" s="1"/>
  <c r="M173" i="15"/>
  <c r="M121" i="15"/>
  <c r="M236" i="15" s="1"/>
  <c r="M174" i="15"/>
  <c r="H121" i="15"/>
  <c r="H236" i="15" s="1"/>
  <c r="H173" i="15"/>
  <c r="H174" i="15"/>
  <c r="N120" i="15"/>
  <c r="N235" i="15" s="1"/>
  <c r="N171" i="15"/>
  <c r="N170" i="15"/>
  <c r="L231" i="15"/>
  <c r="L120" i="15"/>
  <c r="L235" i="15" s="1"/>
  <c r="L170" i="15"/>
  <c r="L171" i="15"/>
  <c r="H168" i="15"/>
  <c r="H118" i="15"/>
  <c r="H165" i="15"/>
  <c r="H164" i="15"/>
  <c r="H162" i="15"/>
  <c r="H161" i="15"/>
  <c r="F164" i="15"/>
  <c r="F162" i="15"/>
  <c r="F118" i="15"/>
  <c r="F168" i="15"/>
  <c r="F161" i="15"/>
  <c r="F165" i="15"/>
  <c r="F167" i="15"/>
  <c r="D231" i="15"/>
  <c r="I170" i="15"/>
  <c r="I120" i="15"/>
  <c r="I235" i="15" s="1"/>
  <c r="I171" i="15"/>
  <c r="F174" i="15"/>
  <c r="F172" i="15"/>
  <c r="F173" i="15"/>
  <c r="F121" i="15"/>
  <c r="F236" i="15" s="1"/>
  <c r="H120" i="15"/>
  <c r="H235" i="15" s="1"/>
  <c r="H171" i="15"/>
  <c r="J120" i="15"/>
  <c r="J235" i="15" s="1"/>
  <c r="J171" i="15"/>
  <c r="E168" i="15"/>
  <c r="E161" i="15"/>
  <c r="E165" i="15"/>
  <c r="E118" i="15"/>
  <c r="E233" i="15" s="1"/>
  <c r="E167" i="15"/>
  <c r="E164" i="15"/>
  <c r="E162" i="15"/>
  <c r="D121" i="15"/>
  <c r="D236" i="15" s="1"/>
  <c r="D173" i="15"/>
  <c r="D172" i="15"/>
  <c r="D174" i="15"/>
  <c r="O172" i="15"/>
  <c r="O121" i="15"/>
  <c r="O236" i="15" s="1"/>
  <c r="O173" i="15"/>
  <c r="O174" i="15"/>
  <c r="O231" i="15"/>
  <c r="G122" i="15"/>
  <c r="G237" i="15" s="1"/>
  <c r="G177" i="15"/>
  <c r="G175" i="15"/>
  <c r="G176" i="15"/>
  <c r="Q231" i="15"/>
  <c r="G121" i="15"/>
  <c r="G172" i="15"/>
  <c r="G174" i="15"/>
  <c r="G173" i="15"/>
  <c r="E121" i="15"/>
  <c r="E236" i="15" s="1"/>
  <c r="E174" i="15"/>
  <c r="E173" i="15"/>
  <c r="E172" i="15"/>
  <c r="D122" i="15"/>
  <c r="D237" i="15" s="1"/>
  <c r="D176" i="15"/>
  <c r="D177" i="15"/>
  <c r="D175" i="15"/>
  <c r="I165" i="15"/>
  <c r="I167" i="15"/>
  <c r="I118" i="15"/>
  <c r="I168" i="15"/>
  <c r="I164" i="15"/>
  <c r="I161" i="15"/>
  <c r="I162" i="15"/>
  <c r="F122" i="15"/>
  <c r="F237" i="15" s="1"/>
  <c r="F176" i="15"/>
  <c r="F177" i="15"/>
  <c r="F175" i="15"/>
  <c r="H122" i="15"/>
  <c r="H237" i="15" s="1"/>
  <c r="H177" i="15"/>
  <c r="H175" i="15"/>
  <c r="H176" i="15"/>
  <c r="J173" i="15"/>
  <c r="J121" i="15"/>
  <c r="J236" i="15" s="1"/>
  <c r="J174" i="15"/>
  <c r="N177" i="15"/>
  <c r="N176" i="15"/>
  <c r="N122" i="15"/>
  <c r="N237" i="15" s="1"/>
  <c r="N175" i="15"/>
  <c r="L161" i="15"/>
  <c r="L162" i="15"/>
  <c r="L165" i="15"/>
  <c r="L164" i="15"/>
  <c r="L167" i="15"/>
  <c r="L168" i="15"/>
  <c r="L118" i="15"/>
  <c r="K173" i="15"/>
  <c r="K174" i="15"/>
  <c r="K121" i="15"/>
  <c r="K236" i="15" s="1"/>
  <c r="K172" i="15"/>
  <c r="J161" i="15"/>
  <c r="J164" i="15"/>
  <c r="J165" i="15"/>
  <c r="J167" i="15"/>
  <c r="J118" i="15"/>
  <c r="J168" i="15"/>
  <c r="J162" i="15"/>
  <c r="D171" i="15"/>
  <c r="D170" i="15"/>
  <c r="D120" i="15"/>
  <c r="D235" i="15" s="1"/>
  <c r="K231" i="15"/>
  <c r="F120" i="15"/>
  <c r="F235" i="15" s="1"/>
  <c r="F170" i="15"/>
  <c r="F171" i="15"/>
  <c r="P120" i="15"/>
  <c r="P235" i="15" s="1"/>
  <c r="P171" i="15"/>
  <c r="P170" i="15"/>
  <c r="J231" i="15"/>
  <c r="L122" i="15"/>
  <c r="L237" i="15" s="1"/>
  <c r="L176" i="15"/>
  <c r="L177" i="15"/>
  <c r="L175" i="15"/>
  <c r="N127" i="15" l="1"/>
  <c r="N242" i="15" s="1"/>
  <c r="P124" i="15"/>
  <c r="P239" i="15" s="1"/>
  <c r="L124" i="15"/>
  <c r="L239" i="15" s="1"/>
  <c r="F126" i="15"/>
  <c r="F241" i="15" s="1"/>
  <c r="G126" i="15"/>
  <c r="G241" i="15" s="1"/>
  <c r="N126" i="15"/>
  <c r="N241" i="15" s="1"/>
  <c r="H126" i="15"/>
  <c r="H241" i="15" s="1"/>
  <c r="I126" i="15"/>
  <c r="I241" i="15" s="1"/>
  <c r="D124" i="15"/>
  <c r="D239" i="15" s="1"/>
  <c r="J124" i="15"/>
  <c r="J239" i="15" s="1"/>
  <c r="O126" i="15"/>
  <c r="O241" i="15" s="1"/>
  <c r="H124" i="15"/>
  <c r="H239" i="15" s="1"/>
  <c r="M124" i="15"/>
  <c r="M239" i="15" s="1"/>
  <c r="N124" i="15"/>
  <c r="N239" i="15" s="1"/>
  <c r="K126" i="15"/>
  <c r="K241" i="15" s="1"/>
  <c r="P126" i="15"/>
  <c r="P241" i="15" s="1"/>
  <c r="D126" i="15"/>
  <c r="D241" i="15" s="1"/>
  <c r="Q124" i="15"/>
  <c r="Q239" i="15" s="1"/>
  <c r="E127" i="15"/>
  <c r="E242" i="15" s="1"/>
  <c r="F124" i="15"/>
  <c r="F239" i="15" s="1"/>
  <c r="M126" i="15"/>
  <c r="M241" i="15" s="1"/>
  <c r="I124" i="15"/>
  <c r="I239" i="15" s="1"/>
  <c r="J126" i="15"/>
  <c r="J241" i="15" s="1"/>
  <c r="E124" i="15"/>
  <c r="E239" i="15" s="1"/>
  <c r="Q126" i="15"/>
  <c r="Q241" i="15" s="1"/>
  <c r="G235" i="15"/>
  <c r="G124" i="15"/>
  <c r="G239" i="15" s="1"/>
  <c r="L126" i="15"/>
  <c r="L241" i="15" s="1"/>
  <c r="E126" i="15"/>
  <c r="E241" i="15" s="1"/>
  <c r="O124" i="15"/>
  <c r="O239" i="15" s="1"/>
  <c r="K124" i="15"/>
  <c r="K239" i="15" s="1"/>
  <c r="Q127" i="15"/>
  <c r="Q242" i="15" s="1"/>
  <c r="L233" i="15"/>
  <c r="L127" i="15"/>
  <c r="L242" i="15" s="1"/>
  <c r="J233" i="15"/>
  <c r="J127" i="15"/>
  <c r="J242" i="15" s="1"/>
  <c r="H233" i="15"/>
  <c r="H127" i="15"/>
  <c r="H242" i="15" s="1"/>
  <c r="I233" i="15"/>
  <c r="I127" i="15"/>
  <c r="I242" i="15" s="1"/>
  <c r="O127" i="15"/>
  <c r="O242" i="15" s="1"/>
  <c r="P233" i="15"/>
  <c r="P127" i="15"/>
  <c r="P242" i="15" s="1"/>
  <c r="F233" i="15"/>
  <c r="F127" i="15"/>
  <c r="F242" i="15" s="1"/>
  <c r="K127" i="15"/>
  <c r="K242" i="15" s="1"/>
  <c r="G236" i="15"/>
  <c r="G127" i="15"/>
  <c r="G242" i="15" s="1"/>
  <c r="M127" i="15"/>
  <c r="M242" i="15" s="1"/>
  <c r="D233" i="15"/>
  <c r="D127" i="15"/>
  <c r="D242" i="15" s="1"/>
</calcChain>
</file>

<file path=xl/sharedStrings.xml><?xml version="1.0" encoding="utf-8"?>
<sst xmlns="http://schemas.openxmlformats.org/spreadsheetml/2006/main" count="2580" uniqueCount="744">
  <si>
    <t>Country</t>
  </si>
  <si>
    <t>Base year</t>
  </si>
  <si>
    <t>Units</t>
  </si>
  <si>
    <t>Forestry</t>
  </si>
  <si>
    <t>Textiles</t>
  </si>
  <si>
    <t>Other manufacturing</t>
  </si>
  <si>
    <t>Construction</t>
  </si>
  <si>
    <t>Business services</t>
  </si>
  <si>
    <t>Public administration</t>
  </si>
  <si>
    <t>Education</t>
  </si>
  <si>
    <t>Other services</t>
  </si>
  <si>
    <t>Pulses</t>
  </si>
  <si>
    <t>Fishing</t>
  </si>
  <si>
    <t>Fruit and vegetable processing</t>
  </si>
  <si>
    <t>Fats and oils</t>
  </si>
  <si>
    <t>Non-metal minerals</t>
  </si>
  <si>
    <t>Electricity, gas and steam</t>
  </si>
  <si>
    <t>Water supply and sewage</t>
  </si>
  <si>
    <t>Wholesale and retail trade</t>
  </si>
  <si>
    <t>Transportation and storage</t>
  </si>
  <si>
    <t>Information and communication</t>
  </si>
  <si>
    <t>Finance and insurance</t>
  </si>
  <si>
    <t>Real estate activities</t>
  </si>
  <si>
    <t>Health and social work</t>
  </si>
  <si>
    <t>puls</t>
  </si>
  <si>
    <t>oils</t>
  </si>
  <si>
    <t>root</t>
  </si>
  <si>
    <t>vege</t>
  </si>
  <si>
    <t>frui</t>
  </si>
  <si>
    <t>ocrp</t>
  </si>
  <si>
    <t>fore</t>
  </si>
  <si>
    <t>fish</t>
  </si>
  <si>
    <t>meat</t>
  </si>
  <si>
    <t>fveg</t>
  </si>
  <si>
    <t>foil</t>
  </si>
  <si>
    <t>gmll</t>
  </si>
  <si>
    <t>text</t>
  </si>
  <si>
    <t>wood</t>
  </si>
  <si>
    <t>petr</t>
  </si>
  <si>
    <t>chem</t>
  </si>
  <si>
    <t>nmet</t>
  </si>
  <si>
    <t>metl</t>
  </si>
  <si>
    <t>mach</t>
  </si>
  <si>
    <t>oman</t>
  </si>
  <si>
    <t>elec</t>
  </si>
  <si>
    <t>watr</t>
  </si>
  <si>
    <t>cons</t>
  </si>
  <si>
    <t>trad</t>
  </si>
  <si>
    <t>tran</t>
  </si>
  <si>
    <t>hotl</t>
  </si>
  <si>
    <t>comm</t>
  </si>
  <si>
    <t>fsrv</t>
  </si>
  <si>
    <t>real</t>
  </si>
  <si>
    <t>bsrv</t>
  </si>
  <si>
    <t>padm</t>
  </si>
  <si>
    <t>educ</t>
  </si>
  <si>
    <t>heal</t>
  </si>
  <si>
    <t>osrv</t>
  </si>
  <si>
    <t>Factors (f)</t>
  </si>
  <si>
    <t>lnd</t>
  </si>
  <si>
    <t xml:space="preserve">Land - agricultural crops </t>
  </si>
  <si>
    <t>cap-c</t>
  </si>
  <si>
    <t>Capital - crops</t>
  </si>
  <si>
    <t>cap-l</t>
  </si>
  <si>
    <t>Capital - livestock</t>
  </si>
  <si>
    <t>cap-m</t>
  </si>
  <si>
    <t>Capital - mining</t>
  </si>
  <si>
    <t>cap-o</t>
  </si>
  <si>
    <t>Capital - other</t>
  </si>
  <si>
    <t xml:space="preserve">Activities (a) and commodities (c) </t>
  </si>
  <si>
    <t>Households (hhd)</t>
  </si>
  <si>
    <t>f1</t>
  </si>
  <si>
    <t>Rural farm - quintile 1</t>
  </si>
  <si>
    <t>f2</t>
  </si>
  <si>
    <t>Rural farm - quintile 2</t>
  </si>
  <si>
    <t>f3</t>
  </si>
  <si>
    <t>Rural farm - quintile 3</t>
  </si>
  <si>
    <t>f4</t>
  </si>
  <si>
    <t>Rural farm - quintile 4</t>
  </si>
  <si>
    <t>f5</t>
  </si>
  <si>
    <t>Rural farm - quintile 5</t>
  </si>
  <si>
    <t>n1</t>
  </si>
  <si>
    <t>Rural nonfarm - quintile 1</t>
  </si>
  <si>
    <t>n2</t>
  </si>
  <si>
    <t>Rural nonfarm - quintile 2</t>
  </si>
  <si>
    <t>n3</t>
  </si>
  <si>
    <t>Rural nonfarm - quintile 3</t>
  </si>
  <si>
    <t>n4</t>
  </si>
  <si>
    <t>Rural nonfarm - quintile 4</t>
  </si>
  <si>
    <t>n5</t>
  </si>
  <si>
    <t>Rural nonfarm - quintile 5</t>
  </si>
  <si>
    <t>u1</t>
  </si>
  <si>
    <t>Urban - quintile 1</t>
  </si>
  <si>
    <t>u2</t>
  </si>
  <si>
    <t>Urban - quintile 2</t>
  </si>
  <si>
    <t>u3</t>
  </si>
  <si>
    <t>Urban - quintile 3</t>
  </si>
  <si>
    <t>u4</t>
  </si>
  <si>
    <t>Urban - quintile 4</t>
  </si>
  <si>
    <t>u5</t>
  </si>
  <si>
    <t>Urban - quintile 5</t>
  </si>
  <si>
    <t>Other accounts</t>
  </si>
  <si>
    <t>trc</t>
  </si>
  <si>
    <t>Transaction costs</t>
  </si>
  <si>
    <t>ent</t>
  </si>
  <si>
    <t>Enterprises</t>
  </si>
  <si>
    <t>gov</t>
  </si>
  <si>
    <t>Government</t>
  </si>
  <si>
    <t>atax</t>
  </si>
  <si>
    <t>Taxes - activity</t>
  </si>
  <si>
    <t>dtax</t>
  </si>
  <si>
    <t>Taxes - direct</t>
  </si>
  <si>
    <t>etax</t>
  </si>
  <si>
    <t>Taxes - export</t>
  </si>
  <si>
    <t>ftax</t>
  </si>
  <si>
    <t>Taxes - factor</t>
  </si>
  <si>
    <t>mtax</t>
  </si>
  <si>
    <t>Taxes - import</t>
  </si>
  <si>
    <t>stax</t>
  </si>
  <si>
    <t>Taxes - sales</t>
  </si>
  <si>
    <t>s-i</t>
  </si>
  <si>
    <t>Savings-investment</t>
  </si>
  <si>
    <t>dstk</t>
  </si>
  <si>
    <t>Change in stocks</t>
  </si>
  <si>
    <t>row</t>
  </si>
  <si>
    <t>Rest of world</t>
  </si>
  <si>
    <t>total</t>
  </si>
  <si>
    <t>Total</t>
  </si>
  <si>
    <t>GAMS GDX Index</t>
  </si>
  <si>
    <t>Do not alter this sheet.</t>
  </si>
  <si>
    <t>rdim</t>
  </si>
  <si>
    <t>cdim</t>
  </si>
  <si>
    <t>par</t>
  </si>
  <si>
    <t>nsam</t>
  </si>
  <si>
    <t>sam!a7</t>
  </si>
  <si>
    <t>amaiz</t>
  </si>
  <si>
    <t>arice</t>
  </si>
  <si>
    <t>aocer</t>
  </si>
  <si>
    <t>apuls</t>
  </si>
  <si>
    <t>agnut</t>
  </si>
  <si>
    <t>aoils</t>
  </si>
  <si>
    <t>acass</t>
  </si>
  <si>
    <t>aroot</t>
  </si>
  <si>
    <t>avege</t>
  </si>
  <si>
    <t>asugr</t>
  </si>
  <si>
    <t>atoba</t>
  </si>
  <si>
    <t>acott</t>
  </si>
  <si>
    <t>afrui</t>
  </si>
  <si>
    <t>aocrp</t>
  </si>
  <si>
    <t>acatt</t>
  </si>
  <si>
    <t>apoul</t>
  </si>
  <si>
    <t>afore</t>
  </si>
  <si>
    <t>afish</t>
  </si>
  <si>
    <t>ameat</t>
  </si>
  <si>
    <t>agmll</t>
  </si>
  <si>
    <t>atext</t>
  </si>
  <si>
    <t>awood</t>
  </si>
  <si>
    <t>afert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</si>
  <si>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</si>
  <si>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</si>
  <si>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</si>
  <si>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</si>
  <si>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</si>
  <si>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</si>
  <si>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</si>
  <si>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</si>
  <si>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</si>
  <si>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</si>
  <si>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</si>
  <si>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</si>
  <si>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</si>
  <si>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</si>
  <si>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</si>
  <si>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</si>
  <si>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</si>
  <si>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</si>
  <si>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</si>
  <si>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cpuls</t>
  </si>
  <si>
    <t>coils</t>
  </si>
  <si>
    <t>croot</t>
  </si>
  <si>
    <t>cvege</t>
  </si>
  <si>
    <t>cfrui</t>
  </si>
  <si>
    <t>cocrp</t>
  </si>
  <si>
    <t>cfore</t>
  </si>
  <si>
    <t>cfish</t>
  </si>
  <si>
    <t>cmeat</t>
  </si>
  <si>
    <t>cgmll</t>
  </si>
  <si>
    <t>ctext</t>
  </si>
  <si>
    <t>cwood</t>
  </si>
  <si>
    <t>cpetr</t>
  </si>
  <si>
    <t>cfert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</si>
  <si>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</si>
  <si>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</si>
  <si>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</si>
  <si>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</si>
  <si>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</si>
  <si>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</si>
  <si>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</si>
  <si>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</si>
  <si>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</si>
  <si>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</si>
  <si>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</si>
  <si>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</si>
  <si>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</si>
  <si>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</si>
  <si>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</si>
  <si>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</si>
  <si>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</si>
  <si>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</si>
  <si>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</si>
  <si>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flab-rp</t>
  </si>
  <si>
    <t>flab-rs</t>
  </si>
  <si>
    <t>flab-rt</t>
  </si>
  <si>
    <t>flab-up</t>
  </si>
  <si>
    <t>flab-us</t>
  </si>
  <si>
    <t>flab-ut</t>
  </si>
  <si>
    <t>flnd</t>
  </si>
  <si>
    <t>hhd-f1</t>
  </si>
  <si>
    <t>hhd-f2</t>
  </si>
  <si>
    <t>hhd-f3</t>
  </si>
  <si>
    <t>hhd-f4</t>
  </si>
  <si>
    <t>hhd-f5</t>
  </si>
  <si>
    <t>hhd-u1</t>
  </si>
  <si>
    <t>hhd-u2</t>
  </si>
  <si>
    <t>hhd-u3</t>
  </si>
  <si>
    <t>hhd-u4</t>
  </si>
  <si>
    <t>hhd-u5</t>
  </si>
  <si>
    <t>Nexus Social Accounting Matrix</t>
  </si>
  <si>
    <t>Do not alter this sheet. This data is exported from x1aggregate.gms and x1aggregate.xlsx files, which aggregates the original SAM into the standard Nexus SAM structure.</t>
  </si>
  <si>
    <t>Set Definitions</t>
  </si>
  <si>
    <t>a</t>
  </si>
  <si>
    <t>c</t>
  </si>
  <si>
    <t>f</t>
  </si>
  <si>
    <t>h</t>
  </si>
  <si>
    <t>ac</t>
  </si>
  <si>
    <t>Regions</t>
  </si>
  <si>
    <t>Commodities</t>
  </si>
  <si>
    <t>Factors</t>
  </si>
  <si>
    <t>Institutions</t>
  </si>
  <si>
    <t>MAC</t>
  </si>
  <si>
    <t>All</t>
  </si>
  <si>
    <t>Labor</t>
  </si>
  <si>
    <t>Capital</t>
  </si>
  <si>
    <t>Livestock</t>
  </si>
  <si>
    <t>Land</t>
  </si>
  <si>
    <t>Domestic</t>
  </si>
  <si>
    <t>Exports</t>
  </si>
  <si>
    <t>Imports</t>
  </si>
  <si>
    <t>MARG</t>
  </si>
  <si>
    <t>RG</t>
  </si>
  <si>
    <t>A</t>
  </si>
  <si>
    <t>ARG</t>
  </si>
  <si>
    <t>C</t>
  </si>
  <si>
    <t>FLIV</t>
  </si>
  <si>
    <t>FLND</t>
  </si>
  <si>
    <t>INS</t>
  </si>
  <si>
    <t>INSD</t>
  </si>
  <si>
    <t>INSDNG</t>
  </si>
  <si>
    <t>EN</t>
  </si>
  <si>
    <t>H</t>
  </si>
  <si>
    <t>CTD</t>
  </si>
  <si>
    <t>CTE</t>
  </si>
  <si>
    <t>CTM</t>
  </si>
  <si>
    <t>AC</t>
  </si>
  <si>
    <t>F</t>
  </si>
  <si>
    <t>FLAB</t>
  </si>
  <si>
    <t>FCAP</t>
  </si>
  <si>
    <t>Global set</t>
  </si>
  <si>
    <t>Activities</t>
  </si>
  <si>
    <t>Non-government</t>
  </si>
  <si>
    <t>Households</t>
  </si>
  <si>
    <t>Export</t>
  </si>
  <si>
    <t>Import</t>
  </si>
  <si>
    <t>Mapping activities to regions</t>
  </si>
  <si>
    <t>Mapping activities to commodities</t>
  </si>
  <si>
    <t>asorg</t>
  </si>
  <si>
    <t>awhea</t>
  </si>
  <si>
    <t>acoco</t>
  </si>
  <si>
    <t>acoff</t>
  </si>
  <si>
    <t>ateal</t>
  </si>
  <si>
    <t>aflwr</t>
  </si>
  <si>
    <t>amilk</t>
  </si>
  <si>
    <t>asmlr</t>
  </si>
  <si>
    <t>aoliv</t>
  </si>
  <si>
    <t>afsea</t>
  </si>
  <si>
    <t>adair</t>
  </si>
  <si>
    <t>afveg</t>
  </si>
  <si>
    <t>afoil</t>
  </si>
  <si>
    <t>apetr</t>
  </si>
  <si>
    <t>cmilk</t>
  </si>
  <si>
    <t>cfsea</t>
  </si>
  <si>
    <t>cdair</t>
  </si>
  <si>
    <t>cfveg</t>
  </si>
  <si>
    <t>cfoil</t>
  </si>
  <si>
    <t>flab-rn</t>
  </si>
  <si>
    <t>flab-un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</si>
  <si>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</si>
  <si>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</si>
  <si>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</si>
  <si>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</si>
  <si>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</si>
  <si>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</si>
  <si>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</si>
  <si>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</si>
  <si>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</si>
  <si>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</si>
  <si>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</si>
  <si>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</si>
  <si>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</si>
  <si>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</si>
  <si>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Do not alter this sheet, unless you are adding new regions.</t>
  </si>
  <si>
    <t>rg</t>
  </si>
  <si>
    <t>arg</t>
  </si>
  <si>
    <t>flab</t>
  </si>
  <si>
    <t>fliv</t>
  </si>
  <si>
    <t>fcap</t>
  </si>
  <si>
    <t>ins</t>
  </si>
  <si>
    <t>insd</t>
  </si>
  <si>
    <t>insdng</t>
  </si>
  <si>
    <t>en</t>
  </si>
  <si>
    <t>ctd</t>
  </si>
  <si>
    <t>cte</t>
  </si>
  <si>
    <t>ctm</t>
  </si>
  <si>
    <t>mac</t>
  </si>
  <si>
    <t>marg</t>
  </si>
  <si>
    <t>dset</t>
  </si>
  <si>
    <t>set</t>
  </si>
  <si>
    <t>values=nodata</t>
  </si>
  <si>
    <t>sets!a7</t>
  </si>
  <si>
    <t>sets!b7</t>
  </si>
  <si>
    <t>sets!c7</t>
  </si>
  <si>
    <t>sets!d7</t>
  </si>
  <si>
    <t>sets!e7</t>
  </si>
  <si>
    <t>sets!f7</t>
  </si>
  <si>
    <t>sets!g7</t>
  </si>
  <si>
    <t>sets!h7</t>
  </si>
  <si>
    <t>sets!i7</t>
  </si>
  <si>
    <t>sets!j7</t>
  </si>
  <si>
    <t>sets!k7</t>
  </si>
  <si>
    <t>sets!l7</t>
  </si>
  <si>
    <t>sets!m7</t>
  </si>
  <si>
    <t>sets!n7</t>
  </si>
  <si>
    <t>sets!o7</t>
  </si>
  <si>
    <t>sets!p7</t>
  </si>
  <si>
    <t>sets!q7</t>
  </si>
  <si>
    <t>sets!r7</t>
  </si>
  <si>
    <t>sets!t7</t>
  </si>
  <si>
    <t>sets!w7</t>
  </si>
  <si>
    <t>sam</t>
  </si>
  <si>
    <t>elasticities!a7</t>
  </si>
  <si>
    <t>elasticities!e7</t>
  </si>
  <si>
    <t>production!a7</t>
  </si>
  <si>
    <t>population!a7</t>
  </si>
  <si>
    <t>tradelas</t>
  </si>
  <si>
    <t>prodelastab</t>
  </si>
  <si>
    <t>leselas1</t>
  </si>
  <si>
    <t>qfinput</t>
  </si>
  <si>
    <t>wfinput</t>
  </si>
  <si>
    <t>poptab</t>
  </si>
  <si>
    <t>AL</t>
  </si>
  <si>
    <t>employment!a7</t>
  </si>
  <si>
    <t>employment!c7</t>
  </si>
  <si>
    <t>al</t>
  </si>
  <si>
    <t>mala</t>
  </si>
  <si>
    <t>Instruction</t>
  </si>
  <si>
    <t>Factor and Trade Substitution Elasticities</t>
  </si>
  <si>
    <t>Enter elasticities if available.</t>
  </si>
  <si>
    <t>Trade elasticities (TRADELAS)</t>
  </si>
  <si>
    <t>Armington</t>
  </si>
  <si>
    <t>Transformation</t>
  </si>
  <si>
    <t>SIGMAQ</t>
  </si>
  <si>
    <t>SIGMAT</t>
  </si>
  <si>
    <t>Production elasticities (PRODELAS)</t>
  </si>
  <si>
    <t>Factor substitution</t>
  </si>
  <si>
    <t>PRODELAS</t>
  </si>
  <si>
    <t>PRODELAS2</t>
  </si>
  <si>
    <t>Region</t>
  </si>
  <si>
    <t>Factor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</si>
  <si>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</si>
  <si>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</si>
  <si>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</si>
  <si>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</si>
  <si>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</si>
  <si>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</si>
  <si>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</si>
  <si>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</si>
  <si>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</t>
  </si>
  <si>
    <t>Animal products nec</t>
  </si>
  <si>
    <t>Raw milk</t>
  </si>
  <si>
    <t>Wool, silk-worm cocoons</t>
  </si>
  <si>
    <t>Coal</t>
  </si>
  <si>
    <t>Oil</t>
  </si>
  <si>
    <t>Gas</t>
  </si>
  <si>
    <t>Minerals nec</t>
  </si>
  <si>
    <t>Bovine meat prods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</si>
  <si>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</si>
  <si>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</si>
  <si>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</si>
  <si>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</si>
  <si>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</si>
  <si>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</si>
  <si>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</si>
  <si>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</si>
  <si>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</si>
  <si>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Wood products</t>
  </si>
  <si>
    <t>Paper products, publishing</t>
  </si>
  <si>
    <t>Petroleum, coal products</t>
  </si>
  <si>
    <t>Chemical, rubber, plastic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</si>
  <si>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</si>
  <si>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</si>
  <si>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</si>
  <si>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</si>
  <si>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</si>
  <si>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</si>
  <si>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Electronic equipment</t>
  </si>
  <si>
    <t>Machinery and equipment nec</t>
  </si>
  <si>
    <t>Manufactures nec</t>
  </si>
  <si>
    <t>Electricity</t>
  </si>
  <si>
    <t>Gas manufacture, distribution</t>
  </si>
  <si>
    <t>Water</t>
  </si>
  <si>
    <t>Trade</t>
  </si>
  <si>
    <t>Transport nec</t>
  </si>
  <si>
    <t>Water transport</t>
  </si>
  <si>
    <t>Air transport</t>
  </si>
  <si>
    <t>Communication</t>
  </si>
  <si>
    <t>Financial services nec</t>
  </si>
  <si>
    <t>Insurance</t>
  </si>
  <si>
    <t>Business services nec</t>
  </si>
  <si>
    <t>Recreational and other services</t>
  </si>
  <si>
    <t>Public Admin, Defense, Education,</t>
  </si>
  <si>
    <t>Dwellings</t>
  </si>
  <si>
    <t>Original GTAP elasticities</t>
  </si>
  <si>
    <t>Assigned GTAP elasticities</t>
  </si>
  <si>
    <t>Mapped</t>
  </si>
  <si>
    <t>prod</t>
  </si>
  <si>
    <t>area</t>
  </si>
  <si>
    <t>yield</t>
  </si>
  <si>
    <t>Agricultural Production Quantities</t>
  </si>
  <si>
    <t>Enter land area and quantity produced for crops and livestock (by region if necessary)</t>
  </si>
  <si>
    <t>Labor Employment</t>
  </si>
  <si>
    <t>Aggregate sectors</t>
  </si>
  <si>
    <t>Mapping to subsectors</t>
  </si>
  <si>
    <t>crp</t>
  </si>
  <si>
    <t>liv</t>
  </si>
  <si>
    <t>oag</t>
  </si>
  <si>
    <t>min</t>
  </si>
  <si>
    <t>fdp</t>
  </si>
  <si>
    <t>txt</t>
  </si>
  <si>
    <t>wdp</t>
  </si>
  <si>
    <t>chm</t>
  </si>
  <si>
    <t>nmt</t>
  </si>
  <si>
    <t>mch</t>
  </si>
  <si>
    <t>omn</t>
  </si>
  <si>
    <t>utl</t>
  </si>
  <si>
    <t>con</t>
  </si>
  <si>
    <t>trn</t>
  </si>
  <si>
    <t>pad</t>
  </si>
  <si>
    <t>edu</t>
  </si>
  <si>
    <t>hsw</t>
  </si>
  <si>
    <t>osv</t>
  </si>
  <si>
    <t>Sectoral wages (WFBASE)</t>
  </si>
  <si>
    <t>Sectoral employment (QFBASE)</t>
  </si>
  <si>
    <t>Enter either aggregate sector wages or employment numbers</t>
  </si>
  <si>
    <t>Household Population</t>
  </si>
  <si>
    <t>Enter number of people in each representative household group (sums to national population).</t>
  </si>
  <si>
    <t>Summary</t>
  </si>
  <si>
    <t>Q1</t>
  </si>
  <si>
    <t>National</t>
  </si>
  <si>
    <t>Urban</t>
  </si>
  <si>
    <t>Q2</t>
  </si>
  <si>
    <t>Q3</t>
  </si>
  <si>
    <t>Q4</t>
  </si>
  <si>
    <t>Q5</t>
  </si>
  <si>
    <t>People</t>
  </si>
  <si>
    <t>Share</t>
  </si>
  <si>
    <t>proddata</t>
  </si>
  <si>
    <t>REMEXP</t>
  </si>
  <si>
    <t>REMIMP</t>
  </si>
  <si>
    <t>REEXPORT</t>
  </si>
  <si>
    <t>NETIMPS</t>
  </si>
  <si>
    <t>NETEXPS</t>
  </si>
  <si>
    <t>Re-exports</t>
  </si>
  <si>
    <t xml:space="preserve">Net out trade </t>
  </si>
  <si>
    <t>Remove small trade shares</t>
  </si>
  <si>
    <t>Adjustments to SAM Trade Flows</t>
  </si>
  <si>
    <t>remexp</t>
  </si>
  <si>
    <t>remimp</t>
  </si>
  <si>
    <t>reexport</t>
  </si>
  <si>
    <t>netexps</t>
  </si>
  <si>
    <t>netimps</t>
  </si>
  <si>
    <t>adjust!a7</t>
  </si>
  <si>
    <t>adjust!b7</t>
  </si>
  <si>
    <t>adjust!c7</t>
  </si>
  <si>
    <t>adjust!d7</t>
  </si>
  <si>
    <t>adjust!e7</t>
  </si>
  <si>
    <t>adjust!f7</t>
  </si>
  <si>
    <t>milk</t>
  </si>
  <si>
    <t>Meat processing</t>
  </si>
  <si>
    <t>fsea</t>
  </si>
  <si>
    <t>Fish and seafood processing</t>
  </si>
  <si>
    <t>dair</t>
  </si>
  <si>
    <t>Dairy</t>
  </si>
  <si>
    <t>fert</t>
  </si>
  <si>
    <t>employment!g6</t>
  </si>
  <si>
    <t>crp_cer</t>
  </si>
  <si>
    <t>crp_rts</t>
  </si>
  <si>
    <t>crp_pul</t>
  </si>
  <si>
    <t>crp_oil</t>
  </si>
  <si>
    <t>crp_veg</t>
  </si>
  <si>
    <t>crp_fru</t>
  </si>
  <si>
    <t>crp_exp</t>
  </si>
  <si>
    <t>crp_oth</t>
  </si>
  <si>
    <t>oag_for</t>
  </si>
  <si>
    <t>oag_fsh</t>
  </si>
  <si>
    <t>com</t>
  </si>
  <si>
    <t>fdp_hgh</t>
  </si>
  <si>
    <t>fdp_low</t>
  </si>
  <si>
    <t>Petroleum products</t>
  </si>
  <si>
    <t>Fertilizers and herbicides</t>
  </si>
  <si>
    <t>Machinery and other equipment</t>
  </si>
  <si>
    <t>Household survey data</t>
  </si>
  <si>
    <t>Target population</t>
  </si>
  <si>
    <t>Agriculture</t>
  </si>
  <si>
    <t>Industry</t>
  </si>
  <si>
    <t>sets!aa7</t>
  </si>
  <si>
    <t>sets!ab7</t>
  </si>
  <si>
    <t>sets!ac7</t>
  </si>
  <si>
    <t>sets!ad7</t>
  </si>
  <si>
    <t>sets!ae7</t>
  </si>
  <si>
    <t>sets!af7</t>
  </si>
  <si>
    <t>sets!ag7</t>
  </si>
  <si>
    <t>sets!ah7</t>
  </si>
  <si>
    <t>sets!ai7</t>
  </si>
  <si>
    <t>Sectoral groups for employment calculations</t>
  </si>
  <si>
    <t>Production</t>
  </si>
  <si>
    <t>Area</t>
  </si>
  <si>
    <t>Yield</t>
  </si>
  <si>
    <t>mt/ha</t>
  </si>
  <si>
    <t>1000mt</t>
  </si>
  <si>
    <t>1000ha</t>
  </si>
  <si>
    <t>*</t>
  </si>
  <si>
    <t>Perfect substitutes</t>
  </si>
  <si>
    <t>aipot</t>
  </si>
  <si>
    <t>aspot</t>
  </si>
  <si>
    <t>aleaf</t>
  </si>
  <si>
    <t>anuts</t>
  </si>
  <si>
    <t>abana</t>
  </si>
  <si>
    <t>aeggs</t>
  </si>
  <si>
    <t>arest</t>
  </si>
  <si>
    <t>crest</t>
  </si>
  <si>
    <t>rest</t>
  </si>
  <si>
    <t>arubb</t>
  </si>
  <si>
    <t>flab-n</t>
  </si>
  <si>
    <t>flab-p</t>
  </si>
  <si>
    <t>flab-s</t>
  </si>
  <si>
    <t>flab-t</t>
  </si>
  <si>
    <t>employment!g50</t>
  </si>
  <si>
    <t>fcap-c</t>
  </si>
  <si>
    <t>fcap-l</t>
  </si>
  <si>
    <t>fcap-m</t>
  </si>
  <si>
    <t>fcap-o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</si>
  <si>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</si>
  <si>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</si>
  <si>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</si>
  <si>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</si>
  <si>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</si>
  <si>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</si>
  <si>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</si>
  <si>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</si>
  <si>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</si>
  <si>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</si>
  <si>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</si>
  <si>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</si>
  <si>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eagr</t>
  </si>
  <si>
    <t>emin</t>
  </si>
  <si>
    <t>eman</t>
  </si>
  <si>
    <t>eutl</t>
  </si>
  <si>
    <t>econ</t>
  </si>
  <si>
    <t>etrd</t>
  </si>
  <si>
    <t>etrc</t>
  </si>
  <si>
    <t>ehfs</t>
  </si>
  <si>
    <t>efbs</t>
  </si>
  <si>
    <t>eres</t>
  </si>
  <si>
    <t>egsv</t>
  </si>
  <si>
    <t>eosv</t>
  </si>
  <si>
    <t>sets!aj7</t>
  </si>
  <si>
    <t>sets!ak7</t>
  </si>
  <si>
    <t>sets!al7</t>
  </si>
  <si>
    <t>hfs</t>
  </si>
  <si>
    <t>rbs</t>
  </si>
  <si>
    <t>fsv</t>
  </si>
  <si>
    <t>x</t>
  </si>
  <si>
    <t>aplan</t>
  </si>
  <si>
    <t>CER</t>
  </si>
  <si>
    <t>cer</t>
  </si>
  <si>
    <t>hhd-n1</t>
  </si>
  <si>
    <t>hhd-n2</t>
  </si>
  <si>
    <t>hhd-n3</t>
  </si>
  <si>
    <t>hhd-n4</t>
  </si>
  <si>
    <t>hhd-n5</t>
  </si>
  <si>
    <t>Farm</t>
  </si>
  <si>
    <t>Nonfarm</t>
  </si>
  <si>
    <t>thousand</t>
  </si>
  <si>
    <t>Extract SAM values - marketed</t>
  </si>
  <si>
    <t>Extract SAM values - home</t>
  </si>
  <si>
    <t>Extract SAM values - total</t>
  </si>
  <si>
    <t>Rural farm</t>
  </si>
  <si>
    <t>Rural nonfarm</t>
  </si>
  <si>
    <t>Total food</t>
  </si>
  <si>
    <t>Total consumption - LCU</t>
  </si>
  <si>
    <t>Total consumption - USD</t>
  </si>
  <si>
    <t>Total per capita consumption - USD</t>
  </si>
  <si>
    <t>Population (thousands)</t>
  </si>
  <si>
    <t>Share of supernumerary in total</t>
  </si>
  <si>
    <t>Step 3: define share of total subsistence consumption in TOTAL consumtion (using Frisch parameter)</t>
  </si>
  <si>
    <t>Frisch (using Llych 1977)</t>
  </si>
  <si>
    <t>cereals</t>
  </si>
  <si>
    <t>pulses</t>
  </si>
  <si>
    <t>roots</t>
  </si>
  <si>
    <t>(other) vegetables</t>
  </si>
  <si>
    <t>fruits</t>
  </si>
  <si>
    <t>fish-meat-egg</t>
  </si>
  <si>
    <t>diary</t>
  </si>
  <si>
    <t>fats &amp; oils</t>
  </si>
  <si>
    <t>other food</t>
  </si>
  <si>
    <t>other ag</t>
  </si>
  <si>
    <t>clothing and textile</t>
  </si>
  <si>
    <t>mining</t>
  </si>
  <si>
    <t>manufacturing</t>
  </si>
  <si>
    <t>utilities</t>
  </si>
  <si>
    <t>contruction</t>
  </si>
  <si>
    <t>hotels and restaurants</t>
  </si>
  <si>
    <t>trade, transport and comm</t>
  </si>
  <si>
    <t>housing</t>
  </si>
  <si>
    <t>education, health and public</t>
  </si>
  <si>
    <t>other services</t>
  </si>
  <si>
    <t>ABS - disagg</t>
  </si>
  <si>
    <t>20 groups - ABS</t>
  </si>
  <si>
    <t>Total nonfood</t>
  </si>
  <si>
    <t>MBS</t>
  </si>
  <si>
    <t>STEP 2: set MBS - marginal budget shares and income elast (MBS=ABS*income elast)</t>
  </si>
  <si>
    <t>SAM values</t>
  </si>
  <si>
    <t>income elasticities - FINAL disagg (will enter 1model)</t>
  </si>
  <si>
    <t>marketed</t>
  </si>
  <si>
    <t>home</t>
  </si>
  <si>
    <t>leselas2</t>
  </si>
  <si>
    <t>FRISCH</t>
  </si>
  <si>
    <t>1970 USD/LCU</t>
  </si>
  <si>
    <t>2019 USD/LCU</t>
  </si>
  <si>
    <r>
      <t>STEP 1: calculate ABS - average budget shares (based on SAM).</t>
    </r>
    <r>
      <rPr>
        <sz val="11"/>
        <color rgb="FFFF0000"/>
        <rFont val="Calibri"/>
        <family val="2"/>
        <scheme val="minor"/>
      </rPr>
      <t xml:space="preserve"> </t>
    </r>
  </si>
  <si>
    <t>Step 4: check gamma shares (should be the same as in 1model, both marketed and home)</t>
  </si>
  <si>
    <t>Share of subsistnce in total</t>
  </si>
  <si>
    <t>Frisch</t>
  </si>
  <si>
    <t>Choose here which USD to use</t>
  </si>
  <si>
    <t>Frisch - FINAL (will enter 1model). Adjust formula if necessary</t>
  </si>
  <si>
    <t>caregory</t>
  </si>
  <si>
    <t>broad categories</t>
  </si>
  <si>
    <t>given</t>
  </si>
  <si>
    <t>category</t>
  </si>
  <si>
    <t>given - residual categories</t>
  </si>
  <si>
    <t>residual</t>
  </si>
  <si>
    <t>given=income elasticity WILL bew given</t>
  </si>
  <si>
    <t>Residual formula</t>
  </si>
  <si>
    <t>residual = income elasticity WILL be calculated/calibrated as a residual</t>
  </si>
  <si>
    <t>Households LES parametrization</t>
  </si>
  <si>
    <t>STEP 0: classification</t>
  </si>
  <si>
    <t>SAM 4 letters</t>
  </si>
  <si>
    <t>SAM commodities</t>
  </si>
  <si>
    <t>SAM activities</t>
  </si>
  <si>
    <t>DO NOT CHANGE ANYTHING UNLESS INSTRUCTED (BLACK cells should NOT be changed; color cells CAN be changed). Follow steps.</t>
  </si>
  <si>
    <t>Total national</t>
  </si>
  <si>
    <t>Specify if given or residual</t>
  </si>
  <si>
    <t>Total given</t>
  </si>
  <si>
    <t>Total residual</t>
  </si>
  <si>
    <r>
      <t>income elast (factor correcting ABS, enter here ONLY given (</t>
    </r>
    <r>
      <rPr>
        <b/>
        <sz val="11"/>
        <rFont val="Calibri"/>
        <family val="2"/>
        <scheme val="minor"/>
      </rPr>
      <t>YELLOW</t>
    </r>
    <r>
      <rPr>
        <b/>
        <sz val="11"/>
        <color theme="1"/>
        <rFont val="Calibri"/>
        <family val="2"/>
        <scheme val="minor"/>
      </rPr>
      <t>). residual will adjust automatically</t>
    </r>
  </si>
  <si>
    <t>acere</t>
  </si>
  <si>
    <t>alive</t>
  </si>
  <si>
    <t>amino</t>
  </si>
  <si>
    <t>afobe</t>
  </si>
  <si>
    <t>aoapr</t>
  </si>
  <si>
    <t>ccere</t>
  </si>
  <si>
    <t>clive</t>
  </si>
  <si>
    <t>cmine</t>
  </si>
  <si>
    <t>cmino</t>
  </si>
  <si>
    <t>cfobe</t>
  </si>
  <si>
    <t>coapr</t>
  </si>
  <si>
    <t>lab-n</t>
  </si>
  <si>
    <t>lab-p</t>
  </si>
  <si>
    <t>lab-s</t>
  </si>
  <si>
    <t>lab-t</t>
  </si>
  <si>
    <t>Labor - uneducated</t>
  </si>
  <si>
    <t>Labor - primary</t>
  </si>
  <si>
    <t>Labor - secondary</t>
  </si>
  <si>
    <t>Labor - tertiary</t>
  </si>
  <si>
    <t>cere</t>
  </si>
  <si>
    <t>Cereals</t>
  </si>
  <si>
    <t>Oilseeds</t>
  </si>
  <si>
    <t>Roots and Tubers</t>
  </si>
  <si>
    <t>Vegetables</t>
  </si>
  <si>
    <t>Fruits</t>
  </si>
  <si>
    <t>live</t>
  </si>
  <si>
    <t>Fishery</t>
  </si>
  <si>
    <t>mine</t>
  </si>
  <si>
    <t>Mining - energy</t>
  </si>
  <si>
    <t>mino</t>
  </si>
  <si>
    <t>Mining - other</t>
  </si>
  <si>
    <t>Grain milling</t>
  </si>
  <si>
    <t>fobe</t>
  </si>
  <si>
    <t>Other food and beverages</t>
  </si>
  <si>
    <t>oapr</t>
  </si>
  <si>
    <t>Other processing of ag products</t>
  </si>
  <si>
    <t>Chemicals</t>
  </si>
  <si>
    <t>Hotels</t>
  </si>
  <si>
    <t>Restaurants</t>
  </si>
  <si>
    <t>amine</t>
  </si>
  <si>
    <t>VAshr</t>
  </si>
  <si>
    <t>PRDshr</t>
  </si>
  <si>
    <t>EMPshr</t>
  </si>
  <si>
    <t>EXPshr</t>
  </si>
  <si>
    <t>EXP-OUTshr</t>
  </si>
  <si>
    <t>IMPshr</t>
  </si>
  <si>
    <t>IMP-DEMshr</t>
  </si>
  <si>
    <t>TOTAL-1</t>
  </si>
  <si>
    <t>vegetables</t>
  </si>
  <si>
    <t>abecr</t>
  </si>
  <si>
    <t>cbecr</t>
  </si>
  <si>
    <t>becr</t>
  </si>
  <si>
    <t>Beverage crops</t>
  </si>
  <si>
    <t>Other non-food crops</t>
  </si>
  <si>
    <t>Metals</t>
  </si>
  <si>
    <t>LES!b131</t>
  </si>
  <si>
    <t>LES!C206</t>
  </si>
  <si>
    <t>Malawi</t>
  </si>
  <si>
    <t>Billions of kwacha</t>
  </si>
  <si>
    <t>LES!s131</t>
  </si>
  <si>
    <t>shares rearranged</t>
  </si>
  <si>
    <t>Population (millions)</t>
  </si>
  <si>
    <t>Rural</t>
  </si>
  <si>
    <t>Survey</t>
  </si>
  <si>
    <t>VA</t>
  </si>
  <si>
    <t>EXP</t>
  </si>
  <si>
    <t>IMP</t>
  </si>
  <si>
    <t>DEM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</si>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</sst>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7" fillId="0" borderId="0" xfId="0" applyFont="1"/>
    <xf numFmtId="0" fontId="6" fillId="0" borderId="0" xfId="0" applyFont="1"/>
    <xf numFmtId="2" fontId="6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3" fontId="0" fillId="0" borderId="1" xfId="0" applyNumberFormat="1" applyBorder="1"/>
    <xf numFmtId="164" fontId="0" fillId="0" borderId="1" xfId="0" applyNumberFormat="1" applyBorder="1"/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4" fillId="0" borderId="0" xfId="0" applyFont="1" applyAlignment="1">
      <alignment horizontal="center"/>
    </xf>
    <xf numFmtId="3" fontId="0" fillId="0" borderId="0" xfId="0" applyNumberFormat="1" applyProtection="1"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2" xfId="0" applyNumberFormat="1" applyBorder="1" applyProtection="1">
      <protection locked="0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0" fillId="0" borderId="1" xfId="0" applyBorder="1"/>
    <xf numFmtId="3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10" fillId="0" borderId="0" xfId="0" applyFont="1"/>
    <xf numFmtId="2" fontId="10" fillId="0" borderId="0" xfId="0" applyNumberFormat="1" applyFont="1" applyProtection="1">
      <protection locked="0"/>
    </xf>
    <xf numFmtId="165" fontId="0" fillId="0" borderId="0" xfId="0" applyNumberFormat="1"/>
    <xf numFmtId="165" fontId="0" fillId="0" borderId="0" xfId="0" quotePrefix="1" applyNumberFormat="1"/>
    <xf numFmtId="2" fontId="1" fillId="0" borderId="0" xfId="0" applyNumberFormat="1" applyFont="1"/>
    <xf numFmtId="0" fontId="0" fillId="2" borderId="0" xfId="0" applyFill="1"/>
    <xf numFmtId="2" fontId="10" fillId="0" borderId="1" xfId="0" applyNumberFormat="1" applyFont="1" applyBorder="1" applyProtection="1">
      <protection locked="0"/>
    </xf>
    <xf numFmtId="2" fontId="10" fillId="0" borderId="7" xfId="0" applyNumberFormat="1" applyFont="1" applyBorder="1" applyProtection="1">
      <protection locked="0"/>
    </xf>
    <xf numFmtId="2" fontId="10" fillId="0" borderId="8" xfId="0" applyNumberFormat="1" applyFont="1" applyBorder="1" applyProtection="1">
      <protection locked="0"/>
    </xf>
    <xf numFmtId="0" fontId="0" fillId="0" borderId="9" xfId="0" applyBorder="1"/>
    <xf numFmtId="0" fontId="0" fillId="0" borderId="7" xfId="0" applyBorder="1"/>
    <xf numFmtId="0" fontId="0" fillId="0" borderId="6" xfId="0" applyBorder="1"/>
    <xf numFmtId="2" fontId="1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4" fontId="0" fillId="0" borderId="0" xfId="0" applyNumberFormat="1"/>
    <xf numFmtId="2" fontId="11" fillId="0" borderId="0" xfId="0" applyNumberFormat="1" applyFont="1" applyProtection="1">
      <protection locked="0"/>
    </xf>
    <xf numFmtId="2" fontId="0" fillId="0" borderId="1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5" xfId="0" applyBorder="1"/>
    <xf numFmtId="2" fontId="0" fillId="0" borderId="5" xfId="0" applyNumberFormat="1" applyBorder="1" applyProtection="1">
      <protection locked="0"/>
    </xf>
    <xf numFmtId="0" fontId="0" fillId="0" borderId="12" xfId="0" applyBorder="1"/>
    <xf numFmtId="4" fontId="0" fillId="0" borderId="6" xfId="0" applyNumberFormat="1" applyBorder="1"/>
    <xf numFmtId="4" fontId="0" fillId="0" borderId="3" xfId="0" applyNumberFormat="1" applyBorder="1"/>
    <xf numFmtId="4" fontId="0" fillId="0" borderId="1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5" xfId="0" applyNumberFormat="1" applyBorder="1"/>
    <xf numFmtId="4" fontId="0" fillId="0" borderId="12" xfId="0" applyNumberFormat="1" applyBorder="1"/>
    <xf numFmtId="4" fontId="0" fillId="0" borderId="4" xfId="0" applyNumberFormat="1" applyBorder="1"/>
    <xf numFmtId="4" fontId="0" fillId="0" borderId="9" xfId="0" applyNumberFormat="1" applyBorder="1"/>
    <xf numFmtId="4" fontId="0" fillId="3" borderId="5" xfId="0" applyNumberFormat="1" applyFill="1" applyBorder="1"/>
    <xf numFmtId="4" fontId="1" fillId="0" borderId="0" xfId="0" applyNumberFormat="1" applyFont="1"/>
    <xf numFmtId="4" fontId="0" fillId="3" borderId="12" xfId="0" applyNumberFormat="1" applyFill="1" applyBorder="1"/>
    <xf numFmtId="4" fontId="0" fillId="3" borderId="4" xfId="0" applyNumberFormat="1" applyFill="1" applyBorder="1"/>
    <xf numFmtId="4" fontId="0" fillId="3" borderId="0" xfId="0" applyNumberFormat="1" applyFill="1"/>
    <xf numFmtId="4" fontId="0" fillId="3" borderId="6" xfId="0" applyNumberFormat="1" applyFill="1" applyBorder="1"/>
    <xf numFmtId="4" fontId="0" fillId="3" borderId="3" xfId="0" applyNumberFormat="1" applyFill="1" applyBorder="1"/>
    <xf numFmtId="4" fontId="1" fillId="3" borderId="0" xfId="0" applyNumberFormat="1" applyFont="1" applyFill="1"/>
    <xf numFmtId="4" fontId="0" fillId="0" borderId="1" xfId="0" applyNumberFormat="1" applyBorder="1" applyProtection="1">
      <protection locked="0"/>
    </xf>
    <xf numFmtId="0" fontId="0" fillId="3" borderId="0" xfId="0" applyFill="1"/>
    <xf numFmtId="0" fontId="1" fillId="3" borderId="0" xfId="0" applyFont="1" applyFill="1"/>
    <xf numFmtId="4" fontId="1" fillId="0" borderId="0" xfId="0" applyNumberFormat="1" applyFont="1" applyProtection="1">
      <protection locked="0"/>
    </xf>
    <xf numFmtId="0" fontId="0" fillId="0" borderId="10" xfId="0" applyBorder="1"/>
    <xf numFmtId="4" fontId="0" fillId="0" borderId="11" xfId="0" applyNumberFormat="1" applyBorder="1"/>
    <xf numFmtId="4" fontId="0" fillId="0" borderId="10" xfId="0" applyNumberFormat="1" applyBorder="1"/>
    <xf numFmtId="0" fontId="11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12" xfId="0" applyFont="1" applyBorder="1"/>
    <xf numFmtId="0" fontId="1" fillId="0" borderId="1" xfId="0" applyFont="1" applyBorder="1"/>
    <xf numFmtId="2" fontId="1" fillId="0" borderId="1" xfId="0" applyNumberFormat="1" applyFont="1" applyBorder="1" applyProtection="1">
      <protection locked="0"/>
    </xf>
    <xf numFmtId="2" fontId="11" fillId="0" borderId="1" xfId="0" applyNumberFormat="1" applyFont="1" applyBorder="1" applyProtection="1">
      <protection locked="0"/>
    </xf>
    <xf numFmtId="4" fontId="1" fillId="0" borderId="5" xfId="0" applyNumberFormat="1" applyFont="1" applyBorder="1"/>
    <xf numFmtId="4" fontId="1" fillId="0" borderId="12" xfId="0" applyNumberFormat="1" applyFont="1" applyBorder="1"/>
    <xf numFmtId="4" fontId="1" fillId="0" borderId="4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4" fontId="0" fillId="4" borderId="0" xfId="0" applyNumberFormat="1" applyFill="1"/>
    <xf numFmtId="4" fontId="0" fillId="4" borderId="6" xfId="0" applyNumberFormat="1" applyFill="1" applyBorder="1"/>
    <xf numFmtId="4" fontId="0" fillId="4" borderId="3" xfId="0" applyNumberFormat="1" applyFill="1" applyBorder="1"/>
    <xf numFmtId="0" fontId="0" fillId="4" borderId="7" xfId="0" applyFill="1" applyBorder="1" applyAlignment="1">
      <alignment horizontal="center" vertical="center"/>
    </xf>
    <xf numFmtId="0" fontId="0" fillId="4" borderId="7" xfId="0" applyFill="1" applyBorder="1"/>
    <xf numFmtId="4" fontId="0" fillId="4" borderId="1" xfId="0" applyNumberFormat="1" applyFill="1" applyBorder="1"/>
    <xf numFmtId="4" fontId="0" fillId="4" borderId="7" xfId="0" applyNumberFormat="1" applyFill="1" applyBorder="1"/>
    <xf numFmtId="4" fontId="0" fillId="4" borderId="8" xfId="0" applyNumberFormat="1" applyFill="1" applyBorder="1"/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/>
    <xf numFmtId="4" fontId="0" fillId="4" borderId="5" xfId="0" applyNumberFormat="1" applyFill="1" applyBorder="1"/>
    <xf numFmtId="4" fontId="0" fillId="4" borderId="12" xfId="0" applyNumberFormat="1" applyFill="1" applyBorder="1"/>
    <xf numFmtId="4" fontId="0" fillId="4" borderId="4" xfId="0" applyNumberForma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13" fillId="4" borderId="12" xfId="0" applyFont="1" applyFill="1" applyBorder="1"/>
    <xf numFmtId="0" fontId="13" fillId="0" borderId="7" xfId="0" applyFont="1" applyBorder="1"/>
    <xf numFmtId="0" fontId="13" fillId="0" borderId="12" xfId="0" applyFont="1" applyBorder="1"/>
    <xf numFmtId="0" fontId="13" fillId="0" borderId="6" xfId="0" applyFont="1" applyBorder="1"/>
    <xf numFmtId="0" fontId="13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4" fontId="0" fillId="3" borderId="1" xfId="0" applyNumberFormat="1" applyFill="1" applyBorder="1"/>
    <xf numFmtId="4" fontId="0" fillId="3" borderId="7" xfId="0" applyNumberFormat="1" applyFill="1" applyBorder="1"/>
    <xf numFmtId="4" fontId="0" fillId="3" borderId="8" xfId="0" applyNumberFormat="1" applyFill="1" applyBorder="1"/>
    <xf numFmtId="2" fontId="11" fillId="0" borderId="5" xfId="1" applyNumberFormat="1" applyFont="1" applyFill="1" applyBorder="1"/>
    <xf numFmtId="2" fontId="11" fillId="0" borderId="12" xfId="1" applyNumberFormat="1" applyFont="1" applyFill="1" applyBorder="1"/>
    <xf numFmtId="2" fontId="11" fillId="0" borderId="4" xfId="1" applyNumberFormat="1" applyFont="1" applyFill="1" applyBorder="1"/>
    <xf numFmtId="2" fontId="11" fillId="0" borderId="1" xfId="1" applyNumberFormat="1" applyFont="1" applyFill="1" applyBorder="1"/>
    <xf numFmtId="2" fontId="11" fillId="0" borderId="7" xfId="1" applyNumberFormat="1" applyFont="1" applyFill="1" applyBorder="1"/>
    <xf numFmtId="2" fontId="11" fillId="0" borderId="8" xfId="1" applyNumberFormat="1" applyFont="1" applyFill="1" applyBorder="1"/>
    <xf numFmtId="2" fontId="11" fillId="0" borderId="9" xfId="1" applyNumberFormat="1" applyFont="1" applyFill="1" applyBorder="1"/>
    <xf numFmtId="2" fontId="11" fillId="0" borderId="10" xfId="1" applyNumberFormat="1" applyFont="1" applyFill="1" applyBorder="1"/>
    <xf numFmtId="2" fontId="11" fillId="0" borderId="11" xfId="1" applyNumberFormat="1" applyFont="1" applyFill="1" applyBorder="1"/>
    <xf numFmtId="4" fontId="1" fillId="0" borderId="11" xfId="0" applyNumberFormat="1" applyFont="1" applyBorder="1" applyAlignment="1">
      <alignment horizontal="center"/>
    </xf>
    <xf numFmtId="4" fontId="11" fillId="0" borderId="11" xfId="1" applyNumberFormat="1" applyFont="1" applyFill="1" applyBorder="1"/>
    <xf numFmtId="4" fontId="11" fillId="0" borderId="9" xfId="1" applyNumberFormat="1" applyFont="1" applyFill="1" applyBorder="1"/>
    <xf numFmtId="4" fontId="11" fillId="0" borderId="10" xfId="1" applyNumberFormat="1" applyFont="1" applyFill="1" applyBorder="1"/>
    <xf numFmtId="4" fontId="1" fillId="0" borderId="8" xfId="0" applyNumberFormat="1" applyFont="1" applyBorder="1" applyAlignment="1">
      <alignment horizontal="center"/>
    </xf>
    <xf numFmtId="4" fontId="11" fillId="0" borderId="8" xfId="1" applyNumberFormat="1" applyFont="1" applyFill="1" applyBorder="1"/>
    <xf numFmtId="4" fontId="11" fillId="0" borderId="1" xfId="1" applyNumberFormat="1" applyFont="1" applyFill="1" applyBorder="1"/>
    <xf numFmtId="4" fontId="11" fillId="0" borderId="7" xfId="1" applyNumberFormat="1" applyFont="1" applyFill="1" applyBorder="1"/>
    <xf numFmtId="4" fontId="1" fillId="0" borderId="4" xfId="0" applyNumberFormat="1" applyFont="1" applyBorder="1" applyAlignment="1">
      <alignment horizontal="center"/>
    </xf>
    <xf numFmtId="4" fontId="11" fillId="0" borderId="4" xfId="1" applyNumberFormat="1" applyFont="1" applyFill="1" applyBorder="1"/>
    <xf numFmtId="4" fontId="11" fillId="0" borderId="5" xfId="1" applyNumberFormat="1" applyFont="1" applyFill="1" applyBorder="1"/>
    <xf numFmtId="4" fontId="11" fillId="0" borderId="12" xfId="1" applyNumberFormat="1" applyFont="1" applyFill="1" applyBorder="1"/>
    <xf numFmtId="0" fontId="10" fillId="3" borderId="0" xfId="0" applyFont="1" applyFill="1"/>
    <xf numFmtId="4" fontId="10" fillId="0" borderId="0" xfId="0" applyNumberFormat="1" applyFont="1"/>
    <xf numFmtId="4" fontId="10" fillId="3" borderId="0" xfId="0" applyNumberFormat="1" applyFont="1" applyFill="1"/>
    <xf numFmtId="4" fontId="10" fillId="0" borderId="0" xfId="0" applyNumberFormat="1" applyFont="1" applyProtection="1">
      <protection locked="0"/>
    </xf>
    <xf numFmtId="4" fontId="11" fillId="3" borderId="6" xfId="0" applyNumberFormat="1" applyFont="1" applyFill="1" applyBorder="1"/>
    <xf numFmtId="4" fontId="11" fillId="3" borderId="0" xfId="0" applyNumberFormat="1" applyFont="1" applyFill="1"/>
    <xf numFmtId="0" fontId="11" fillId="3" borderId="6" xfId="0" applyFont="1" applyFill="1" applyBorder="1"/>
    <xf numFmtId="0" fontId="11" fillId="3" borderId="0" xfId="0" applyFont="1" applyFill="1"/>
    <xf numFmtId="0" fontId="14" fillId="3" borderId="0" xfId="0" applyFont="1" applyFill="1"/>
    <xf numFmtId="2" fontId="14" fillId="3" borderId="0" xfId="0" applyNumberFormat="1" applyFont="1" applyFill="1" applyProtection="1">
      <protection locked="0"/>
    </xf>
    <xf numFmtId="2" fontId="0" fillId="3" borderId="0" xfId="0" applyNumberFormat="1" applyFill="1" applyProtection="1">
      <protection locked="0"/>
    </xf>
    <xf numFmtId="2" fontId="0" fillId="3" borderId="0" xfId="0" applyNumberFormat="1" applyFill="1"/>
    <xf numFmtId="10" fontId="0" fillId="0" borderId="0" xfId="1" applyNumberFormat="1" applyFont="1"/>
    <xf numFmtId="10" fontId="1" fillId="0" borderId="0" xfId="1" applyNumberFormat="1" applyFont="1"/>
    <xf numFmtId="0" fontId="1" fillId="5" borderId="0" xfId="0" applyFont="1" applyFill="1"/>
    <xf numFmtId="0" fontId="0" fillId="5" borderId="0" xfId="0" applyFill="1"/>
    <xf numFmtId="4" fontId="0" fillId="5" borderId="0" xfId="0" applyNumberFormat="1" applyFill="1"/>
    <xf numFmtId="4" fontId="1" fillId="5" borderId="2" xfId="0" applyNumberFormat="1" applyFont="1" applyFill="1" applyBorder="1"/>
    <xf numFmtId="3" fontId="4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2" fontId="12" fillId="0" borderId="8" xfId="0" applyNumberFormat="1" applyFont="1" applyBorder="1" applyAlignment="1" applyProtection="1">
      <alignment horizontal="center" wrapText="1"/>
      <protection locked="0"/>
    </xf>
    <xf numFmtId="2" fontId="12" fillId="0" borderId="7" xfId="0" applyNumberFormat="1" applyFont="1" applyBorder="1" applyAlignment="1" applyProtection="1">
      <alignment horizontal="center" wrapText="1"/>
      <protection locked="0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2" fontId="10" fillId="0" borderId="0" xfId="0" applyNumberFormat="1" applyFont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1"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56"/>
  <sheetViews>
    <sheetView zoomScale="85" zoomScaleNormal="85" workbookViewId="0">
      <pane ySplit="10" topLeftCell="A17" activePane="bottomLeft" state="frozen"/>
      <selection pane="bottomLeft" activeCell="B26" sqref="B26"/>
    </sheetView>
  </sheetViews>
  <sheetFormatPr defaultRowHeight="14.5" x14ac:dyDescent="0.35"/>
  <sheetData>
    <row r="1" spans="1:14" ht="18.5" x14ac:dyDescent="0.45">
      <c r="A1" s="2" t="str">
        <f>C4&amp;" "&amp;C3&amp;" RIAPA CGE Model"</f>
        <v>2019 Malawi RIAPA CGE Model</v>
      </c>
    </row>
    <row r="3" spans="1:14" x14ac:dyDescent="0.35">
      <c r="A3" s="21" t="s">
        <v>540</v>
      </c>
      <c r="B3" s="1" t="s">
        <v>0</v>
      </c>
      <c r="C3" s="16" t="s">
        <v>732</v>
      </c>
    </row>
    <row r="4" spans="1:14" x14ac:dyDescent="0.35">
      <c r="A4" s="21" t="s">
        <v>540</v>
      </c>
      <c r="B4" s="1" t="s">
        <v>1</v>
      </c>
      <c r="C4" s="16">
        <v>2019</v>
      </c>
    </row>
    <row r="5" spans="1:14" x14ac:dyDescent="0.35">
      <c r="A5" s="21" t="s">
        <v>540</v>
      </c>
      <c r="B5" s="1" t="s">
        <v>2</v>
      </c>
      <c r="C5" s="16" t="s">
        <v>733</v>
      </c>
    </row>
    <row r="7" spans="1:14" x14ac:dyDescent="0.35">
      <c r="A7" s="21"/>
      <c r="B7" s="1"/>
      <c r="C7" s="16"/>
    </row>
    <row r="8" spans="1:14" x14ac:dyDescent="0.35">
      <c r="A8" s="21"/>
      <c r="B8" s="1"/>
      <c r="C8" s="16"/>
    </row>
    <row r="10" spans="1:14" x14ac:dyDescent="0.35">
      <c r="A10" s="1" t="s">
        <v>69</v>
      </c>
      <c r="E10" s="1" t="s">
        <v>58</v>
      </c>
      <c r="I10" s="1" t="s">
        <v>70</v>
      </c>
      <c r="M10" s="1" t="s">
        <v>101</v>
      </c>
    </row>
    <row r="11" spans="1:14" x14ac:dyDescent="0.35">
      <c r="A11" t="s">
        <v>694</v>
      </c>
      <c r="B11" t="s">
        <v>695</v>
      </c>
      <c r="E11" t="s">
        <v>686</v>
      </c>
      <c r="F11" t="s">
        <v>690</v>
      </c>
      <c r="I11" t="s">
        <v>71</v>
      </c>
      <c r="J11" t="s">
        <v>72</v>
      </c>
      <c r="M11" t="s">
        <v>102</v>
      </c>
      <c r="N11" t="s">
        <v>103</v>
      </c>
    </row>
    <row r="12" spans="1:14" x14ac:dyDescent="0.35">
      <c r="A12" t="s">
        <v>24</v>
      </c>
      <c r="B12" t="s">
        <v>11</v>
      </c>
      <c r="E12" t="s">
        <v>687</v>
      </c>
      <c r="F12" t="s">
        <v>691</v>
      </c>
      <c r="I12" t="s">
        <v>73</v>
      </c>
      <c r="J12" t="s">
        <v>74</v>
      </c>
      <c r="M12" t="s">
        <v>104</v>
      </c>
      <c r="N12" t="s">
        <v>105</v>
      </c>
    </row>
    <row r="13" spans="1:14" x14ac:dyDescent="0.35">
      <c r="A13" t="s">
        <v>25</v>
      </c>
      <c r="B13" t="s">
        <v>696</v>
      </c>
      <c r="E13" t="s">
        <v>688</v>
      </c>
      <c r="F13" t="s">
        <v>692</v>
      </c>
      <c r="I13" t="s">
        <v>75</v>
      </c>
      <c r="J13" t="s">
        <v>76</v>
      </c>
      <c r="M13" t="s">
        <v>106</v>
      </c>
      <c r="N13" t="s">
        <v>107</v>
      </c>
    </row>
    <row r="14" spans="1:14" x14ac:dyDescent="0.35">
      <c r="A14" t="s">
        <v>26</v>
      </c>
      <c r="B14" t="s">
        <v>697</v>
      </c>
      <c r="E14" t="s">
        <v>689</v>
      </c>
      <c r="F14" t="s">
        <v>693</v>
      </c>
      <c r="I14" t="s">
        <v>77</v>
      </c>
      <c r="J14" t="s">
        <v>78</v>
      </c>
      <c r="M14" t="s">
        <v>108</v>
      </c>
      <c r="N14" t="s">
        <v>109</v>
      </c>
    </row>
    <row r="15" spans="1:14" x14ac:dyDescent="0.35">
      <c r="A15" t="s">
        <v>27</v>
      </c>
      <c r="B15" t="s">
        <v>698</v>
      </c>
      <c r="E15" t="s">
        <v>59</v>
      </c>
      <c r="F15" t="s">
        <v>60</v>
      </c>
      <c r="I15" t="s">
        <v>79</v>
      </c>
      <c r="J15" t="s">
        <v>80</v>
      </c>
      <c r="M15" t="s">
        <v>110</v>
      </c>
      <c r="N15" t="s">
        <v>111</v>
      </c>
    </row>
    <row r="16" spans="1:14" x14ac:dyDescent="0.35">
      <c r="A16" t="s">
        <v>28</v>
      </c>
      <c r="B16" t="s">
        <v>699</v>
      </c>
      <c r="E16" t="s">
        <v>61</v>
      </c>
      <c r="F16" t="s">
        <v>62</v>
      </c>
      <c r="I16" t="s">
        <v>81</v>
      </c>
      <c r="J16" t="s">
        <v>82</v>
      </c>
      <c r="M16" t="s">
        <v>112</v>
      </c>
      <c r="N16" t="s">
        <v>113</v>
      </c>
    </row>
    <row r="17" spans="1:14" x14ac:dyDescent="0.35">
      <c r="A17" t="s">
        <v>726</v>
      </c>
      <c r="B17" t="s">
        <v>727</v>
      </c>
      <c r="E17" t="s">
        <v>63</v>
      </c>
      <c r="F17" t="s">
        <v>64</v>
      </c>
      <c r="I17" t="s">
        <v>83</v>
      </c>
      <c r="J17" t="s">
        <v>84</v>
      </c>
      <c r="M17" t="s">
        <v>114</v>
      </c>
      <c r="N17" t="s">
        <v>115</v>
      </c>
    </row>
    <row r="18" spans="1:14" x14ac:dyDescent="0.35">
      <c r="A18" t="s">
        <v>29</v>
      </c>
      <c r="B18" t="s">
        <v>728</v>
      </c>
      <c r="E18" t="s">
        <v>65</v>
      </c>
      <c r="F18" t="s">
        <v>66</v>
      </c>
      <c r="I18" t="s">
        <v>85</v>
      </c>
      <c r="J18" t="s">
        <v>86</v>
      </c>
      <c r="M18" t="s">
        <v>116</v>
      </c>
      <c r="N18" t="s">
        <v>117</v>
      </c>
    </row>
    <row r="19" spans="1:14" x14ac:dyDescent="0.35">
      <c r="A19" t="s">
        <v>700</v>
      </c>
      <c r="B19" t="s">
        <v>243</v>
      </c>
      <c r="E19" t="s">
        <v>67</v>
      </c>
      <c r="F19" t="s">
        <v>68</v>
      </c>
      <c r="I19" t="s">
        <v>87</v>
      </c>
      <c r="J19" t="s">
        <v>88</v>
      </c>
      <c r="M19" t="s">
        <v>118</v>
      </c>
      <c r="N19" t="s">
        <v>119</v>
      </c>
    </row>
    <row r="20" spans="1:14" x14ac:dyDescent="0.35">
      <c r="A20" t="s">
        <v>496</v>
      </c>
      <c r="B20" t="s">
        <v>388</v>
      </c>
      <c r="I20" t="s">
        <v>89</v>
      </c>
      <c r="J20" t="s">
        <v>90</v>
      </c>
      <c r="M20" t="s">
        <v>120</v>
      </c>
      <c r="N20" t="s">
        <v>121</v>
      </c>
    </row>
    <row r="21" spans="1:14" x14ac:dyDescent="0.35">
      <c r="A21" t="s">
        <v>30</v>
      </c>
      <c r="B21" t="s">
        <v>3</v>
      </c>
      <c r="I21" t="s">
        <v>91</v>
      </c>
      <c r="J21" t="s">
        <v>92</v>
      </c>
      <c r="M21" t="s">
        <v>122</v>
      </c>
      <c r="N21" t="s">
        <v>123</v>
      </c>
    </row>
    <row r="22" spans="1:14" x14ac:dyDescent="0.35">
      <c r="A22" t="s">
        <v>31</v>
      </c>
      <c r="B22" t="s">
        <v>701</v>
      </c>
      <c r="I22" t="s">
        <v>93</v>
      </c>
      <c r="J22" t="s">
        <v>94</v>
      </c>
      <c r="M22" t="s">
        <v>124</v>
      </c>
      <c r="N22" t="s">
        <v>125</v>
      </c>
    </row>
    <row r="23" spans="1:14" x14ac:dyDescent="0.35">
      <c r="A23" t="s">
        <v>702</v>
      </c>
      <c r="B23" t="s">
        <v>703</v>
      </c>
      <c r="I23" t="s">
        <v>95</v>
      </c>
      <c r="J23" t="s">
        <v>96</v>
      </c>
      <c r="M23" t="s">
        <v>126</v>
      </c>
      <c r="N23" t="s">
        <v>127</v>
      </c>
    </row>
    <row r="24" spans="1:14" x14ac:dyDescent="0.35">
      <c r="A24" t="s">
        <v>704</v>
      </c>
      <c r="B24" t="s">
        <v>705</v>
      </c>
      <c r="I24" t="s">
        <v>97</v>
      </c>
      <c r="J24" t="s">
        <v>98</v>
      </c>
    </row>
    <row r="25" spans="1:14" x14ac:dyDescent="0.35">
      <c r="A25" t="s">
        <v>35</v>
      </c>
      <c r="B25" t="s">
        <v>706</v>
      </c>
      <c r="I25" t="s">
        <v>99</v>
      </c>
      <c r="J25" t="s">
        <v>100</v>
      </c>
    </row>
    <row r="26" spans="1:14" x14ac:dyDescent="0.35">
      <c r="A26" t="s">
        <v>34</v>
      </c>
      <c r="B26" t="s">
        <v>14</v>
      </c>
    </row>
    <row r="27" spans="1:14" x14ac:dyDescent="0.35">
      <c r="A27" t="s">
        <v>33</v>
      </c>
      <c r="B27" t="s">
        <v>13</v>
      </c>
    </row>
    <row r="28" spans="1:14" x14ac:dyDescent="0.35">
      <c r="A28" t="s">
        <v>32</v>
      </c>
      <c r="B28" t="s">
        <v>497</v>
      </c>
    </row>
    <row r="29" spans="1:14" x14ac:dyDescent="0.35">
      <c r="A29" t="s">
        <v>498</v>
      </c>
      <c r="B29" t="s">
        <v>499</v>
      </c>
    </row>
    <row r="30" spans="1:14" x14ac:dyDescent="0.35">
      <c r="A30" t="s">
        <v>500</v>
      </c>
      <c r="B30" t="s">
        <v>501</v>
      </c>
    </row>
    <row r="31" spans="1:14" x14ac:dyDescent="0.35">
      <c r="A31" t="s">
        <v>707</v>
      </c>
      <c r="B31" t="s">
        <v>708</v>
      </c>
    </row>
    <row r="32" spans="1:14" x14ac:dyDescent="0.35">
      <c r="A32" t="s">
        <v>709</v>
      </c>
      <c r="B32" t="s">
        <v>710</v>
      </c>
    </row>
    <row r="33" spans="1:2" x14ac:dyDescent="0.35">
      <c r="A33" t="s">
        <v>36</v>
      </c>
      <c r="B33" t="s">
        <v>4</v>
      </c>
    </row>
    <row r="34" spans="1:2" x14ac:dyDescent="0.35">
      <c r="A34" t="s">
        <v>37</v>
      </c>
      <c r="B34" t="s">
        <v>404</v>
      </c>
    </row>
    <row r="35" spans="1:2" x14ac:dyDescent="0.35">
      <c r="A35" t="s">
        <v>38</v>
      </c>
      <c r="B35" t="s">
        <v>517</v>
      </c>
    </row>
    <row r="36" spans="1:2" x14ac:dyDescent="0.35">
      <c r="A36" t="s">
        <v>502</v>
      </c>
      <c r="B36" t="s">
        <v>518</v>
      </c>
    </row>
    <row r="37" spans="1:2" x14ac:dyDescent="0.35">
      <c r="A37" t="s">
        <v>39</v>
      </c>
      <c r="B37" t="s">
        <v>711</v>
      </c>
    </row>
    <row r="38" spans="1:2" x14ac:dyDescent="0.35">
      <c r="A38" t="s">
        <v>40</v>
      </c>
      <c r="B38" t="s">
        <v>15</v>
      </c>
    </row>
    <row r="39" spans="1:2" x14ac:dyDescent="0.35">
      <c r="A39" t="s">
        <v>41</v>
      </c>
      <c r="B39" t="s">
        <v>729</v>
      </c>
    </row>
    <row r="40" spans="1:2" x14ac:dyDescent="0.35">
      <c r="A40" t="s">
        <v>42</v>
      </c>
      <c r="B40" t="s">
        <v>519</v>
      </c>
    </row>
    <row r="41" spans="1:2" x14ac:dyDescent="0.35">
      <c r="A41" t="s">
        <v>43</v>
      </c>
      <c r="B41" t="s">
        <v>5</v>
      </c>
    </row>
    <row r="42" spans="1:2" x14ac:dyDescent="0.35">
      <c r="A42" t="s">
        <v>44</v>
      </c>
      <c r="B42" t="s">
        <v>16</v>
      </c>
    </row>
    <row r="43" spans="1:2" x14ac:dyDescent="0.35">
      <c r="A43" t="s">
        <v>45</v>
      </c>
      <c r="B43" t="s">
        <v>17</v>
      </c>
    </row>
    <row r="44" spans="1:2" x14ac:dyDescent="0.35">
      <c r="A44" t="s">
        <v>46</v>
      </c>
      <c r="B44" t="s">
        <v>6</v>
      </c>
    </row>
    <row r="45" spans="1:2" x14ac:dyDescent="0.35">
      <c r="A45" t="s">
        <v>47</v>
      </c>
      <c r="B45" t="s">
        <v>18</v>
      </c>
    </row>
    <row r="46" spans="1:2" x14ac:dyDescent="0.35">
      <c r="A46" t="s">
        <v>48</v>
      </c>
      <c r="B46" t="s">
        <v>19</v>
      </c>
    </row>
    <row r="47" spans="1:2" x14ac:dyDescent="0.35">
      <c r="A47" t="s">
        <v>49</v>
      </c>
      <c r="B47" t="s">
        <v>712</v>
      </c>
    </row>
    <row r="48" spans="1:2" x14ac:dyDescent="0.35">
      <c r="A48" t="s">
        <v>550</v>
      </c>
      <c r="B48" t="s">
        <v>713</v>
      </c>
    </row>
    <row r="49" spans="1:2" x14ac:dyDescent="0.35">
      <c r="A49" t="s">
        <v>50</v>
      </c>
      <c r="B49" t="s">
        <v>20</v>
      </c>
    </row>
    <row r="50" spans="1:2" x14ac:dyDescent="0.35">
      <c r="A50" t="s">
        <v>51</v>
      </c>
      <c r="B50" t="s">
        <v>21</v>
      </c>
    </row>
    <row r="51" spans="1:2" x14ac:dyDescent="0.35">
      <c r="A51" t="s">
        <v>52</v>
      </c>
      <c r="B51" t="s">
        <v>22</v>
      </c>
    </row>
    <row r="52" spans="1:2" x14ac:dyDescent="0.35">
      <c r="A52" t="s">
        <v>53</v>
      </c>
      <c r="B52" t="s">
        <v>7</v>
      </c>
    </row>
    <row r="53" spans="1:2" x14ac:dyDescent="0.35">
      <c r="A53" t="s">
        <v>54</v>
      </c>
      <c r="B53" t="s">
        <v>8</v>
      </c>
    </row>
    <row r="54" spans="1:2" x14ac:dyDescent="0.35">
      <c r="A54" t="s">
        <v>55</v>
      </c>
      <c r="B54" t="s">
        <v>9</v>
      </c>
    </row>
    <row r="55" spans="1:2" x14ac:dyDescent="0.35">
      <c r="A55" t="s">
        <v>56</v>
      </c>
      <c r="B55" t="s">
        <v>23</v>
      </c>
    </row>
    <row r="56" spans="1:2" x14ac:dyDescent="0.35">
      <c r="A56" t="s">
        <v>57</v>
      </c>
      <c r="B56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F65"/>
  <sheetViews>
    <sheetView zoomScale="85" zoomScaleNormal="85" workbookViewId="0">
      <pane ySplit="7" topLeftCell="A38" activePane="bottomLeft" state="frozen"/>
      <selection activeCell="A8" sqref="A8"/>
      <selection pane="bottomLeft" activeCell="G52" sqref="G52"/>
    </sheetView>
  </sheetViews>
  <sheetFormatPr defaultRowHeight="14.5" x14ac:dyDescent="0.35"/>
  <cols>
    <col min="3" max="3" width="16.453125" customWidth="1"/>
  </cols>
  <sheetData>
    <row r="1" spans="1:5" ht="18.5" x14ac:dyDescent="0.45">
      <c r="A1" s="5" t="s">
        <v>128</v>
      </c>
    </row>
    <row r="2" spans="1:5" x14ac:dyDescent="0.35">
      <c r="A2" s="3" t="s">
        <v>364</v>
      </c>
      <c r="B2" s="4" t="s">
        <v>129</v>
      </c>
    </row>
    <row r="7" spans="1:5" x14ac:dyDescent="0.35">
      <c r="D7" t="s">
        <v>130</v>
      </c>
      <c r="E7" t="s">
        <v>131</v>
      </c>
    </row>
    <row r="8" spans="1:5" x14ac:dyDescent="0.35">
      <c r="A8" t="s">
        <v>132</v>
      </c>
      <c r="B8" t="s">
        <v>133</v>
      </c>
      <c r="C8" t="s">
        <v>134</v>
      </c>
      <c r="D8">
        <v>1</v>
      </c>
      <c r="E8">
        <v>1</v>
      </c>
    </row>
    <row r="15" spans="1:5" x14ac:dyDescent="0.35">
      <c r="D15" t="s">
        <v>130</v>
      </c>
      <c r="E15" t="s">
        <v>131</v>
      </c>
    </row>
    <row r="16" spans="1:5" x14ac:dyDescent="0.35">
      <c r="A16" t="s">
        <v>325</v>
      </c>
      <c r="B16" t="s">
        <v>234</v>
      </c>
      <c r="C16" t="s">
        <v>328</v>
      </c>
      <c r="D16">
        <v>1</v>
      </c>
    </row>
    <row r="17" spans="1:4" x14ac:dyDescent="0.35">
      <c r="A17" t="s">
        <v>325</v>
      </c>
      <c r="B17" t="s">
        <v>311</v>
      </c>
      <c r="C17" t="s">
        <v>329</v>
      </c>
      <c r="D17">
        <v>1</v>
      </c>
    </row>
    <row r="18" spans="1:4" x14ac:dyDescent="0.35">
      <c r="A18" t="s">
        <v>325</v>
      </c>
      <c r="B18" t="s">
        <v>230</v>
      </c>
      <c r="C18" t="s">
        <v>330</v>
      </c>
      <c r="D18">
        <v>1</v>
      </c>
    </row>
    <row r="19" spans="1:4" x14ac:dyDescent="0.35">
      <c r="A19" t="s">
        <v>325</v>
      </c>
      <c r="B19" t="s">
        <v>312</v>
      </c>
      <c r="C19" t="s">
        <v>331</v>
      </c>
      <c r="D19">
        <v>1</v>
      </c>
    </row>
    <row r="20" spans="1:4" x14ac:dyDescent="0.35">
      <c r="A20" t="s">
        <v>325</v>
      </c>
      <c r="B20" t="s">
        <v>231</v>
      </c>
      <c r="C20" t="s">
        <v>332</v>
      </c>
      <c r="D20">
        <v>1</v>
      </c>
    </row>
    <row r="21" spans="1:4" x14ac:dyDescent="0.35">
      <c r="A21" t="s">
        <v>325</v>
      </c>
      <c r="B21" t="s">
        <v>232</v>
      </c>
      <c r="C21" t="s">
        <v>333</v>
      </c>
      <c r="D21">
        <v>1</v>
      </c>
    </row>
    <row r="22" spans="1:4" x14ac:dyDescent="0.35">
      <c r="A22" t="s">
        <v>325</v>
      </c>
      <c r="B22" t="s">
        <v>313</v>
      </c>
      <c r="C22" t="s">
        <v>334</v>
      </c>
      <c r="D22">
        <v>1</v>
      </c>
    </row>
    <row r="23" spans="1:4" x14ac:dyDescent="0.35">
      <c r="A23" t="s">
        <v>325</v>
      </c>
      <c r="B23" t="s">
        <v>216</v>
      </c>
      <c r="C23" t="s">
        <v>335</v>
      </c>
      <c r="D23">
        <v>1</v>
      </c>
    </row>
    <row r="24" spans="1:4" x14ac:dyDescent="0.35">
      <c r="A24" t="s">
        <v>325</v>
      </c>
      <c r="B24" t="s">
        <v>314</v>
      </c>
      <c r="C24" t="s">
        <v>336</v>
      </c>
      <c r="D24">
        <v>1</v>
      </c>
    </row>
    <row r="25" spans="1:4" x14ac:dyDescent="0.35">
      <c r="A25" t="s">
        <v>325</v>
      </c>
      <c r="B25" t="s">
        <v>315</v>
      </c>
      <c r="C25" t="s">
        <v>337</v>
      </c>
      <c r="D25">
        <v>1</v>
      </c>
    </row>
    <row r="26" spans="1:4" x14ac:dyDescent="0.35">
      <c r="A26" t="s">
        <v>325</v>
      </c>
      <c r="B26" t="s">
        <v>316</v>
      </c>
      <c r="C26" t="s">
        <v>338</v>
      </c>
      <c r="D26">
        <v>1</v>
      </c>
    </row>
    <row r="27" spans="1:4" x14ac:dyDescent="0.35">
      <c r="A27" t="s">
        <v>325</v>
      </c>
      <c r="B27" t="s">
        <v>317</v>
      </c>
      <c r="C27" t="s">
        <v>339</v>
      </c>
      <c r="D27">
        <v>1</v>
      </c>
    </row>
    <row r="28" spans="1:4" x14ac:dyDescent="0.35">
      <c r="A28" t="s">
        <v>325</v>
      </c>
      <c r="B28" t="s">
        <v>318</v>
      </c>
      <c r="C28" t="s">
        <v>340</v>
      </c>
      <c r="D28">
        <v>1</v>
      </c>
    </row>
    <row r="29" spans="1:4" x14ac:dyDescent="0.35">
      <c r="A29" t="s">
        <v>325</v>
      </c>
      <c r="B29" t="s">
        <v>319</v>
      </c>
      <c r="C29" t="s">
        <v>341</v>
      </c>
      <c r="D29">
        <v>1</v>
      </c>
    </row>
    <row r="30" spans="1:4" x14ac:dyDescent="0.35">
      <c r="A30" t="s">
        <v>325</v>
      </c>
      <c r="B30" t="s">
        <v>233</v>
      </c>
      <c r="C30" t="s">
        <v>342</v>
      </c>
      <c r="D30">
        <v>1</v>
      </c>
    </row>
    <row r="31" spans="1:4" x14ac:dyDescent="0.35">
      <c r="A31" t="s">
        <v>325</v>
      </c>
      <c r="B31" t="s">
        <v>320</v>
      </c>
      <c r="C31" t="s">
        <v>343</v>
      </c>
      <c r="D31">
        <v>1</v>
      </c>
    </row>
    <row r="32" spans="1:4" x14ac:dyDescent="0.35">
      <c r="A32" t="s">
        <v>325</v>
      </c>
      <c r="B32" t="s">
        <v>321</v>
      </c>
      <c r="C32" t="s">
        <v>344</v>
      </c>
      <c r="D32">
        <v>1</v>
      </c>
    </row>
    <row r="33" spans="1:6" x14ac:dyDescent="0.35">
      <c r="A33" t="s">
        <v>325</v>
      </c>
      <c r="B33" t="s">
        <v>322</v>
      </c>
      <c r="C33" t="s">
        <v>345</v>
      </c>
      <c r="D33">
        <v>1</v>
      </c>
    </row>
    <row r="34" spans="1:6" x14ac:dyDescent="0.35">
      <c r="A34" t="s">
        <v>326</v>
      </c>
      <c r="B34" t="s">
        <v>323</v>
      </c>
      <c r="C34" t="s">
        <v>346</v>
      </c>
      <c r="D34">
        <v>2</v>
      </c>
      <c r="F34" t="s">
        <v>327</v>
      </c>
    </row>
    <row r="35" spans="1:6" x14ac:dyDescent="0.35">
      <c r="A35" t="s">
        <v>326</v>
      </c>
      <c r="B35" t="s">
        <v>324</v>
      </c>
      <c r="C35" t="s">
        <v>347</v>
      </c>
      <c r="D35">
        <v>3</v>
      </c>
      <c r="F35" t="s">
        <v>327</v>
      </c>
    </row>
    <row r="36" spans="1:6" x14ac:dyDescent="0.35">
      <c r="A36" t="s">
        <v>325</v>
      </c>
      <c r="B36" t="s">
        <v>573</v>
      </c>
      <c r="C36" t="s">
        <v>524</v>
      </c>
      <c r="D36">
        <v>1</v>
      </c>
    </row>
    <row r="37" spans="1:6" x14ac:dyDescent="0.35">
      <c r="A37" t="s">
        <v>325</v>
      </c>
      <c r="B37" t="s">
        <v>574</v>
      </c>
      <c r="C37" t="s">
        <v>525</v>
      </c>
      <c r="D37">
        <v>1</v>
      </c>
    </row>
    <row r="38" spans="1:6" x14ac:dyDescent="0.35">
      <c r="A38" t="s">
        <v>325</v>
      </c>
      <c r="B38" t="s">
        <v>575</v>
      </c>
      <c r="C38" t="s">
        <v>526</v>
      </c>
      <c r="D38">
        <v>1</v>
      </c>
    </row>
    <row r="39" spans="1:6" x14ac:dyDescent="0.35">
      <c r="A39" t="s">
        <v>325</v>
      </c>
      <c r="B39" t="s">
        <v>576</v>
      </c>
      <c r="C39" t="s">
        <v>527</v>
      </c>
      <c r="D39">
        <v>1</v>
      </c>
    </row>
    <row r="40" spans="1:6" x14ac:dyDescent="0.35">
      <c r="A40" t="s">
        <v>325</v>
      </c>
      <c r="B40" t="s">
        <v>577</v>
      </c>
      <c r="C40" t="s">
        <v>528</v>
      </c>
      <c r="D40">
        <v>1</v>
      </c>
    </row>
    <row r="41" spans="1:6" x14ac:dyDescent="0.35">
      <c r="A41" t="s">
        <v>325</v>
      </c>
      <c r="B41" t="s">
        <v>578</v>
      </c>
      <c r="C41" t="s">
        <v>529</v>
      </c>
      <c r="D41">
        <v>1</v>
      </c>
    </row>
    <row r="42" spans="1:6" x14ac:dyDescent="0.35">
      <c r="A42" t="s">
        <v>325</v>
      </c>
      <c r="B42" t="s">
        <v>579</v>
      </c>
      <c r="C42" t="s">
        <v>530</v>
      </c>
      <c r="D42">
        <v>1</v>
      </c>
    </row>
    <row r="43" spans="1:6" x14ac:dyDescent="0.35">
      <c r="A43" t="s">
        <v>325</v>
      </c>
      <c r="B43" t="s">
        <v>580</v>
      </c>
      <c r="C43" t="s">
        <v>531</v>
      </c>
      <c r="D43">
        <v>1</v>
      </c>
    </row>
    <row r="44" spans="1:6" x14ac:dyDescent="0.35">
      <c r="A44" t="s">
        <v>325</v>
      </c>
      <c r="B44" t="s">
        <v>581</v>
      </c>
      <c r="C44" t="s">
        <v>532</v>
      </c>
      <c r="D44">
        <v>1</v>
      </c>
    </row>
    <row r="45" spans="1:6" x14ac:dyDescent="0.35">
      <c r="A45" t="s">
        <v>325</v>
      </c>
      <c r="B45" t="s">
        <v>582</v>
      </c>
      <c r="C45" t="s">
        <v>585</v>
      </c>
      <c r="D45">
        <v>1</v>
      </c>
    </row>
    <row r="46" spans="1:6" x14ac:dyDescent="0.35">
      <c r="A46" t="s">
        <v>325</v>
      </c>
      <c r="B46" t="s">
        <v>583</v>
      </c>
      <c r="C46" t="s">
        <v>586</v>
      </c>
      <c r="D46">
        <v>1</v>
      </c>
    </row>
    <row r="47" spans="1:6" x14ac:dyDescent="0.35">
      <c r="A47" t="s">
        <v>325</v>
      </c>
      <c r="B47" t="s">
        <v>584</v>
      </c>
      <c r="C47" t="s">
        <v>587</v>
      </c>
      <c r="D47">
        <v>1</v>
      </c>
    </row>
    <row r="48" spans="1:6" x14ac:dyDescent="0.35">
      <c r="A48" t="s">
        <v>325</v>
      </c>
      <c r="B48" t="s">
        <v>485</v>
      </c>
      <c r="C48" t="s">
        <v>490</v>
      </c>
      <c r="D48">
        <v>1</v>
      </c>
    </row>
    <row r="49" spans="1:6" x14ac:dyDescent="0.35">
      <c r="A49" t="s">
        <v>325</v>
      </c>
      <c r="B49" t="s">
        <v>486</v>
      </c>
      <c r="C49" t="s">
        <v>491</v>
      </c>
      <c r="D49">
        <v>1</v>
      </c>
    </row>
    <row r="50" spans="1:6" x14ac:dyDescent="0.35">
      <c r="A50" t="s">
        <v>325</v>
      </c>
      <c r="B50" t="s">
        <v>487</v>
      </c>
      <c r="C50" t="s">
        <v>492</v>
      </c>
      <c r="D50">
        <v>1</v>
      </c>
    </row>
    <row r="51" spans="1:6" x14ac:dyDescent="0.35">
      <c r="A51" t="s">
        <v>325</v>
      </c>
      <c r="B51" t="s">
        <v>488</v>
      </c>
      <c r="C51" t="s">
        <v>493</v>
      </c>
      <c r="D51">
        <v>1</v>
      </c>
    </row>
    <row r="52" spans="1:6" x14ac:dyDescent="0.35">
      <c r="A52" t="s">
        <v>325</v>
      </c>
      <c r="B52" t="s">
        <v>489</v>
      </c>
      <c r="C52" t="s">
        <v>494</v>
      </c>
      <c r="D52">
        <v>1</v>
      </c>
    </row>
    <row r="53" spans="1:6" x14ac:dyDescent="0.35">
      <c r="A53" t="s">
        <v>325</v>
      </c>
      <c r="B53" t="s">
        <v>594</v>
      </c>
      <c r="C53" t="s">
        <v>495</v>
      </c>
      <c r="D53">
        <v>1</v>
      </c>
    </row>
    <row r="54" spans="1:6" x14ac:dyDescent="0.35">
      <c r="A54" t="s">
        <v>132</v>
      </c>
      <c r="B54" t="s">
        <v>348</v>
      </c>
      <c r="C54" t="s">
        <v>134</v>
      </c>
      <c r="D54">
        <v>1</v>
      </c>
      <c r="E54">
        <v>1</v>
      </c>
    </row>
    <row r="55" spans="1:6" s="68" customFormat="1" x14ac:dyDescent="0.35">
      <c r="A55" s="68" t="s">
        <v>132</v>
      </c>
      <c r="B55" s="68" t="s">
        <v>355</v>
      </c>
      <c r="C55" s="68" t="s">
        <v>730</v>
      </c>
      <c r="D55" s="68">
        <v>1</v>
      </c>
      <c r="E55" s="68">
        <v>1</v>
      </c>
    </row>
    <row r="56" spans="1:6" s="68" customFormat="1" x14ac:dyDescent="0.35">
      <c r="A56" s="68" t="s">
        <v>132</v>
      </c>
      <c r="B56" s="68" t="s">
        <v>645</v>
      </c>
      <c r="C56" s="68" t="s">
        <v>734</v>
      </c>
      <c r="D56" s="68">
        <v>1</v>
      </c>
      <c r="E56" s="68">
        <v>1</v>
      </c>
    </row>
    <row r="57" spans="1:6" s="68" customFormat="1" x14ac:dyDescent="0.35">
      <c r="A57" s="68" t="s">
        <v>132</v>
      </c>
      <c r="B57" s="68" t="s">
        <v>646</v>
      </c>
      <c r="C57" s="68" t="s">
        <v>731</v>
      </c>
      <c r="E57" s="68">
        <v>1</v>
      </c>
    </row>
    <row r="58" spans="1:6" x14ac:dyDescent="0.35">
      <c r="A58" t="s">
        <v>132</v>
      </c>
      <c r="B58" t="s">
        <v>353</v>
      </c>
      <c r="C58" t="s">
        <v>349</v>
      </c>
      <c r="D58">
        <v>1</v>
      </c>
      <c r="E58">
        <v>1</v>
      </c>
    </row>
    <row r="59" spans="1:6" x14ac:dyDescent="0.35">
      <c r="A59" t="s">
        <v>132</v>
      </c>
      <c r="B59" t="s">
        <v>354</v>
      </c>
      <c r="C59" t="s">
        <v>350</v>
      </c>
      <c r="D59">
        <v>1</v>
      </c>
      <c r="E59">
        <v>1</v>
      </c>
    </row>
    <row r="60" spans="1:6" x14ac:dyDescent="0.35">
      <c r="A60" t="s">
        <v>132</v>
      </c>
      <c r="B60" t="s">
        <v>475</v>
      </c>
      <c r="C60" t="s">
        <v>351</v>
      </c>
      <c r="D60">
        <v>1</v>
      </c>
      <c r="E60">
        <v>2</v>
      </c>
    </row>
    <row r="61" spans="1:6" x14ac:dyDescent="0.35">
      <c r="A61" t="s">
        <v>325</v>
      </c>
      <c r="B61" t="s">
        <v>362</v>
      </c>
      <c r="C61" t="s">
        <v>360</v>
      </c>
      <c r="D61">
        <v>1</v>
      </c>
    </row>
    <row r="62" spans="1:6" x14ac:dyDescent="0.35">
      <c r="A62" t="s">
        <v>326</v>
      </c>
      <c r="B62" t="s">
        <v>363</v>
      </c>
      <c r="C62" t="s">
        <v>361</v>
      </c>
      <c r="D62">
        <v>2</v>
      </c>
      <c r="F62" t="s">
        <v>327</v>
      </c>
    </row>
    <row r="63" spans="1:6" x14ac:dyDescent="0.35">
      <c r="A63" t="s">
        <v>132</v>
      </c>
      <c r="B63" t="s">
        <v>357</v>
      </c>
      <c r="C63" t="s">
        <v>503</v>
      </c>
      <c r="D63">
        <v>1</v>
      </c>
      <c r="E63">
        <v>1</v>
      </c>
    </row>
    <row r="64" spans="1:6" x14ac:dyDescent="0.35">
      <c r="A64" t="s">
        <v>132</v>
      </c>
      <c r="B64" t="s">
        <v>356</v>
      </c>
      <c r="C64" t="s">
        <v>556</v>
      </c>
      <c r="D64">
        <v>1</v>
      </c>
      <c r="E64">
        <v>1</v>
      </c>
    </row>
    <row r="65" spans="1:4" x14ac:dyDescent="0.35">
      <c r="A65" t="s">
        <v>132</v>
      </c>
      <c r="B65" t="s">
        <v>358</v>
      </c>
      <c r="C65" t="s">
        <v>352</v>
      </c>
      <c r="D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:AL151"/>
  <sheetViews>
    <sheetView zoomScale="85" zoomScaleNormal="85" workbookViewId="0">
      <pane ySplit="6" topLeftCell="A7" activePane="bottomLeft" state="frozen"/>
      <selection activeCell="A8" sqref="A8"/>
      <selection pane="bottomLeft" activeCell="O22" sqref="O22"/>
    </sheetView>
  </sheetViews>
  <sheetFormatPr defaultRowHeight="14.5" x14ac:dyDescent="0.35"/>
  <cols>
    <col min="27" max="27" width="14.26953125" customWidth="1"/>
  </cols>
  <sheetData>
    <row r="1" spans="1:38" ht="18.5" x14ac:dyDescent="0.45">
      <c r="A1" s="2" t="s">
        <v>229</v>
      </c>
    </row>
    <row r="2" spans="1:38" x14ac:dyDescent="0.35">
      <c r="A2" s="3" t="s">
        <v>364</v>
      </c>
      <c r="B2" s="4" t="s">
        <v>310</v>
      </c>
    </row>
    <row r="4" spans="1:38" x14ac:dyDescent="0.35">
      <c r="A4" s="1" t="s">
        <v>267</v>
      </c>
      <c r="B4" s="1" t="s">
        <v>235</v>
      </c>
      <c r="C4" s="1" t="s">
        <v>268</v>
      </c>
      <c r="D4" s="1"/>
      <c r="E4" s="1" t="s">
        <v>236</v>
      </c>
      <c r="F4" s="1" t="s">
        <v>237</v>
      </c>
      <c r="G4" s="1"/>
      <c r="H4" s="1"/>
      <c r="I4" s="1"/>
      <c r="J4" s="1"/>
      <c r="K4" s="1" t="s">
        <v>238</v>
      </c>
      <c r="L4" s="1"/>
      <c r="M4" s="1"/>
      <c r="N4" s="1"/>
      <c r="O4" s="1"/>
      <c r="P4" s="1" t="s">
        <v>103</v>
      </c>
      <c r="Q4" s="1"/>
      <c r="R4" s="1"/>
      <c r="S4" s="1"/>
      <c r="T4" s="1" t="s">
        <v>274</v>
      </c>
      <c r="U4" s="1"/>
      <c r="V4" s="1"/>
      <c r="W4" s="1" t="s">
        <v>273</v>
      </c>
      <c r="AA4" s="1" t="s">
        <v>533</v>
      </c>
    </row>
    <row r="5" spans="1:38" x14ac:dyDescent="0.35">
      <c r="C5" t="s">
        <v>240</v>
      </c>
      <c r="F5" t="s">
        <v>240</v>
      </c>
      <c r="G5" t="s">
        <v>241</v>
      </c>
      <c r="H5" t="s">
        <v>244</v>
      </c>
      <c r="I5" t="s">
        <v>243</v>
      </c>
      <c r="J5" t="s">
        <v>242</v>
      </c>
      <c r="K5" t="s">
        <v>240</v>
      </c>
      <c r="L5" t="s">
        <v>245</v>
      </c>
      <c r="M5" t="s">
        <v>269</v>
      </c>
      <c r="N5" t="s">
        <v>105</v>
      </c>
      <c r="O5" t="s">
        <v>270</v>
      </c>
      <c r="P5" t="s">
        <v>245</v>
      </c>
      <c r="Q5" t="s">
        <v>271</v>
      </c>
      <c r="R5" t="s">
        <v>272</v>
      </c>
      <c r="T5" t="s">
        <v>239</v>
      </c>
      <c r="W5" t="s">
        <v>248</v>
      </c>
      <c r="AA5" t="s">
        <v>522</v>
      </c>
      <c r="AB5" t="s">
        <v>523</v>
      </c>
    </row>
    <row r="6" spans="1:38" x14ac:dyDescent="0.35">
      <c r="A6" t="s">
        <v>263</v>
      </c>
      <c r="B6" t="s">
        <v>249</v>
      </c>
      <c r="C6" t="s">
        <v>250</v>
      </c>
      <c r="D6" t="s">
        <v>251</v>
      </c>
      <c r="E6" t="s">
        <v>252</v>
      </c>
      <c r="F6" t="s">
        <v>264</v>
      </c>
      <c r="G6" t="s">
        <v>265</v>
      </c>
      <c r="H6" t="s">
        <v>254</v>
      </c>
      <c r="I6" t="s">
        <v>253</v>
      </c>
      <c r="J6" t="s">
        <v>266</v>
      </c>
      <c r="K6" t="s">
        <v>255</v>
      </c>
      <c r="L6" t="s">
        <v>256</v>
      </c>
      <c r="M6" t="s">
        <v>257</v>
      </c>
      <c r="N6" t="s">
        <v>258</v>
      </c>
      <c r="O6" t="s">
        <v>259</v>
      </c>
      <c r="P6" t="s">
        <v>260</v>
      </c>
      <c r="Q6" t="s">
        <v>261</v>
      </c>
      <c r="R6" t="s">
        <v>262</v>
      </c>
      <c r="T6" t="s">
        <v>250</v>
      </c>
      <c r="U6" t="s">
        <v>252</v>
      </c>
      <c r="W6" t="s">
        <v>251</v>
      </c>
      <c r="X6" t="s">
        <v>250</v>
      </c>
      <c r="Y6" t="s">
        <v>249</v>
      </c>
      <c r="AA6" t="s">
        <v>561</v>
      </c>
      <c r="AB6" t="s">
        <v>562</v>
      </c>
      <c r="AC6" t="s">
        <v>563</v>
      </c>
      <c r="AD6" t="s">
        <v>564</v>
      </c>
      <c r="AE6" t="s">
        <v>565</v>
      </c>
      <c r="AF6" t="s">
        <v>566</v>
      </c>
      <c r="AG6" t="s">
        <v>567</v>
      </c>
      <c r="AH6" t="s">
        <v>568</v>
      </c>
      <c r="AI6" t="s">
        <v>569</v>
      </c>
      <c r="AJ6" t="s">
        <v>570</v>
      </c>
      <c r="AK6" t="s">
        <v>571</v>
      </c>
      <c r="AL6" t="s">
        <v>572</v>
      </c>
    </row>
    <row r="7" spans="1:38" x14ac:dyDescent="0.35">
      <c r="A7" t="s">
        <v>675</v>
      </c>
      <c r="B7" t="s">
        <v>591</v>
      </c>
      <c r="C7" t="s">
        <v>675</v>
      </c>
      <c r="D7" t="s">
        <v>675</v>
      </c>
      <c r="E7" t="s">
        <v>680</v>
      </c>
      <c r="F7" t="s">
        <v>552</v>
      </c>
      <c r="G7" t="s">
        <v>552</v>
      </c>
      <c r="H7" t="s">
        <v>216</v>
      </c>
      <c r="I7" t="s">
        <v>558</v>
      </c>
      <c r="J7" t="s">
        <v>557</v>
      </c>
      <c r="K7" t="s">
        <v>104</v>
      </c>
      <c r="L7" t="s">
        <v>104</v>
      </c>
      <c r="M7" t="s">
        <v>104</v>
      </c>
      <c r="N7" t="s">
        <v>104</v>
      </c>
      <c r="O7" t="s">
        <v>217</v>
      </c>
      <c r="P7" t="s">
        <v>296</v>
      </c>
      <c r="Q7" t="s">
        <v>297</v>
      </c>
      <c r="R7" t="s">
        <v>298</v>
      </c>
      <c r="T7" t="str">
        <f>C7</f>
        <v>acere</v>
      </c>
      <c r="U7" t="str">
        <f>E7</f>
        <v>ccere</v>
      </c>
      <c r="W7" t="str">
        <f>D7</f>
        <v>acere</v>
      </c>
      <c r="X7" t="str">
        <f>C7</f>
        <v>acere</v>
      </c>
      <c r="Y7" t="s">
        <v>591</v>
      </c>
      <c r="AA7" t="str">
        <f>W7</f>
        <v>acere</v>
      </c>
      <c r="AB7" t="str">
        <f>W19</f>
        <v>amine</v>
      </c>
      <c r="AC7" t="str">
        <f t="shared" ref="AC7:AC23" si="0">W21</f>
        <v>agmll</v>
      </c>
      <c r="AD7" t="s">
        <v>163</v>
      </c>
      <c r="AE7" t="s">
        <v>165</v>
      </c>
      <c r="AF7" t="s">
        <v>166</v>
      </c>
      <c r="AG7" t="s">
        <v>167</v>
      </c>
      <c r="AH7" t="s">
        <v>168</v>
      </c>
      <c r="AI7" t="s">
        <v>170</v>
      </c>
      <c r="AJ7" t="s">
        <v>171</v>
      </c>
      <c r="AK7" t="s">
        <v>173</v>
      </c>
      <c r="AL7" t="s">
        <v>176</v>
      </c>
    </row>
    <row r="8" spans="1:38" x14ac:dyDescent="0.35">
      <c r="A8" t="s">
        <v>138</v>
      </c>
      <c r="C8" t="s">
        <v>138</v>
      </c>
      <c r="D8" t="s">
        <v>138</v>
      </c>
      <c r="E8" t="s">
        <v>177</v>
      </c>
      <c r="F8" t="s">
        <v>553</v>
      </c>
      <c r="G8" t="s">
        <v>553</v>
      </c>
      <c r="J8" t="s">
        <v>559</v>
      </c>
      <c r="K8" t="s">
        <v>217</v>
      </c>
      <c r="L8" t="s">
        <v>217</v>
      </c>
      <c r="M8" t="s">
        <v>217</v>
      </c>
      <c r="O8" t="s">
        <v>218</v>
      </c>
      <c r="T8" t="str">
        <f t="shared" ref="T8:T12" si="1">C8</f>
        <v>apuls</v>
      </c>
      <c r="U8" t="str">
        <f t="shared" ref="U8:U12" si="2">E8</f>
        <v>cpuls</v>
      </c>
      <c r="W8" t="str">
        <f t="shared" ref="W8:W12" si="3">D8</f>
        <v>apuls</v>
      </c>
      <c r="X8" t="str">
        <f t="shared" ref="X8:X12" si="4">C8</f>
        <v>apuls</v>
      </c>
      <c r="Y8" t="s">
        <v>591</v>
      </c>
      <c r="AA8" t="str">
        <f t="shared" ref="AA8:AA12" si="5">W8</f>
        <v>apuls</v>
      </c>
      <c r="AB8" t="str">
        <f>W20</f>
        <v>amino</v>
      </c>
      <c r="AC8" t="str">
        <f t="shared" si="0"/>
        <v>afoil</v>
      </c>
      <c r="AD8" t="s">
        <v>164</v>
      </c>
      <c r="AG8" t="s">
        <v>169</v>
      </c>
      <c r="AH8" t="s">
        <v>548</v>
      </c>
      <c r="AJ8" t="s">
        <v>172</v>
      </c>
      <c r="AK8" t="s">
        <v>174</v>
      </c>
    </row>
    <row r="9" spans="1:38" x14ac:dyDescent="0.35">
      <c r="A9" t="s">
        <v>140</v>
      </c>
      <c r="C9" t="s">
        <v>140</v>
      </c>
      <c r="D9" t="s">
        <v>140</v>
      </c>
      <c r="E9" t="s">
        <v>178</v>
      </c>
      <c r="F9" t="s">
        <v>554</v>
      </c>
      <c r="G9" t="s">
        <v>554</v>
      </c>
      <c r="J9" t="s">
        <v>560</v>
      </c>
      <c r="K9" t="s">
        <v>218</v>
      </c>
      <c r="L9" t="s">
        <v>218</v>
      </c>
      <c r="M9" t="s">
        <v>218</v>
      </c>
      <c r="O9" t="s">
        <v>219</v>
      </c>
      <c r="T9" t="str">
        <f t="shared" si="1"/>
        <v>aoils</v>
      </c>
      <c r="U9" t="str">
        <f t="shared" si="2"/>
        <v>coils</v>
      </c>
      <c r="W9" t="str">
        <f t="shared" si="3"/>
        <v>aoils</v>
      </c>
      <c r="X9" t="str">
        <f t="shared" si="4"/>
        <v>aoils</v>
      </c>
      <c r="Y9" t="s">
        <v>591</v>
      </c>
      <c r="AA9" t="str">
        <f t="shared" si="5"/>
        <v>aoils</v>
      </c>
      <c r="AC9" t="str">
        <f t="shared" si="0"/>
        <v>afveg</v>
      </c>
      <c r="AK9" t="s">
        <v>175</v>
      </c>
    </row>
    <row r="10" spans="1:38" x14ac:dyDescent="0.35">
      <c r="A10" t="s">
        <v>142</v>
      </c>
      <c r="C10" t="s">
        <v>142</v>
      </c>
      <c r="D10" t="s">
        <v>142</v>
      </c>
      <c r="E10" t="s">
        <v>179</v>
      </c>
      <c r="F10" t="s">
        <v>555</v>
      </c>
      <c r="G10" t="s">
        <v>555</v>
      </c>
      <c r="K10" t="s">
        <v>219</v>
      </c>
      <c r="L10" t="s">
        <v>219</v>
      </c>
      <c r="M10" t="s">
        <v>219</v>
      </c>
      <c r="O10" t="s">
        <v>220</v>
      </c>
      <c r="T10" t="str">
        <f t="shared" si="1"/>
        <v>aroot</v>
      </c>
      <c r="U10" t="str">
        <f t="shared" si="2"/>
        <v>croot</v>
      </c>
      <c r="W10" t="str">
        <f t="shared" si="3"/>
        <v>aroot</v>
      </c>
      <c r="X10" t="str">
        <f t="shared" si="4"/>
        <v>aroot</v>
      </c>
      <c r="Y10" t="s">
        <v>591</v>
      </c>
      <c r="AA10" t="str">
        <f t="shared" si="5"/>
        <v>aroot</v>
      </c>
      <c r="AC10" t="str">
        <f t="shared" si="0"/>
        <v>ameat</v>
      </c>
    </row>
    <row r="11" spans="1:38" x14ac:dyDescent="0.35">
      <c r="A11" t="s">
        <v>143</v>
      </c>
      <c r="C11" t="s">
        <v>143</v>
      </c>
      <c r="D11" t="s">
        <v>143</v>
      </c>
      <c r="E11" t="s">
        <v>180</v>
      </c>
      <c r="F11" t="s">
        <v>216</v>
      </c>
      <c r="K11" t="s">
        <v>220</v>
      </c>
      <c r="L11" t="s">
        <v>220</v>
      </c>
      <c r="M11" t="s">
        <v>220</v>
      </c>
      <c r="O11" t="s">
        <v>221</v>
      </c>
      <c r="T11" t="str">
        <f t="shared" si="1"/>
        <v>avege</v>
      </c>
      <c r="U11" t="str">
        <f t="shared" si="2"/>
        <v>cvege</v>
      </c>
      <c r="W11" t="str">
        <f t="shared" si="3"/>
        <v>avege</v>
      </c>
      <c r="X11" t="str">
        <f t="shared" si="4"/>
        <v>avege</v>
      </c>
      <c r="Y11" t="s">
        <v>591</v>
      </c>
      <c r="AA11" t="str">
        <f t="shared" si="5"/>
        <v>avege</v>
      </c>
      <c r="AC11" t="str">
        <f t="shared" si="0"/>
        <v>afsea</v>
      </c>
    </row>
    <row r="12" spans="1:38" x14ac:dyDescent="0.35">
      <c r="A12" t="s">
        <v>147</v>
      </c>
      <c r="C12" t="s">
        <v>147</v>
      </c>
      <c r="D12" t="s">
        <v>147</v>
      </c>
      <c r="E12" t="s">
        <v>181</v>
      </c>
      <c r="F12" t="s">
        <v>557</v>
      </c>
      <c r="K12" t="s">
        <v>221</v>
      </c>
      <c r="L12" t="s">
        <v>221</v>
      </c>
      <c r="M12" t="s">
        <v>221</v>
      </c>
      <c r="O12" t="s">
        <v>595</v>
      </c>
      <c r="T12" t="str">
        <f t="shared" si="1"/>
        <v>afrui</v>
      </c>
      <c r="U12" t="str">
        <f t="shared" si="2"/>
        <v>cfrui</v>
      </c>
      <c r="W12" t="str">
        <f t="shared" si="3"/>
        <v>afrui</v>
      </c>
      <c r="X12" t="str">
        <f t="shared" si="4"/>
        <v>afrui</v>
      </c>
      <c r="Y12" t="s">
        <v>591</v>
      </c>
      <c r="AA12" t="str">
        <f t="shared" si="5"/>
        <v>afrui</v>
      </c>
      <c r="AC12" t="str">
        <f t="shared" si="0"/>
        <v>adair</v>
      </c>
    </row>
    <row r="13" spans="1:38" x14ac:dyDescent="0.35">
      <c r="A13" s="32" t="s">
        <v>724</v>
      </c>
      <c r="C13" s="32" t="s">
        <v>724</v>
      </c>
      <c r="D13" s="32" t="s">
        <v>724</v>
      </c>
      <c r="E13" s="32" t="s">
        <v>725</v>
      </c>
      <c r="F13" t="s">
        <v>558</v>
      </c>
      <c r="K13" t="s">
        <v>595</v>
      </c>
      <c r="L13" t="s">
        <v>595</v>
      </c>
      <c r="M13" t="s">
        <v>595</v>
      </c>
      <c r="O13" t="s">
        <v>596</v>
      </c>
      <c r="T13" s="32" t="s">
        <v>724</v>
      </c>
      <c r="U13" s="32" t="s">
        <v>725</v>
      </c>
      <c r="W13" s="32" t="s">
        <v>724</v>
      </c>
      <c r="X13" s="32" t="s">
        <v>724</v>
      </c>
      <c r="Y13" t="s">
        <v>591</v>
      </c>
      <c r="AA13" s="32" t="s">
        <v>724</v>
      </c>
      <c r="AC13" t="str">
        <f t="shared" si="0"/>
        <v>afobe</v>
      </c>
    </row>
    <row r="14" spans="1:38" x14ac:dyDescent="0.35">
      <c r="A14" t="s">
        <v>148</v>
      </c>
      <c r="C14" t="s">
        <v>148</v>
      </c>
      <c r="D14" t="s">
        <v>148</v>
      </c>
      <c r="E14" t="s">
        <v>182</v>
      </c>
      <c r="F14" t="s">
        <v>559</v>
      </c>
      <c r="K14" t="s">
        <v>596</v>
      </c>
      <c r="L14" t="s">
        <v>596</v>
      </c>
      <c r="M14" t="s">
        <v>596</v>
      </c>
      <c r="O14" t="s">
        <v>597</v>
      </c>
      <c r="T14" t="str">
        <f t="shared" ref="T14:T52" si="6">C14</f>
        <v>aocrp</v>
      </c>
      <c r="U14" t="str">
        <f t="shared" ref="U14:U52" si="7">E14</f>
        <v>cocrp</v>
      </c>
      <c r="W14" t="str">
        <f t="shared" ref="W14:W52" si="8">D14</f>
        <v>aocrp</v>
      </c>
      <c r="X14" t="str">
        <f t="shared" ref="X14:X52" si="9">C14</f>
        <v>aocrp</v>
      </c>
      <c r="Y14" t="s">
        <v>591</v>
      </c>
      <c r="AA14" t="str">
        <f>W14</f>
        <v>aocrp</v>
      </c>
      <c r="AC14" t="str">
        <f t="shared" si="0"/>
        <v>aoapr</v>
      </c>
    </row>
    <row r="15" spans="1:38" x14ac:dyDescent="0.35">
      <c r="A15" t="s">
        <v>676</v>
      </c>
      <c r="C15" t="s">
        <v>676</v>
      </c>
      <c r="D15" t="s">
        <v>676</v>
      </c>
      <c r="E15" t="s">
        <v>681</v>
      </c>
      <c r="F15" t="s">
        <v>560</v>
      </c>
      <c r="G15" s="4"/>
      <c r="K15" t="s">
        <v>597</v>
      </c>
      <c r="L15" t="s">
        <v>597</v>
      </c>
      <c r="M15" t="s">
        <v>597</v>
      </c>
      <c r="O15" t="s">
        <v>598</v>
      </c>
      <c r="T15" t="str">
        <f t="shared" si="6"/>
        <v>alive</v>
      </c>
      <c r="U15" t="str">
        <f t="shared" si="7"/>
        <v>clive</v>
      </c>
      <c r="W15" t="str">
        <f t="shared" si="8"/>
        <v>alive</v>
      </c>
      <c r="X15" t="str">
        <f t="shared" si="9"/>
        <v>alive</v>
      </c>
      <c r="Y15" t="s">
        <v>591</v>
      </c>
      <c r="AA15" t="str">
        <f>W15</f>
        <v>alive</v>
      </c>
      <c r="AC15" t="str">
        <f t="shared" si="0"/>
        <v>atext</v>
      </c>
    </row>
    <row r="16" spans="1:38" x14ac:dyDescent="0.35">
      <c r="A16" t="s">
        <v>281</v>
      </c>
      <c r="C16" t="s">
        <v>281</v>
      </c>
      <c r="D16" t="s">
        <v>281</v>
      </c>
      <c r="E16" t="s">
        <v>289</v>
      </c>
      <c r="G16" s="4"/>
      <c r="K16" t="s">
        <v>598</v>
      </c>
      <c r="L16" t="s">
        <v>598</v>
      </c>
      <c r="M16" t="s">
        <v>598</v>
      </c>
      <c r="O16" t="s">
        <v>599</v>
      </c>
      <c r="T16" t="str">
        <f t="shared" si="6"/>
        <v>amilk</v>
      </c>
      <c r="U16" t="str">
        <f t="shared" si="7"/>
        <v>cmilk</v>
      </c>
      <c r="W16" t="str">
        <f t="shared" si="8"/>
        <v>amilk</v>
      </c>
      <c r="X16" t="str">
        <f t="shared" si="9"/>
        <v>amilk</v>
      </c>
      <c r="Y16" t="s">
        <v>591</v>
      </c>
      <c r="AA16" t="str">
        <f>W16</f>
        <v>amilk</v>
      </c>
      <c r="AC16" t="str">
        <f t="shared" si="0"/>
        <v>awood</v>
      </c>
    </row>
    <row r="17" spans="1:29" x14ac:dyDescent="0.35">
      <c r="A17" t="s">
        <v>151</v>
      </c>
      <c r="C17" t="s">
        <v>151</v>
      </c>
      <c r="D17" t="s">
        <v>151</v>
      </c>
      <c r="E17" t="s">
        <v>183</v>
      </c>
      <c r="G17" s="4"/>
      <c r="K17" t="s">
        <v>599</v>
      </c>
      <c r="L17" t="s">
        <v>599</v>
      </c>
      <c r="M17" t="s">
        <v>599</v>
      </c>
      <c r="O17" t="s">
        <v>222</v>
      </c>
      <c r="T17" t="str">
        <f t="shared" si="6"/>
        <v>afore</v>
      </c>
      <c r="U17" t="str">
        <f t="shared" si="7"/>
        <v>cfore</v>
      </c>
      <c r="W17" t="str">
        <f t="shared" si="8"/>
        <v>afore</v>
      </c>
      <c r="X17" t="str">
        <f t="shared" si="9"/>
        <v>afore</v>
      </c>
      <c r="Y17" t="s">
        <v>591</v>
      </c>
      <c r="AA17" t="str">
        <f>W17</f>
        <v>afore</v>
      </c>
      <c r="AC17" t="str">
        <f t="shared" si="0"/>
        <v>apetr</v>
      </c>
    </row>
    <row r="18" spans="1:29" x14ac:dyDescent="0.35">
      <c r="A18" t="s">
        <v>152</v>
      </c>
      <c r="C18" t="s">
        <v>152</v>
      </c>
      <c r="D18" t="s">
        <v>152</v>
      </c>
      <c r="E18" t="s">
        <v>184</v>
      </c>
      <c r="G18" s="4"/>
      <c r="K18" t="s">
        <v>222</v>
      </c>
      <c r="L18" t="s">
        <v>222</v>
      </c>
      <c r="M18" t="s">
        <v>222</v>
      </c>
      <c r="O18" t="s">
        <v>223</v>
      </c>
      <c r="T18" t="str">
        <f t="shared" si="6"/>
        <v>afish</v>
      </c>
      <c r="U18" t="str">
        <f t="shared" si="7"/>
        <v>cfish</v>
      </c>
      <c r="W18" t="str">
        <f t="shared" si="8"/>
        <v>afish</v>
      </c>
      <c r="X18" t="str">
        <f t="shared" si="9"/>
        <v>afish</v>
      </c>
      <c r="Y18" t="s">
        <v>591</v>
      </c>
      <c r="AA18" t="str">
        <f>W18</f>
        <v>afish</v>
      </c>
      <c r="AC18" t="str">
        <f t="shared" si="0"/>
        <v>afert</v>
      </c>
    </row>
    <row r="19" spans="1:29" x14ac:dyDescent="0.35">
      <c r="A19" t="s">
        <v>714</v>
      </c>
      <c r="C19" t="s">
        <v>714</v>
      </c>
      <c r="D19" t="s">
        <v>714</v>
      </c>
      <c r="E19" t="s">
        <v>682</v>
      </c>
      <c r="K19" t="s">
        <v>223</v>
      </c>
      <c r="L19" t="s">
        <v>223</v>
      </c>
      <c r="M19" t="s">
        <v>223</v>
      </c>
      <c r="O19" t="s">
        <v>224</v>
      </c>
      <c r="T19" t="str">
        <f t="shared" si="6"/>
        <v>amine</v>
      </c>
      <c r="U19" t="str">
        <f t="shared" si="7"/>
        <v>cmine</v>
      </c>
      <c r="W19" t="str">
        <f t="shared" si="8"/>
        <v>amine</v>
      </c>
      <c r="X19" t="str">
        <f t="shared" si="9"/>
        <v>amine</v>
      </c>
      <c r="Y19" t="s">
        <v>591</v>
      </c>
      <c r="AC19" t="str">
        <f t="shared" si="0"/>
        <v>achem</v>
      </c>
    </row>
    <row r="20" spans="1:29" x14ac:dyDescent="0.35">
      <c r="A20" t="s">
        <v>677</v>
      </c>
      <c r="C20" t="s">
        <v>677</v>
      </c>
      <c r="D20" t="s">
        <v>677</v>
      </c>
      <c r="E20" t="s">
        <v>683</v>
      </c>
      <c r="K20" t="s">
        <v>224</v>
      </c>
      <c r="L20" t="s">
        <v>224</v>
      </c>
      <c r="M20" t="s">
        <v>224</v>
      </c>
      <c r="O20" t="s">
        <v>225</v>
      </c>
      <c r="T20" t="str">
        <f t="shared" si="6"/>
        <v>amino</v>
      </c>
      <c r="U20" t="str">
        <f t="shared" si="7"/>
        <v>cmino</v>
      </c>
      <c r="W20" t="str">
        <f t="shared" si="8"/>
        <v>amino</v>
      </c>
      <c r="X20" t="str">
        <f t="shared" si="9"/>
        <v>amino</v>
      </c>
      <c r="Y20" t="s">
        <v>591</v>
      </c>
      <c r="AC20" t="str">
        <f t="shared" si="0"/>
        <v>anmet</v>
      </c>
    </row>
    <row r="21" spans="1:29" x14ac:dyDescent="0.35">
      <c r="A21" t="s">
        <v>154</v>
      </c>
      <c r="C21" t="s">
        <v>154</v>
      </c>
      <c r="D21" t="s">
        <v>154</v>
      </c>
      <c r="E21" t="s">
        <v>186</v>
      </c>
      <c r="K21" t="s">
        <v>225</v>
      </c>
      <c r="L21" t="s">
        <v>225</v>
      </c>
      <c r="M21" t="s">
        <v>225</v>
      </c>
      <c r="O21" t="s">
        <v>226</v>
      </c>
      <c r="T21" t="str">
        <f t="shared" si="6"/>
        <v>agmll</v>
      </c>
      <c r="U21" t="str">
        <f t="shared" si="7"/>
        <v>cgmll</v>
      </c>
      <c r="W21" t="str">
        <f t="shared" si="8"/>
        <v>agmll</v>
      </c>
      <c r="X21" t="str">
        <f t="shared" si="9"/>
        <v>agmll</v>
      </c>
      <c r="Y21" t="s">
        <v>591</v>
      </c>
      <c r="AC21" t="str">
        <f t="shared" si="0"/>
        <v>ametl</v>
      </c>
    </row>
    <row r="22" spans="1:29" x14ac:dyDescent="0.35">
      <c r="A22" t="s">
        <v>287</v>
      </c>
      <c r="C22" t="s">
        <v>287</v>
      </c>
      <c r="D22" t="s">
        <v>287</v>
      </c>
      <c r="E22" t="s">
        <v>293</v>
      </c>
      <c r="K22" t="s">
        <v>226</v>
      </c>
      <c r="L22" t="s">
        <v>226</v>
      </c>
      <c r="M22" t="s">
        <v>226</v>
      </c>
      <c r="T22" t="str">
        <f t="shared" si="6"/>
        <v>afoil</v>
      </c>
      <c r="U22" t="str">
        <f t="shared" si="7"/>
        <v>cfoil</v>
      </c>
      <c r="W22" t="str">
        <f t="shared" si="8"/>
        <v>afoil</v>
      </c>
      <c r="X22" t="str">
        <f t="shared" si="9"/>
        <v>afoil</v>
      </c>
      <c r="Y22" t="s">
        <v>591</v>
      </c>
      <c r="AC22" t="str">
        <f t="shared" si="0"/>
        <v>amach</v>
      </c>
    </row>
    <row r="23" spans="1:29" x14ac:dyDescent="0.35">
      <c r="A23" t="s">
        <v>286</v>
      </c>
      <c r="C23" t="s">
        <v>286</v>
      </c>
      <c r="D23" t="s">
        <v>286</v>
      </c>
      <c r="E23" t="s">
        <v>292</v>
      </c>
      <c r="K23" t="s">
        <v>106</v>
      </c>
      <c r="L23" t="s">
        <v>106</v>
      </c>
      <c r="T23" t="str">
        <f t="shared" si="6"/>
        <v>afveg</v>
      </c>
      <c r="U23" t="str">
        <f t="shared" si="7"/>
        <v>cfveg</v>
      </c>
      <c r="W23" t="str">
        <f t="shared" si="8"/>
        <v>afveg</v>
      </c>
      <c r="X23" t="str">
        <f t="shared" si="9"/>
        <v>afveg</v>
      </c>
      <c r="Y23" t="s">
        <v>591</v>
      </c>
      <c r="AC23" t="str">
        <f t="shared" si="0"/>
        <v>aoman</v>
      </c>
    </row>
    <row r="24" spans="1:29" x14ac:dyDescent="0.35">
      <c r="A24" t="s">
        <v>153</v>
      </c>
      <c r="C24" t="s">
        <v>153</v>
      </c>
      <c r="D24" t="s">
        <v>153</v>
      </c>
      <c r="E24" t="s">
        <v>185</v>
      </c>
      <c r="K24" t="s">
        <v>124</v>
      </c>
      <c r="T24" t="str">
        <f t="shared" si="6"/>
        <v>ameat</v>
      </c>
      <c r="U24" t="str">
        <f t="shared" si="7"/>
        <v>cmeat</v>
      </c>
      <c r="W24" t="str">
        <f t="shared" si="8"/>
        <v>ameat</v>
      </c>
      <c r="X24" t="str">
        <f t="shared" si="9"/>
        <v>ameat</v>
      </c>
      <c r="Y24" t="s">
        <v>591</v>
      </c>
    </row>
    <row r="25" spans="1:29" x14ac:dyDescent="0.35">
      <c r="A25" t="s">
        <v>284</v>
      </c>
      <c r="C25" t="s">
        <v>284</v>
      </c>
      <c r="D25" t="s">
        <v>284</v>
      </c>
      <c r="E25" t="s">
        <v>290</v>
      </c>
      <c r="T25" t="str">
        <f t="shared" si="6"/>
        <v>afsea</v>
      </c>
      <c r="U25" t="str">
        <f t="shared" si="7"/>
        <v>cfsea</v>
      </c>
      <c r="W25" t="str">
        <f t="shared" si="8"/>
        <v>afsea</v>
      </c>
      <c r="X25" t="str">
        <f t="shared" si="9"/>
        <v>afsea</v>
      </c>
      <c r="Y25" t="s">
        <v>591</v>
      </c>
    </row>
    <row r="26" spans="1:29" x14ac:dyDescent="0.35">
      <c r="A26" t="s">
        <v>285</v>
      </c>
      <c r="C26" t="s">
        <v>285</v>
      </c>
      <c r="D26" t="s">
        <v>285</v>
      </c>
      <c r="E26" t="s">
        <v>291</v>
      </c>
      <c r="T26" t="str">
        <f t="shared" si="6"/>
        <v>adair</v>
      </c>
      <c r="U26" t="str">
        <f t="shared" si="7"/>
        <v>cdair</v>
      </c>
      <c r="W26" t="str">
        <f t="shared" si="8"/>
        <v>adair</v>
      </c>
      <c r="X26" t="str">
        <f t="shared" si="9"/>
        <v>adair</v>
      </c>
      <c r="Y26" t="s">
        <v>591</v>
      </c>
    </row>
    <row r="27" spans="1:29" x14ac:dyDescent="0.35">
      <c r="A27" t="s">
        <v>678</v>
      </c>
      <c r="C27" t="s">
        <v>678</v>
      </c>
      <c r="D27" t="s">
        <v>678</v>
      </c>
      <c r="E27" t="s">
        <v>684</v>
      </c>
      <c r="T27" t="str">
        <f t="shared" si="6"/>
        <v>afobe</v>
      </c>
      <c r="U27" t="str">
        <f t="shared" si="7"/>
        <v>cfobe</v>
      </c>
      <c r="W27" t="str">
        <f t="shared" si="8"/>
        <v>afobe</v>
      </c>
      <c r="X27" t="str">
        <f t="shared" si="9"/>
        <v>afobe</v>
      </c>
      <c r="Y27" t="s">
        <v>591</v>
      </c>
    </row>
    <row r="28" spans="1:29" x14ac:dyDescent="0.35">
      <c r="A28" t="s">
        <v>679</v>
      </c>
      <c r="C28" t="s">
        <v>679</v>
      </c>
      <c r="D28" t="s">
        <v>679</v>
      </c>
      <c r="E28" t="s">
        <v>685</v>
      </c>
      <c r="T28" t="str">
        <f t="shared" si="6"/>
        <v>aoapr</v>
      </c>
      <c r="U28" t="str">
        <f t="shared" si="7"/>
        <v>coapr</v>
      </c>
      <c r="W28" t="str">
        <f t="shared" si="8"/>
        <v>aoapr</v>
      </c>
      <c r="X28" t="str">
        <f t="shared" si="9"/>
        <v>aoapr</v>
      </c>
      <c r="Y28" t="s">
        <v>591</v>
      </c>
    </row>
    <row r="29" spans="1:29" x14ac:dyDescent="0.35">
      <c r="A29" t="s">
        <v>155</v>
      </c>
      <c r="C29" t="s">
        <v>155</v>
      </c>
      <c r="D29" t="s">
        <v>155</v>
      </c>
      <c r="E29" t="s">
        <v>187</v>
      </c>
      <c r="T29" t="str">
        <f t="shared" si="6"/>
        <v>atext</v>
      </c>
      <c r="U29" t="str">
        <f t="shared" si="7"/>
        <v>ctext</v>
      </c>
      <c r="W29" t="str">
        <f t="shared" si="8"/>
        <v>atext</v>
      </c>
      <c r="X29" t="str">
        <f t="shared" si="9"/>
        <v>atext</v>
      </c>
      <c r="Y29" t="s">
        <v>591</v>
      </c>
    </row>
    <row r="30" spans="1:29" x14ac:dyDescent="0.35">
      <c r="A30" t="s">
        <v>156</v>
      </c>
      <c r="C30" t="s">
        <v>156</v>
      </c>
      <c r="D30" t="s">
        <v>156</v>
      </c>
      <c r="E30" t="s">
        <v>188</v>
      </c>
      <c r="T30" t="str">
        <f t="shared" si="6"/>
        <v>awood</v>
      </c>
      <c r="U30" t="str">
        <f t="shared" si="7"/>
        <v>cwood</v>
      </c>
      <c r="W30" t="str">
        <f t="shared" si="8"/>
        <v>awood</v>
      </c>
      <c r="X30" t="str">
        <f t="shared" si="9"/>
        <v>awood</v>
      </c>
      <c r="Y30" t="s">
        <v>591</v>
      </c>
    </row>
    <row r="31" spans="1:29" x14ac:dyDescent="0.35">
      <c r="A31" t="s">
        <v>288</v>
      </c>
      <c r="C31" t="s">
        <v>288</v>
      </c>
      <c r="D31" t="s">
        <v>288</v>
      </c>
      <c r="E31" t="s">
        <v>189</v>
      </c>
      <c r="T31" t="str">
        <f t="shared" si="6"/>
        <v>apetr</v>
      </c>
      <c r="U31" t="str">
        <f t="shared" si="7"/>
        <v>cpetr</v>
      </c>
      <c r="W31" t="str">
        <f t="shared" si="8"/>
        <v>apetr</v>
      </c>
      <c r="X31" t="str">
        <f t="shared" si="9"/>
        <v>apetr</v>
      </c>
      <c r="Y31" t="s">
        <v>591</v>
      </c>
    </row>
    <row r="32" spans="1:29" x14ac:dyDescent="0.35">
      <c r="A32" t="s">
        <v>157</v>
      </c>
      <c r="C32" t="s">
        <v>157</v>
      </c>
      <c r="D32" t="s">
        <v>157</v>
      </c>
      <c r="E32" t="s">
        <v>190</v>
      </c>
      <c r="T32" t="str">
        <f t="shared" si="6"/>
        <v>afert</v>
      </c>
      <c r="U32" t="str">
        <f t="shared" si="7"/>
        <v>cfert</v>
      </c>
      <c r="W32" t="str">
        <f t="shared" si="8"/>
        <v>afert</v>
      </c>
      <c r="X32" t="str">
        <f t="shared" si="9"/>
        <v>afert</v>
      </c>
      <c r="Y32" t="s">
        <v>591</v>
      </c>
    </row>
    <row r="33" spans="1:25" x14ac:dyDescent="0.35">
      <c r="A33" t="s">
        <v>158</v>
      </c>
      <c r="C33" t="s">
        <v>158</v>
      </c>
      <c r="D33" t="s">
        <v>158</v>
      </c>
      <c r="E33" t="s">
        <v>191</v>
      </c>
      <c r="T33" t="str">
        <f t="shared" si="6"/>
        <v>achem</v>
      </c>
      <c r="U33" t="str">
        <f t="shared" si="7"/>
        <v>cchem</v>
      </c>
      <c r="W33" t="str">
        <f t="shared" si="8"/>
        <v>achem</v>
      </c>
      <c r="X33" t="str">
        <f t="shared" si="9"/>
        <v>achem</v>
      </c>
      <c r="Y33" t="s">
        <v>591</v>
      </c>
    </row>
    <row r="34" spans="1:25" x14ac:dyDescent="0.35">
      <c r="A34" t="s">
        <v>159</v>
      </c>
      <c r="C34" t="s">
        <v>159</v>
      </c>
      <c r="D34" t="s">
        <v>159</v>
      </c>
      <c r="E34" t="s">
        <v>192</v>
      </c>
      <c r="T34" t="str">
        <f t="shared" si="6"/>
        <v>anmet</v>
      </c>
      <c r="U34" t="str">
        <f t="shared" si="7"/>
        <v>cnmet</v>
      </c>
      <c r="W34" t="str">
        <f t="shared" si="8"/>
        <v>anmet</v>
      </c>
      <c r="X34" t="str">
        <f t="shared" si="9"/>
        <v>anmet</v>
      </c>
      <c r="Y34" t="s">
        <v>591</v>
      </c>
    </row>
    <row r="35" spans="1:25" x14ac:dyDescent="0.35">
      <c r="A35" t="s">
        <v>160</v>
      </c>
      <c r="C35" t="s">
        <v>160</v>
      </c>
      <c r="D35" t="s">
        <v>160</v>
      </c>
      <c r="E35" t="s">
        <v>193</v>
      </c>
      <c r="T35" t="str">
        <f t="shared" si="6"/>
        <v>ametl</v>
      </c>
      <c r="U35" t="str">
        <f t="shared" si="7"/>
        <v>cmetl</v>
      </c>
      <c r="W35" t="str">
        <f t="shared" si="8"/>
        <v>ametl</v>
      </c>
      <c r="X35" t="str">
        <f t="shared" si="9"/>
        <v>ametl</v>
      </c>
      <c r="Y35" t="s">
        <v>591</v>
      </c>
    </row>
    <row r="36" spans="1:25" x14ac:dyDescent="0.35">
      <c r="A36" t="s">
        <v>161</v>
      </c>
      <c r="C36" t="s">
        <v>161</v>
      </c>
      <c r="D36" t="s">
        <v>161</v>
      </c>
      <c r="E36" t="s">
        <v>194</v>
      </c>
      <c r="T36" t="str">
        <f t="shared" si="6"/>
        <v>amach</v>
      </c>
      <c r="U36" t="str">
        <f t="shared" si="7"/>
        <v>cmach</v>
      </c>
      <c r="W36" t="str">
        <f t="shared" si="8"/>
        <v>amach</v>
      </c>
      <c r="X36" t="str">
        <f t="shared" si="9"/>
        <v>amach</v>
      </c>
      <c r="Y36" t="s">
        <v>591</v>
      </c>
    </row>
    <row r="37" spans="1:25" x14ac:dyDescent="0.35">
      <c r="A37" t="s">
        <v>162</v>
      </c>
      <c r="C37" t="s">
        <v>162</v>
      </c>
      <c r="D37" t="s">
        <v>162</v>
      </c>
      <c r="E37" t="s">
        <v>195</v>
      </c>
      <c r="T37" t="str">
        <f t="shared" si="6"/>
        <v>aoman</v>
      </c>
      <c r="U37" t="str">
        <f t="shared" si="7"/>
        <v>coman</v>
      </c>
      <c r="W37" t="str">
        <f t="shared" si="8"/>
        <v>aoman</v>
      </c>
      <c r="X37" t="str">
        <f t="shared" si="9"/>
        <v>aoman</v>
      </c>
      <c r="Y37" t="s">
        <v>591</v>
      </c>
    </row>
    <row r="38" spans="1:25" x14ac:dyDescent="0.35">
      <c r="A38" t="s">
        <v>163</v>
      </c>
      <c r="C38" t="s">
        <v>163</v>
      </c>
      <c r="D38" t="s">
        <v>163</v>
      </c>
      <c r="E38" t="s">
        <v>196</v>
      </c>
      <c r="T38" t="str">
        <f t="shared" si="6"/>
        <v>aelec</v>
      </c>
      <c r="U38" t="str">
        <f t="shared" si="7"/>
        <v>celec</v>
      </c>
      <c r="W38" t="str">
        <f t="shared" si="8"/>
        <v>aelec</v>
      </c>
      <c r="X38" t="str">
        <f t="shared" si="9"/>
        <v>aelec</v>
      </c>
      <c r="Y38" t="s">
        <v>591</v>
      </c>
    </row>
    <row r="39" spans="1:25" x14ac:dyDescent="0.35">
      <c r="A39" t="s">
        <v>164</v>
      </c>
      <c r="C39" t="s">
        <v>164</v>
      </c>
      <c r="D39" t="s">
        <v>164</v>
      </c>
      <c r="E39" t="s">
        <v>197</v>
      </c>
      <c r="T39" t="str">
        <f t="shared" si="6"/>
        <v>awatr</v>
      </c>
      <c r="U39" t="str">
        <f t="shared" si="7"/>
        <v>cwatr</v>
      </c>
      <c r="W39" t="str">
        <f t="shared" si="8"/>
        <v>awatr</v>
      </c>
      <c r="X39" t="str">
        <f t="shared" si="9"/>
        <v>awatr</v>
      </c>
      <c r="Y39" t="s">
        <v>591</v>
      </c>
    </row>
    <row r="40" spans="1:25" x14ac:dyDescent="0.35">
      <c r="A40" t="s">
        <v>165</v>
      </c>
      <c r="C40" t="s">
        <v>165</v>
      </c>
      <c r="D40" t="s">
        <v>165</v>
      </c>
      <c r="E40" t="s">
        <v>198</v>
      </c>
      <c r="T40" t="str">
        <f t="shared" si="6"/>
        <v>acons</v>
      </c>
      <c r="U40" t="str">
        <f t="shared" si="7"/>
        <v>ccons</v>
      </c>
      <c r="W40" t="str">
        <f t="shared" si="8"/>
        <v>acons</v>
      </c>
      <c r="X40" t="str">
        <f t="shared" si="9"/>
        <v>acons</v>
      </c>
      <c r="Y40" t="s">
        <v>591</v>
      </c>
    </row>
    <row r="41" spans="1:25" x14ac:dyDescent="0.35">
      <c r="A41" t="s">
        <v>166</v>
      </c>
      <c r="C41" t="s">
        <v>166</v>
      </c>
      <c r="D41" t="s">
        <v>166</v>
      </c>
      <c r="E41" t="s">
        <v>199</v>
      </c>
      <c r="T41" t="str">
        <f t="shared" si="6"/>
        <v>atrad</v>
      </c>
      <c r="U41" t="str">
        <f t="shared" si="7"/>
        <v>ctrad</v>
      </c>
      <c r="W41" t="str">
        <f t="shared" si="8"/>
        <v>atrad</v>
      </c>
      <c r="X41" t="str">
        <f t="shared" si="9"/>
        <v>atrad</v>
      </c>
      <c r="Y41" t="s">
        <v>591</v>
      </c>
    </row>
    <row r="42" spans="1:25" x14ac:dyDescent="0.35">
      <c r="A42" t="s">
        <v>167</v>
      </c>
      <c r="C42" t="s">
        <v>167</v>
      </c>
      <c r="D42" t="s">
        <v>167</v>
      </c>
      <c r="E42" t="s">
        <v>200</v>
      </c>
      <c r="T42" t="str">
        <f t="shared" si="6"/>
        <v>atran</v>
      </c>
      <c r="U42" t="str">
        <f t="shared" si="7"/>
        <v>ctran</v>
      </c>
      <c r="W42" t="str">
        <f t="shared" si="8"/>
        <v>atran</v>
      </c>
      <c r="X42" t="str">
        <f t="shared" si="9"/>
        <v>atran</v>
      </c>
      <c r="Y42" t="s">
        <v>591</v>
      </c>
    </row>
    <row r="43" spans="1:25" x14ac:dyDescent="0.35">
      <c r="A43" t="s">
        <v>168</v>
      </c>
      <c r="C43" t="s">
        <v>168</v>
      </c>
      <c r="D43" t="s">
        <v>168</v>
      </c>
      <c r="E43" t="s">
        <v>201</v>
      </c>
      <c r="T43" t="str">
        <f t="shared" si="6"/>
        <v>ahotl</v>
      </c>
      <c r="U43" t="str">
        <f t="shared" si="7"/>
        <v>chotl</v>
      </c>
      <c r="W43" t="str">
        <f t="shared" si="8"/>
        <v>ahotl</v>
      </c>
      <c r="X43" t="str">
        <f t="shared" si="9"/>
        <v>ahotl</v>
      </c>
      <c r="Y43" t="s">
        <v>591</v>
      </c>
    </row>
    <row r="44" spans="1:25" x14ac:dyDescent="0.35">
      <c r="A44" t="s">
        <v>548</v>
      </c>
      <c r="C44" t="s">
        <v>548</v>
      </c>
      <c r="D44" t="s">
        <v>548</v>
      </c>
      <c r="E44" t="s">
        <v>549</v>
      </c>
      <c r="T44" t="str">
        <f t="shared" si="6"/>
        <v>arest</v>
      </c>
      <c r="U44" t="str">
        <f t="shared" si="7"/>
        <v>crest</v>
      </c>
      <c r="W44" t="str">
        <f t="shared" si="8"/>
        <v>arest</v>
      </c>
      <c r="X44" t="str">
        <f t="shared" si="9"/>
        <v>arest</v>
      </c>
      <c r="Y44" t="s">
        <v>591</v>
      </c>
    </row>
    <row r="45" spans="1:25" x14ac:dyDescent="0.35">
      <c r="A45" t="s">
        <v>169</v>
      </c>
      <c r="C45" t="s">
        <v>169</v>
      </c>
      <c r="D45" t="s">
        <v>169</v>
      </c>
      <c r="E45" t="s">
        <v>202</v>
      </c>
      <c r="T45" t="str">
        <f t="shared" si="6"/>
        <v>acomm</v>
      </c>
      <c r="U45" t="str">
        <f t="shared" si="7"/>
        <v>ccomm</v>
      </c>
      <c r="W45" t="str">
        <f t="shared" si="8"/>
        <v>acomm</v>
      </c>
      <c r="X45" t="str">
        <f t="shared" si="9"/>
        <v>acomm</v>
      </c>
      <c r="Y45" t="s">
        <v>591</v>
      </c>
    </row>
    <row r="46" spans="1:25" x14ac:dyDescent="0.35">
      <c r="A46" t="s">
        <v>170</v>
      </c>
      <c r="C46" t="s">
        <v>170</v>
      </c>
      <c r="D46" t="s">
        <v>170</v>
      </c>
      <c r="E46" t="s">
        <v>203</v>
      </c>
      <c r="T46" t="str">
        <f t="shared" si="6"/>
        <v>afsrv</v>
      </c>
      <c r="U46" t="str">
        <f t="shared" si="7"/>
        <v>cfsrv</v>
      </c>
      <c r="W46" t="str">
        <f t="shared" si="8"/>
        <v>afsrv</v>
      </c>
      <c r="X46" t="str">
        <f t="shared" si="9"/>
        <v>afsrv</v>
      </c>
      <c r="Y46" t="s">
        <v>591</v>
      </c>
    </row>
    <row r="47" spans="1:25" x14ac:dyDescent="0.35">
      <c r="A47" t="s">
        <v>171</v>
      </c>
      <c r="C47" t="s">
        <v>171</v>
      </c>
      <c r="D47" t="s">
        <v>171</v>
      </c>
      <c r="E47" t="s">
        <v>204</v>
      </c>
      <c r="T47" t="str">
        <f t="shared" si="6"/>
        <v>areal</v>
      </c>
      <c r="U47" t="str">
        <f t="shared" si="7"/>
        <v>creal</v>
      </c>
      <c r="W47" t="str">
        <f t="shared" si="8"/>
        <v>areal</v>
      </c>
      <c r="X47" t="str">
        <f t="shared" si="9"/>
        <v>areal</v>
      </c>
      <c r="Y47" t="s">
        <v>591</v>
      </c>
    </row>
    <row r="48" spans="1:25" x14ac:dyDescent="0.35">
      <c r="A48" t="s">
        <v>172</v>
      </c>
      <c r="C48" t="s">
        <v>172</v>
      </c>
      <c r="D48" t="s">
        <v>172</v>
      </c>
      <c r="E48" t="s">
        <v>205</v>
      </c>
      <c r="T48" t="str">
        <f t="shared" si="6"/>
        <v>absrv</v>
      </c>
      <c r="U48" t="str">
        <f t="shared" si="7"/>
        <v>cbsrv</v>
      </c>
      <c r="W48" t="str">
        <f t="shared" si="8"/>
        <v>absrv</v>
      </c>
      <c r="X48" t="str">
        <f t="shared" si="9"/>
        <v>absrv</v>
      </c>
      <c r="Y48" t="s">
        <v>591</v>
      </c>
    </row>
    <row r="49" spans="1:25" x14ac:dyDescent="0.35">
      <c r="A49" t="s">
        <v>173</v>
      </c>
      <c r="C49" t="s">
        <v>173</v>
      </c>
      <c r="D49" t="s">
        <v>173</v>
      </c>
      <c r="E49" t="s">
        <v>206</v>
      </c>
      <c r="T49" t="str">
        <f t="shared" si="6"/>
        <v>apadm</v>
      </c>
      <c r="U49" t="str">
        <f t="shared" si="7"/>
        <v>cpadm</v>
      </c>
      <c r="W49" t="str">
        <f t="shared" si="8"/>
        <v>apadm</v>
      </c>
      <c r="X49" t="str">
        <f t="shared" si="9"/>
        <v>apadm</v>
      </c>
      <c r="Y49" t="s">
        <v>591</v>
      </c>
    </row>
    <row r="50" spans="1:25" x14ac:dyDescent="0.35">
      <c r="A50" t="s">
        <v>174</v>
      </c>
      <c r="C50" t="s">
        <v>174</v>
      </c>
      <c r="D50" t="s">
        <v>174</v>
      </c>
      <c r="E50" t="s">
        <v>207</v>
      </c>
      <c r="T50" t="str">
        <f t="shared" si="6"/>
        <v>aeduc</v>
      </c>
      <c r="U50" t="str">
        <f t="shared" si="7"/>
        <v>ceduc</v>
      </c>
      <c r="W50" t="str">
        <f t="shared" si="8"/>
        <v>aeduc</v>
      </c>
      <c r="X50" t="str">
        <f t="shared" si="9"/>
        <v>aeduc</v>
      </c>
      <c r="Y50" t="s">
        <v>591</v>
      </c>
    </row>
    <row r="51" spans="1:25" x14ac:dyDescent="0.35">
      <c r="A51" t="s">
        <v>175</v>
      </c>
      <c r="C51" t="s">
        <v>175</v>
      </c>
      <c r="D51" t="s">
        <v>175</v>
      </c>
      <c r="E51" t="s">
        <v>208</v>
      </c>
      <c r="T51" t="str">
        <f t="shared" si="6"/>
        <v>aheal</v>
      </c>
      <c r="U51" t="str">
        <f t="shared" si="7"/>
        <v>cheal</v>
      </c>
      <c r="W51" t="str">
        <f t="shared" si="8"/>
        <v>aheal</v>
      </c>
      <c r="X51" t="str">
        <f t="shared" si="9"/>
        <v>aheal</v>
      </c>
      <c r="Y51" t="s">
        <v>591</v>
      </c>
    </row>
    <row r="52" spans="1:25" x14ac:dyDescent="0.35">
      <c r="A52" t="s">
        <v>176</v>
      </c>
      <c r="C52" t="s">
        <v>176</v>
      </c>
      <c r="D52" t="s">
        <v>176</v>
      </c>
      <c r="E52" t="s">
        <v>209</v>
      </c>
      <c r="T52" t="str">
        <f t="shared" si="6"/>
        <v>aosrv</v>
      </c>
      <c r="U52" t="str">
        <f t="shared" si="7"/>
        <v>cosrv</v>
      </c>
      <c r="W52" t="str">
        <f t="shared" si="8"/>
        <v>aosrv</v>
      </c>
      <c r="X52" t="str">
        <f t="shared" si="9"/>
        <v>aosrv</v>
      </c>
      <c r="Y52" t="s">
        <v>591</v>
      </c>
    </row>
    <row r="53" spans="1:25" x14ac:dyDescent="0.35">
      <c r="A53" t="s">
        <v>680</v>
      </c>
    </row>
    <row r="54" spans="1:25" x14ac:dyDescent="0.35">
      <c r="A54" t="s">
        <v>177</v>
      </c>
    </row>
    <row r="55" spans="1:25" x14ac:dyDescent="0.35">
      <c r="A55" t="s">
        <v>178</v>
      </c>
    </row>
    <row r="56" spans="1:25" x14ac:dyDescent="0.35">
      <c r="A56" t="s">
        <v>179</v>
      </c>
    </row>
    <row r="57" spans="1:25" x14ac:dyDescent="0.35">
      <c r="A57" t="s">
        <v>180</v>
      </c>
    </row>
    <row r="58" spans="1:25" x14ac:dyDescent="0.35">
      <c r="A58" t="s">
        <v>181</v>
      </c>
    </row>
    <row r="59" spans="1:25" x14ac:dyDescent="0.35">
      <c r="A59" s="32" t="s">
        <v>725</v>
      </c>
    </row>
    <row r="60" spans="1:25" x14ac:dyDescent="0.35">
      <c r="A60" t="s">
        <v>182</v>
      </c>
    </row>
    <row r="61" spans="1:25" x14ac:dyDescent="0.35">
      <c r="A61" t="s">
        <v>681</v>
      </c>
    </row>
    <row r="62" spans="1:25" x14ac:dyDescent="0.35">
      <c r="A62" t="s">
        <v>289</v>
      </c>
    </row>
    <row r="63" spans="1:25" x14ac:dyDescent="0.35">
      <c r="A63" t="s">
        <v>183</v>
      </c>
    </row>
    <row r="64" spans="1:25" x14ac:dyDescent="0.35">
      <c r="A64" t="s">
        <v>184</v>
      </c>
    </row>
    <row r="65" spans="1:1" x14ac:dyDescent="0.35">
      <c r="A65" t="s">
        <v>682</v>
      </c>
    </row>
    <row r="66" spans="1:1" x14ac:dyDescent="0.35">
      <c r="A66" t="s">
        <v>683</v>
      </c>
    </row>
    <row r="67" spans="1:1" x14ac:dyDescent="0.35">
      <c r="A67" t="s">
        <v>186</v>
      </c>
    </row>
    <row r="68" spans="1:1" x14ac:dyDescent="0.35">
      <c r="A68" t="s">
        <v>293</v>
      </c>
    </row>
    <row r="69" spans="1:1" x14ac:dyDescent="0.35">
      <c r="A69" t="s">
        <v>292</v>
      </c>
    </row>
    <row r="70" spans="1:1" x14ac:dyDescent="0.35">
      <c r="A70" t="s">
        <v>185</v>
      </c>
    </row>
    <row r="71" spans="1:1" x14ac:dyDescent="0.35">
      <c r="A71" t="s">
        <v>290</v>
      </c>
    </row>
    <row r="72" spans="1:1" x14ac:dyDescent="0.35">
      <c r="A72" t="s">
        <v>291</v>
      </c>
    </row>
    <row r="73" spans="1:1" x14ac:dyDescent="0.35">
      <c r="A73" t="s">
        <v>684</v>
      </c>
    </row>
    <row r="74" spans="1:1" x14ac:dyDescent="0.35">
      <c r="A74" t="s">
        <v>685</v>
      </c>
    </row>
    <row r="75" spans="1:1" x14ac:dyDescent="0.35">
      <c r="A75" t="s">
        <v>187</v>
      </c>
    </row>
    <row r="76" spans="1:1" x14ac:dyDescent="0.35">
      <c r="A76" t="s">
        <v>188</v>
      </c>
    </row>
    <row r="77" spans="1:1" x14ac:dyDescent="0.35">
      <c r="A77" t="s">
        <v>189</v>
      </c>
    </row>
    <row r="78" spans="1:1" x14ac:dyDescent="0.35">
      <c r="A78" t="s">
        <v>190</v>
      </c>
    </row>
    <row r="79" spans="1:1" x14ac:dyDescent="0.35">
      <c r="A79" t="s">
        <v>191</v>
      </c>
    </row>
    <row r="80" spans="1:1" x14ac:dyDescent="0.35">
      <c r="A80" t="s">
        <v>192</v>
      </c>
    </row>
    <row r="81" spans="1:1" x14ac:dyDescent="0.35">
      <c r="A81" t="s">
        <v>193</v>
      </c>
    </row>
    <row r="82" spans="1:1" x14ac:dyDescent="0.35">
      <c r="A82" t="s">
        <v>194</v>
      </c>
    </row>
    <row r="83" spans="1:1" x14ac:dyDescent="0.35">
      <c r="A83" t="s">
        <v>195</v>
      </c>
    </row>
    <row r="84" spans="1:1" x14ac:dyDescent="0.35">
      <c r="A84" t="s">
        <v>196</v>
      </c>
    </row>
    <row r="85" spans="1:1" x14ac:dyDescent="0.35">
      <c r="A85" t="s">
        <v>197</v>
      </c>
    </row>
    <row r="86" spans="1:1" x14ac:dyDescent="0.35">
      <c r="A86" t="s">
        <v>198</v>
      </c>
    </row>
    <row r="87" spans="1:1" x14ac:dyDescent="0.35">
      <c r="A87" t="s">
        <v>199</v>
      </c>
    </row>
    <row r="88" spans="1:1" x14ac:dyDescent="0.35">
      <c r="A88" t="s">
        <v>200</v>
      </c>
    </row>
    <row r="89" spans="1:1" x14ac:dyDescent="0.35">
      <c r="A89" t="s">
        <v>201</v>
      </c>
    </row>
    <row r="90" spans="1:1" x14ac:dyDescent="0.35">
      <c r="A90" t="s">
        <v>549</v>
      </c>
    </row>
    <row r="91" spans="1:1" x14ac:dyDescent="0.35">
      <c r="A91" t="s">
        <v>202</v>
      </c>
    </row>
    <row r="92" spans="1:1" x14ac:dyDescent="0.35">
      <c r="A92" t="s">
        <v>203</v>
      </c>
    </row>
    <row r="93" spans="1:1" x14ac:dyDescent="0.35">
      <c r="A93" t="s">
        <v>204</v>
      </c>
    </row>
    <row r="94" spans="1:1" x14ac:dyDescent="0.35">
      <c r="A94" t="s">
        <v>205</v>
      </c>
    </row>
    <row r="95" spans="1:1" x14ac:dyDescent="0.35">
      <c r="A95" t="s">
        <v>206</v>
      </c>
    </row>
    <row r="96" spans="1:1" x14ac:dyDescent="0.35">
      <c r="A96" t="s">
        <v>207</v>
      </c>
    </row>
    <row r="97" spans="1:1" x14ac:dyDescent="0.35">
      <c r="A97" t="s">
        <v>208</v>
      </c>
    </row>
    <row r="98" spans="1:1" x14ac:dyDescent="0.35">
      <c r="A98" t="s">
        <v>209</v>
      </c>
    </row>
    <row r="99" spans="1:1" x14ac:dyDescent="0.35">
      <c r="A99" t="s">
        <v>102</v>
      </c>
    </row>
    <row r="100" spans="1:1" x14ac:dyDescent="0.35">
      <c r="A100" t="s">
        <v>296</v>
      </c>
    </row>
    <row r="101" spans="1:1" x14ac:dyDescent="0.35">
      <c r="A101" t="s">
        <v>297</v>
      </c>
    </row>
    <row r="102" spans="1:1" x14ac:dyDescent="0.35">
      <c r="A102" t="s">
        <v>298</v>
      </c>
    </row>
    <row r="103" spans="1:1" x14ac:dyDescent="0.35">
      <c r="A103" t="s">
        <v>552</v>
      </c>
    </row>
    <row r="104" spans="1:1" x14ac:dyDescent="0.35">
      <c r="A104" t="s">
        <v>553</v>
      </c>
    </row>
    <row r="105" spans="1:1" x14ac:dyDescent="0.35">
      <c r="A105" t="s">
        <v>554</v>
      </c>
    </row>
    <row r="106" spans="1:1" x14ac:dyDescent="0.35">
      <c r="A106" t="s">
        <v>555</v>
      </c>
    </row>
    <row r="107" spans="1:1" x14ac:dyDescent="0.35">
      <c r="A107" t="s">
        <v>216</v>
      </c>
    </row>
    <row r="108" spans="1:1" x14ac:dyDescent="0.35">
      <c r="A108" t="s">
        <v>557</v>
      </c>
    </row>
    <row r="109" spans="1:1" x14ac:dyDescent="0.35">
      <c r="A109" t="s">
        <v>558</v>
      </c>
    </row>
    <row r="110" spans="1:1" x14ac:dyDescent="0.35">
      <c r="A110" t="s">
        <v>559</v>
      </c>
    </row>
    <row r="111" spans="1:1" x14ac:dyDescent="0.35">
      <c r="A111" t="s">
        <v>560</v>
      </c>
    </row>
    <row r="112" spans="1:1" x14ac:dyDescent="0.35">
      <c r="A112" t="s">
        <v>104</v>
      </c>
    </row>
    <row r="113" spans="1:1" x14ac:dyDescent="0.35">
      <c r="A113" t="s">
        <v>217</v>
      </c>
    </row>
    <row r="114" spans="1:1" x14ac:dyDescent="0.35">
      <c r="A114" t="s">
        <v>218</v>
      </c>
    </row>
    <row r="115" spans="1:1" x14ac:dyDescent="0.35">
      <c r="A115" t="s">
        <v>219</v>
      </c>
    </row>
    <row r="116" spans="1:1" x14ac:dyDescent="0.35">
      <c r="A116" t="s">
        <v>220</v>
      </c>
    </row>
    <row r="117" spans="1:1" x14ac:dyDescent="0.35">
      <c r="A117" t="s">
        <v>221</v>
      </c>
    </row>
    <row r="118" spans="1:1" x14ac:dyDescent="0.35">
      <c r="A118" t="s">
        <v>595</v>
      </c>
    </row>
    <row r="119" spans="1:1" x14ac:dyDescent="0.35">
      <c r="A119" t="s">
        <v>596</v>
      </c>
    </row>
    <row r="120" spans="1:1" x14ac:dyDescent="0.35">
      <c r="A120" t="s">
        <v>597</v>
      </c>
    </row>
    <row r="121" spans="1:1" x14ac:dyDescent="0.35">
      <c r="A121" t="s">
        <v>598</v>
      </c>
    </row>
    <row r="122" spans="1:1" x14ac:dyDescent="0.35">
      <c r="A122" t="s">
        <v>599</v>
      </c>
    </row>
    <row r="123" spans="1:1" x14ac:dyDescent="0.35">
      <c r="A123" t="s">
        <v>222</v>
      </c>
    </row>
    <row r="124" spans="1:1" x14ac:dyDescent="0.35">
      <c r="A124" t="s">
        <v>223</v>
      </c>
    </row>
    <row r="125" spans="1:1" x14ac:dyDescent="0.35">
      <c r="A125" t="s">
        <v>224</v>
      </c>
    </row>
    <row r="126" spans="1:1" x14ac:dyDescent="0.35">
      <c r="A126" t="s">
        <v>225</v>
      </c>
    </row>
    <row r="127" spans="1:1" x14ac:dyDescent="0.35">
      <c r="A127" t="s">
        <v>226</v>
      </c>
    </row>
    <row r="128" spans="1:1" x14ac:dyDescent="0.35">
      <c r="A128" t="s">
        <v>106</v>
      </c>
    </row>
    <row r="129" spans="1:1" x14ac:dyDescent="0.35">
      <c r="A129" t="s">
        <v>108</v>
      </c>
    </row>
    <row r="130" spans="1:1" x14ac:dyDescent="0.35">
      <c r="A130" t="s">
        <v>110</v>
      </c>
    </row>
    <row r="131" spans="1:1" x14ac:dyDescent="0.35">
      <c r="A131" t="s">
        <v>112</v>
      </c>
    </row>
    <row r="132" spans="1:1" x14ac:dyDescent="0.35">
      <c r="A132" t="s">
        <v>114</v>
      </c>
    </row>
    <row r="133" spans="1:1" x14ac:dyDescent="0.35">
      <c r="A133" t="s">
        <v>116</v>
      </c>
    </row>
    <row r="134" spans="1:1" x14ac:dyDescent="0.35">
      <c r="A134" t="s">
        <v>118</v>
      </c>
    </row>
    <row r="135" spans="1:1" x14ac:dyDescent="0.35">
      <c r="A135" t="s">
        <v>120</v>
      </c>
    </row>
    <row r="136" spans="1:1" x14ac:dyDescent="0.35">
      <c r="A136" t="s">
        <v>122</v>
      </c>
    </row>
    <row r="137" spans="1:1" x14ac:dyDescent="0.35">
      <c r="A137" t="s">
        <v>124</v>
      </c>
    </row>
    <row r="138" spans="1:1" x14ac:dyDescent="0.35">
      <c r="A138" t="s">
        <v>591</v>
      </c>
    </row>
    <row r="139" spans="1:1" x14ac:dyDescent="0.35">
      <c r="A139" t="s">
        <v>299</v>
      </c>
    </row>
    <row r="140" spans="1:1" x14ac:dyDescent="0.35">
      <c r="A140" t="s">
        <v>300</v>
      </c>
    </row>
    <row r="141" spans="1:1" x14ac:dyDescent="0.35">
      <c r="A141" t="s">
        <v>301</v>
      </c>
    </row>
    <row r="142" spans="1:1" x14ac:dyDescent="0.35">
      <c r="A142" t="s">
        <v>302</v>
      </c>
    </row>
    <row r="143" spans="1:1" x14ac:dyDescent="0.35">
      <c r="A143" t="s">
        <v>303</v>
      </c>
    </row>
    <row r="144" spans="1:1" x14ac:dyDescent="0.35">
      <c r="A144" t="s">
        <v>304</v>
      </c>
    </row>
    <row r="145" spans="1:1" x14ac:dyDescent="0.35">
      <c r="A145" t="s">
        <v>305</v>
      </c>
    </row>
    <row r="146" spans="1:1" x14ac:dyDescent="0.35">
      <c r="A146" t="s">
        <v>306</v>
      </c>
    </row>
    <row r="147" spans="1:1" x14ac:dyDescent="0.35">
      <c r="A147" t="s">
        <v>307</v>
      </c>
    </row>
    <row r="148" spans="1:1" x14ac:dyDescent="0.35">
      <c r="A148" t="s">
        <v>308</v>
      </c>
    </row>
    <row r="149" spans="1:1" x14ac:dyDescent="0.35">
      <c r="A149" t="s">
        <v>122</v>
      </c>
    </row>
    <row r="150" spans="1:1" x14ac:dyDescent="0.35">
      <c r="A150" t="s">
        <v>309</v>
      </c>
    </row>
    <row r="151" spans="1:1" x14ac:dyDescent="0.35">
      <c r="A151" t="s">
        <v>126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T53"/>
  <sheetViews>
    <sheetView tabSelected="1" zoomScale="85" zoomScaleNormal="85" workbookViewId="0">
      <pane ySplit="6" topLeftCell="A7" activePane="bottomLeft" state="frozen"/>
      <selection activeCell="D7" sqref="D7:E19"/>
      <selection pane="bottomLeft" activeCell="H6" sqref="H6:T53"/>
    </sheetView>
  </sheetViews>
  <sheetFormatPr defaultRowHeight="14.5" x14ac:dyDescent="0.35"/>
  <cols>
    <col min="15" max="15" width="8.7265625" style="142"/>
    <col min="16" max="16" width="9.1796875" style="148"/>
    <col min="17" max="17" width="8.7265625" style="142"/>
    <col min="18" max="18" width="9.1796875" style="149"/>
  </cols>
  <sheetData>
    <row r="1" spans="1:20" ht="18.5" x14ac:dyDescent="0.45">
      <c r="A1" s="5" t="s">
        <v>484</v>
      </c>
    </row>
    <row r="3" spans="1:20" x14ac:dyDescent="0.35">
      <c r="A3" s="19" t="s">
        <v>540</v>
      </c>
      <c r="B3" s="19" t="s">
        <v>540</v>
      </c>
      <c r="C3" s="19" t="s">
        <v>540</v>
      </c>
      <c r="D3" s="19" t="s">
        <v>540</v>
      </c>
      <c r="E3" s="19" t="s">
        <v>540</v>
      </c>
      <c r="F3" s="19" t="s">
        <v>540</v>
      </c>
      <c r="G3" s="19"/>
    </row>
    <row r="4" spans="1:20" x14ac:dyDescent="0.35">
      <c r="A4" s="1" t="s">
        <v>483</v>
      </c>
      <c r="C4" s="1" t="s">
        <v>481</v>
      </c>
      <c r="D4" s="1" t="s">
        <v>482</v>
      </c>
      <c r="F4" s="1" t="s">
        <v>541</v>
      </c>
      <c r="G4" s="1"/>
    </row>
    <row r="5" spans="1:20" x14ac:dyDescent="0.35">
      <c r="A5" t="s">
        <v>246</v>
      </c>
      <c r="B5" t="s">
        <v>247</v>
      </c>
      <c r="D5" t="s">
        <v>246</v>
      </c>
      <c r="E5" t="s">
        <v>247</v>
      </c>
      <c r="F5" t="s">
        <v>246</v>
      </c>
    </row>
    <row r="6" spans="1:20" x14ac:dyDescent="0.35">
      <c r="A6" t="s">
        <v>476</v>
      </c>
      <c r="B6" t="s">
        <v>477</v>
      </c>
      <c r="C6" t="s">
        <v>478</v>
      </c>
      <c r="D6" t="s">
        <v>480</v>
      </c>
      <c r="E6" t="s">
        <v>479</v>
      </c>
      <c r="F6" t="s">
        <v>593</v>
      </c>
      <c r="I6" t="s">
        <v>739</v>
      </c>
      <c r="J6" t="s">
        <v>740</v>
      </c>
      <c r="K6" s="143" t="s">
        <v>741</v>
      </c>
      <c r="L6" s="143" t="s">
        <v>715</v>
      </c>
      <c r="M6" s="143" t="s">
        <v>716</v>
      </c>
      <c r="N6" s="143" t="s">
        <v>717</v>
      </c>
      <c r="O6" s="144" t="s">
        <v>718</v>
      </c>
      <c r="P6" s="146" t="s">
        <v>719</v>
      </c>
      <c r="Q6" s="144" t="s">
        <v>720</v>
      </c>
      <c r="R6" s="147" t="s">
        <v>721</v>
      </c>
      <c r="S6" t="s">
        <v>742</v>
      </c>
      <c r="T6" t="s">
        <v>743</v>
      </c>
    </row>
    <row r="7" spans="1:20" x14ac:dyDescent="0.35">
      <c r="A7" s="143" t="s">
        <v>180</v>
      </c>
      <c r="B7" s="143" t="s">
        <v>179</v>
      </c>
      <c r="D7" s="143" t="s">
        <v>193</v>
      </c>
      <c r="E7" s="143" t="s">
        <v>177</v>
      </c>
      <c r="H7" t="s">
        <v>680</v>
      </c>
      <c r="I7">
        <v>0.68165564737921103</v>
      </c>
      <c r="K7" s="143">
        <v>5.01576903255826E-2</v>
      </c>
      <c r="L7" s="143">
        <v>6.5800250929463502</v>
      </c>
      <c r="M7" s="143">
        <v>4.99206983247264</v>
      </c>
      <c r="N7" s="143">
        <v>27.753458943279501</v>
      </c>
      <c r="O7" s="144"/>
      <c r="P7" s="146"/>
      <c r="Q7" s="144">
        <v>1.41844364008618</v>
      </c>
      <c r="R7" s="147">
        <v>4.0289022602083397</v>
      </c>
      <c r="S7">
        <v>1.2449468139489901</v>
      </c>
      <c r="T7">
        <v>1.01817839358134</v>
      </c>
    </row>
    <row r="8" spans="1:20" x14ac:dyDescent="0.35">
      <c r="A8" s="143" t="s">
        <v>183</v>
      </c>
      <c r="B8" s="143" t="s">
        <v>681</v>
      </c>
      <c r="D8" s="143" t="s">
        <v>680</v>
      </c>
      <c r="E8" s="143" t="s">
        <v>178</v>
      </c>
      <c r="H8" t="s">
        <v>177</v>
      </c>
      <c r="I8">
        <v>0.22891709365172</v>
      </c>
      <c r="J8">
        <v>8.0288571734122696E-2</v>
      </c>
      <c r="K8" s="143"/>
      <c r="L8" s="143">
        <v>2.20973775574797</v>
      </c>
      <c r="M8" s="143">
        <v>1.2629201366451199</v>
      </c>
      <c r="N8" s="143">
        <v>6.7706757192303302</v>
      </c>
      <c r="O8" s="144">
        <v>9.1414717526312206</v>
      </c>
      <c r="P8" s="146">
        <v>31.1698433372636</v>
      </c>
      <c r="Q8" s="144"/>
      <c r="R8" s="147"/>
      <c r="S8">
        <v>0.20385367530656101</v>
      </c>
      <c r="T8">
        <v>0.25758413626075999</v>
      </c>
    </row>
    <row r="9" spans="1:20" x14ac:dyDescent="0.35">
      <c r="A9" t="s">
        <v>549</v>
      </c>
      <c r="B9" s="143" t="s">
        <v>184</v>
      </c>
      <c r="D9" s="143" t="s">
        <v>179</v>
      </c>
      <c r="E9" s="143" t="s">
        <v>180</v>
      </c>
      <c r="H9" t="s">
        <v>178</v>
      </c>
      <c r="I9">
        <v>0.188043621724414</v>
      </c>
      <c r="J9">
        <v>0.114474232019583</v>
      </c>
      <c r="K9" s="143"/>
      <c r="L9" s="143">
        <v>1.81518594362472</v>
      </c>
      <c r="M9" s="143">
        <v>1.04375588947867</v>
      </c>
      <c r="N9" s="143">
        <v>5.8513376081770296</v>
      </c>
      <c r="O9" s="144">
        <v>12.4648588794843</v>
      </c>
      <c r="P9" s="146">
        <v>53.773161984169498</v>
      </c>
      <c r="Q9" s="144"/>
      <c r="R9" s="147"/>
      <c r="S9">
        <v>0.108229854104739</v>
      </c>
      <c r="T9">
        <v>0.212883579457878</v>
      </c>
    </row>
    <row r="10" spans="1:20" x14ac:dyDescent="0.35">
      <c r="A10" t="s">
        <v>203</v>
      </c>
      <c r="B10" s="143" t="s">
        <v>185</v>
      </c>
      <c r="D10" s="143" t="s">
        <v>681</v>
      </c>
      <c r="E10" s="143" t="s">
        <v>725</v>
      </c>
      <c r="H10" t="s">
        <v>179</v>
      </c>
      <c r="I10">
        <v>0.25014028455239601</v>
      </c>
      <c r="K10" s="143"/>
      <c r="L10" s="143">
        <v>2.4146053149264999</v>
      </c>
      <c r="M10" s="143">
        <v>1.3481319025107299</v>
      </c>
      <c r="N10" s="143">
        <v>10.6034186962774</v>
      </c>
      <c r="O10" s="144"/>
      <c r="P10" s="146"/>
      <c r="Q10" s="144"/>
      <c r="R10" s="147"/>
      <c r="S10">
        <v>0.34072197089884798</v>
      </c>
      <c r="T10">
        <v>0.27496385685659602</v>
      </c>
    </row>
    <row r="11" spans="1:20" x14ac:dyDescent="0.35">
      <c r="A11" s="143"/>
      <c r="B11" s="143" t="s">
        <v>208</v>
      </c>
      <c r="D11" s="143" t="s">
        <v>184</v>
      </c>
      <c r="E11" s="143" t="s">
        <v>183</v>
      </c>
      <c r="H11" t="s">
        <v>180</v>
      </c>
      <c r="I11">
        <v>0.40195428960846902</v>
      </c>
      <c r="K11" s="143"/>
      <c r="L11" s="143">
        <v>3.8800666025580401</v>
      </c>
      <c r="M11" s="143">
        <v>2.02320134313412</v>
      </c>
      <c r="N11" s="143">
        <v>14.5032099180375</v>
      </c>
      <c r="O11" s="144"/>
      <c r="P11" s="146"/>
      <c r="Q11" s="144"/>
      <c r="R11" s="147"/>
      <c r="S11">
        <v>0.466739474852428</v>
      </c>
      <c r="T11">
        <v>0.41265045613826701</v>
      </c>
    </row>
    <row r="12" spans="1:20" x14ac:dyDescent="0.35">
      <c r="A12" s="143"/>
      <c r="B12" s="143" t="s">
        <v>204</v>
      </c>
      <c r="D12" s="143" t="s">
        <v>186</v>
      </c>
      <c r="E12" s="143" t="s">
        <v>182</v>
      </c>
      <c r="H12" t="s">
        <v>181</v>
      </c>
      <c r="I12">
        <v>0.13262804420045499</v>
      </c>
      <c r="J12">
        <v>1.8113530630201501E-2</v>
      </c>
      <c r="K12" s="143">
        <v>3.2240587850041499E-3</v>
      </c>
      <c r="L12" s="143">
        <v>1.28025911942883</v>
      </c>
      <c r="M12" s="143">
        <v>0.71193449283977805</v>
      </c>
      <c r="N12" s="143">
        <v>4.7898975898520399</v>
      </c>
      <c r="O12" s="144">
        <v>2.0753095440372702</v>
      </c>
      <c r="P12" s="146">
        <v>12.474405293899901</v>
      </c>
      <c r="Q12" s="144">
        <v>9.0751794657822002E-2</v>
      </c>
      <c r="R12" s="147">
        <v>2.1450686613996899</v>
      </c>
      <c r="S12">
        <v>0.15030095973246799</v>
      </c>
      <c r="T12">
        <v>0.145205564541494</v>
      </c>
    </row>
    <row r="13" spans="1:20" x14ac:dyDescent="0.35">
      <c r="A13" s="143"/>
      <c r="B13" s="143"/>
      <c r="D13" s="143" t="s">
        <v>293</v>
      </c>
      <c r="E13" s="143" t="s">
        <v>683</v>
      </c>
      <c r="H13" t="s">
        <v>725</v>
      </c>
      <c r="I13">
        <v>0.107308539715885</v>
      </c>
      <c r="J13">
        <v>4.59071014864917E-2</v>
      </c>
      <c r="K13" s="143"/>
      <c r="L13" s="143">
        <v>1.0358498264229099</v>
      </c>
      <c r="M13" s="143">
        <v>1.0280155919829601</v>
      </c>
      <c r="N13" s="143">
        <v>3.4068211402342299</v>
      </c>
      <c r="O13" s="144">
        <v>5.3644091699487797</v>
      </c>
      <c r="P13" s="146">
        <v>21.894596520738801</v>
      </c>
      <c r="Q13" s="144"/>
      <c r="R13" s="147"/>
      <c r="S13">
        <v>0.19328398218204701</v>
      </c>
      <c r="T13">
        <v>0.20967320152718</v>
      </c>
    </row>
    <row r="14" spans="1:20" x14ac:dyDescent="0.35">
      <c r="A14" s="143"/>
      <c r="B14" s="143"/>
      <c r="D14" s="143" t="s">
        <v>185</v>
      </c>
      <c r="E14" s="143" t="s">
        <v>292</v>
      </c>
      <c r="H14" t="s">
        <v>182</v>
      </c>
      <c r="I14">
        <v>0.18532381803689199</v>
      </c>
      <c r="J14">
        <v>0.138961359351742</v>
      </c>
      <c r="K14" s="143"/>
      <c r="L14" s="143">
        <v>1.7889316661451899</v>
      </c>
      <c r="M14" s="143">
        <v>1.4681891468563899</v>
      </c>
      <c r="N14" s="143">
        <v>6.0517694289819497</v>
      </c>
      <c r="O14" s="144">
        <v>15.7024648285312</v>
      </c>
      <c r="P14" s="146">
        <v>46.405431960110697</v>
      </c>
      <c r="Q14" s="144"/>
      <c r="R14" s="147"/>
      <c r="S14">
        <v>0.182982013554817</v>
      </c>
      <c r="T14">
        <v>0.29945063213976902</v>
      </c>
    </row>
    <row r="15" spans="1:20" x14ac:dyDescent="0.35">
      <c r="A15" s="143"/>
      <c r="D15" s="143" t="s">
        <v>290</v>
      </c>
      <c r="E15" s="143" t="s">
        <v>684</v>
      </c>
      <c r="H15" t="s">
        <v>681</v>
      </c>
      <c r="I15">
        <v>0.17424400533818299</v>
      </c>
      <c r="K15" s="143"/>
      <c r="L15" s="143">
        <v>1.6819781833082901</v>
      </c>
      <c r="M15" s="143">
        <v>2.8208918576744599</v>
      </c>
      <c r="N15" s="143">
        <v>2.7913141414534799</v>
      </c>
      <c r="O15" s="144"/>
      <c r="P15" s="146"/>
      <c r="Q15" s="144"/>
      <c r="R15" s="147"/>
      <c r="S15">
        <v>0.609984485829695</v>
      </c>
      <c r="T15">
        <v>0.575346747241125</v>
      </c>
    </row>
    <row r="16" spans="1:20" x14ac:dyDescent="0.35">
      <c r="D16" s="143" t="s">
        <v>291</v>
      </c>
      <c r="E16" s="143" t="s">
        <v>685</v>
      </c>
      <c r="H16" t="s">
        <v>289</v>
      </c>
      <c r="I16">
        <v>1.8823241843660202E-2</v>
      </c>
      <c r="K16" s="143"/>
      <c r="L16" s="143">
        <v>0.181700839915405</v>
      </c>
      <c r="M16" s="143">
        <v>0.18634841969546301</v>
      </c>
      <c r="N16" s="143">
        <v>0.316041419073748</v>
      </c>
      <c r="O16" s="144"/>
      <c r="P16" s="146"/>
      <c r="Q16" s="144"/>
      <c r="R16" s="147"/>
      <c r="S16">
        <v>3.9423395898295702E-2</v>
      </c>
      <c r="T16">
        <v>3.80074680401596E-2</v>
      </c>
    </row>
    <row r="17" spans="1:20" x14ac:dyDescent="0.35">
      <c r="D17" s="143" t="s">
        <v>207</v>
      </c>
      <c r="E17" s="143" t="s">
        <v>201</v>
      </c>
      <c r="H17" t="s">
        <v>183</v>
      </c>
      <c r="I17">
        <v>1.4431419220129299E-2</v>
      </c>
      <c r="K17" s="143"/>
      <c r="L17" s="143">
        <v>0.13930655597202499</v>
      </c>
      <c r="M17" s="143">
        <v>0.13915377036453799</v>
      </c>
      <c r="N17" s="143">
        <v>0.201908537541479</v>
      </c>
      <c r="O17" s="144"/>
      <c r="P17" s="146"/>
      <c r="Q17" s="144"/>
      <c r="R17" s="147"/>
      <c r="S17">
        <v>2.8447426291388099E-2</v>
      </c>
      <c r="T17">
        <v>2.8381686780285999E-2</v>
      </c>
    </row>
    <row r="18" spans="1:20" x14ac:dyDescent="0.35">
      <c r="D18" s="143" t="s">
        <v>208</v>
      </c>
      <c r="E18" t="s">
        <v>549</v>
      </c>
      <c r="H18" t="s">
        <v>184</v>
      </c>
      <c r="I18">
        <v>0.151296916689697</v>
      </c>
      <c r="K18" s="143"/>
      <c r="L18" s="143">
        <v>1.46046983125748</v>
      </c>
      <c r="M18" s="143">
        <v>1.2623269431189299</v>
      </c>
      <c r="N18" s="143">
        <v>3.0276433856550802</v>
      </c>
      <c r="O18" s="144"/>
      <c r="P18" s="146"/>
      <c r="Q18" s="144"/>
      <c r="R18" s="147"/>
      <c r="S18">
        <v>0.25767047088177902</v>
      </c>
      <c r="T18">
        <v>0.25746314900460199</v>
      </c>
    </row>
    <row r="19" spans="1:20" x14ac:dyDescent="0.35">
      <c r="D19" s="143" t="s">
        <v>205</v>
      </c>
      <c r="E19" t="s">
        <v>202</v>
      </c>
      <c r="H19" t="s">
        <v>682</v>
      </c>
      <c r="I19">
        <v>3.5168194667396201E-2</v>
      </c>
      <c r="K19" s="143">
        <v>2.76043425107474E-3</v>
      </c>
      <c r="L19" s="143">
        <v>0.33947874454615201</v>
      </c>
      <c r="M19" s="143">
        <v>0.37499926764993902</v>
      </c>
      <c r="N19" s="143">
        <v>7.8480387827534304E-2</v>
      </c>
      <c r="O19" s="144"/>
      <c r="P19" s="146"/>
      <c r="Q19" s="144">
        <v>8.9772735871090206E-2</v>
      </c>
      <c r="R19" s="147">
        <v>3.4159234349785499</v>
      </c>
      <c r="S19">
        <v>8.0810776459691896E-2</v>
      </c>
      <c r="T19">
        <v>7.6484537425005703E-2</v>
      </c>
    </row>
    <row r="20" spans="1:20" x14ac:dyDescent="0.35">
      <c r="D20" s="143" t="s">
        <v>206</v>
      </c>
      <c r="E20" t="s">
        <v>203</v>
      </c>
      <c r="H20" t="s">
        <v>683</v>
      </c>
      <c r="I20">
        <v>4.5593835455606302E-2</v>
      </c>
      <c r="J20">
        <v>1.43635219019936E-2</v>
      </c>
      <c r="K20" s="143"/>
      <c r="L20" s="143">
        <v>0.44011750292836599</v>
      </c>
      <c r="M20" s="143">
        <v>0.27971279081164901</v>
      </c>
      <c r="N20" s="143">
        <v>0.10563806935201001</v>
      </c>
      <c r="O20" s="144">
        <v>1.4663199170315999</v>
      </c>
      <c r="P20" s="146">
        <v>25.177081728727799</v>
      </c>
      <c r="Q20" s="144"/>
      <c r="R20" s="147"/>
      <c r="S20">
        <v>4.3926372618762699E-2</v>
      </c>
      <c r="T20">
        <v>5.7049987193727898E-2</v>
      </c>
    </row>
    <row r="21" spans="1:20" x14ac:dyDescent="0.35">
      <c r="D21" s="143" t="s">
        <v>209</v>
      </c>
      <c r="H21" t="s">
        <v>186</v>
      </c>
      <c r="I21">
        <v>0.116067970232139</v>
      </c>
      <c r="K21" s="143">
        <v>1.91423357775065E-2</v>
      </c>
      <c r="L21" s="143">
        <v>1.1204046494020401</v>
      </c>
      <c r="M21" s="143">
        <v>3.8440089272060902</v>
      </c>
      <c r="N21" s="143">
        <v>0.20075546438280201</v>
      </c>
      <c r="O21" s="144"/>
      <c r="P21" s="146"/>
      <c r="Q21" s="144">
        <v>0.50242551283747805</v>
      </c>
      <c r="R21" s="147">
        <v>2.0508594821198498</v>
      </c>
      <c r="S21">
        <v>0.93338114797217597</v>
      </c>
      <c r="T21">
        <v>0.78402085022044798</v>
      </c>
    </row>
    <row r="22" spans="1:20" x14ac:dyDescent="0.35">
      <c r="A22" s="17"/>
      <c r="D22" s="143" t="s">
        <v>187</v>
      </c>
      <c r="H22" t="s">
        <v>293</v>
      </c>
      <c r="I22">
        <v>0.113601818435987</v>
      </c>
      <c r="K22" s="143">
        <v>4.7548421541948903E-2</v>
      </c>
      <c r="L22" s="143">
        <v>1.09659887479416</v>
      </c>
      <c r="M22" s="143">
        <v>1.3340414313665701</v>
      </c>
      <c r="N22" s="143">
        <v>0.29388646089783899</v>
      </c>
      <c r="O22" s="144"/>
      <c r="P22" s="146"/>
      <c r="Q22" s="144">
        <v>1.26111768704899</v>
      </c>
      <c r="R22" s="147">
        <v>12.9567815588975</v>
      </c>
      <c r="S22">
        <v>0.36697710249886101</v>
      </c>
      <c r="T22">
        <v>0.27208997613060198</v>
      </c>
    </row>
    <row r="23" spans="1:20" x14ac:dyDescent="0.35">
      <c r="D23" s="143" t="s">
        <v>188</v>
      </c>
      <c r="H23" t="s">
        <v>292</v>
      </c>
      <c r="I23">
        <v>3.5630376405637902E-3</v>
      </c>
      <c r="J23">
        <v>1.49479478990403E-3</v>
      </c>
      <c r="K23" s="143"/>
      <c r="L23" s="143">
        <v>3.4394018698681098E-2</v>
      </c>
      <c r="M23" s="143">
        <v>4.8954413890963798E-2</v>
      </c>
      <c r="N23" s="143">
        <v>9.35556610608183E-3</v>
      </c>
      <c r="O23" s="144">
        <v>0.169471210057415</v>
      </c>
      <c r="P23" s="146">
        <v>14.970851250809501</v>
      </c>
      <c r="Q23" s="144"/>
      <c r="R23" s="147"/>
      <c r="S23">
        <v>9.3500964679689401E-3</v>
      </c>
      <c r="T23">
        <v>9.9847013697581307E-3</v>
      </c>
    </row>
    <row r="24" spans="1:20" x14ac:dyDescent="0.35">
      <c r="D24" s="143" t="s">
        <v>191</v>
      </c>
      <c r="H24" t="s">
        <v>185</v>
      </c>
      <c r="I24">
        <v>8.6063682412588202E-2</v>
      </c>
      <c r="K24" s="143"/>
      <c r="L24" s="143">
        <v>0.83077312136043702</v>
      </c>
      <c r="M24" s="143">
        <v>1.98179818640511</v>
      </c>
      <c r="N24" s="143">
        <v>9.5677121655428299E-2</v>
      </c>
      <c r="O24" s="144"/>
      <c r="P24" s="146"/>
      <c r="Q24" s="144"/>
      <c r="R24" s="147"/>
      <c r="S24">
        <v>0.48915969759140399</v>
      </c>
      <c r="T24">
        <v>0.40420590287234098</v>
      </c>
    </row>
    <row r="25" spans="1:20" x14ac:dyDescent="0.35">
      <c r="D25" s="143" t="s">
        <v>200</v>
      </c>
      <c r="H25" t="s">
        <v>290</v>
      </c>
      <c r="I25">
        <v>9.0677561667882906E-2</v>
      </c>
      <c r="K25" s="143">
        <v>1.9182631110616799E-2</v>
      </c>
      <c r="L25" s="143">
        <v>0.875310918989471</v>
      </c>
      <c r="M25" s="143">
        <v>1.04265813791969</v>
      </c>
      <c r="N25" s="143">
        <v>9.8534704734895298E-2</v>
      </c>
      <c r="O25" s="144"/>
      <c r="P25" s="146"/>
      <c r="Q25" s="144">
        <v>0.506168804771011</v>
      </c>
      <c r="R25" s="147">
        <v>6.9038959377402298</v>
      </c>
      <c r="S25">
        <v>0.27785226318019501</v>
      </c>
      <c r="T25">
        <v>0.21265968296676499</v>
      </c>
    </row>
    <row r="26" spans="1:20" x14ac:dyDescent="0.35">
      <c r="H26" t="s">
        <v>291</v>
      </c>
      <c r="I26">
        <v>1.20057292984019E-2</v>
      </c>
      <c r="K26" s="143">
        <v>1.2477904608079E-2</v>
      </c>
      <c r="L26" s="143">
        <v>0.11589136002369101</v>
      </c>
      <c r="M26" s="143">
        <v>0.10953570856641801</v>
      </c>
      <c r="N26" s="143">
        <v>3.2193009600920197E-2</v>
      </c>
      <c r="O26" s="144"/>
      <c r="P26" s="146"/>
      <c r="Q26" s="144">
        <v>0.34368902614952201</v>
      </c>
      <c r="R26" s="147">
        <v>33.155588494954998</v>
      </c>
      <c r="S26">
        <v>3.7634393399404498E-2</v>
      </c>
      <c r="T26">
        <v>2.234081163338E-2</v>
      </c>
    </row>
    <row r="27" spans="1:20" x14ac:dyDescent="0.35">
      <c r="H27" t="s">
        <v>684</v>
      </c>
      <c r="I27">
        <v>0.24047385441698099</v>
      </c>
      <c r="J27">
        <v>8.4616745108266903E-2</v>
      </c>
      <c r="K27" s="143"/>
      <c r="L27" s="143">
        <v>2.32129522046049</v>
      </c>
      <c r="M27" s="143">
        <v>2.5518767844544401</v>
      </c>
      <c r="N27" s="143">
        <v>0.55819419828954397</v>
      </c>
      <c r="O27" s="144">
        <v>11.413241904272599</v>
      </c>
      <c r="P27" s="146">
        <v>16.2574860417267</v>
      </c>
      <c r="Q27" s="144"/>
      <c r="R27" s="147"/>
      <c r="S27">
        <v>0.59338997851091702</v>
      </c>
      <c r="T27">
        <v>0.52047865759249501</v>
      </c>
    </row>
    <row r="28" spans="1:20" x14ac:dyDescent="0.35">
      <c r="H28" t="s">
        <v>685</v>
      </c>
      <c r="I28">
        <v>0.177228063260709</v>
      </c>
      <c r="J28">
        <v>0.269375673470163</v>
      </c>
      <c r="K28" s="143"/>
      <c r="L28" s="145">
        <v>1.71078330813124</v>
      </c>
      <c r="M28" s="143">
        <v>2.5022540338537702</v>
      </c>
      <c r="N28" s="143">
        <v>0.42152432614847102</v>
      </c>
      <c r="O28" s="144">
        <v>37.387597489071403</v>
      </c>
      <c r="P28" s="146">
        <v>52.781745753575002</v>
      </c>
      <c r="Q28" s="144"/>
      <c r="R28" s="147"/>
      <c r="S28">
        <v>0.33758646909212803</v>
      </c>
      <c r="T28">
        <v>0.51035764282563101</v>
      </c>
    </row>
    <row r="29" spans="1:20" x14ac:dyDescent="0.35">
      <c r="H29" t="s">
        <v>187</v>
      </c>
      <c r="I29">
        <v>4.6368541109876003E-2</v>
      </c>
      <c r="K29" s="143">
        <v>3.6774304555102402E-2</v>
      </c>
      <c r="L29" s="143">
        <v>0.44759574016492498</v>
      </c>
      <c r="M29" s="143">
        <v>0.77152461321251697</v>
      </c>
      <c r="N29" s="143">
        <v>0.11005246161217901</v>
      </c>
      <c r="O29" s="144"/>
      <c r="P29" s="146"/>
      <c r="Q29" s="144">
        <v>0.54291669728238401</v>
      </c>
      <c r="R29" s="147">
        <v>14.826840701276801</v>
      </c>
      <c r="S29">
        <v>0.248025221933729</v>
      </c>
      <c r="T29">
        <v>0.15735951572217799</v>
      </c>
    </row>
    <row r="30" spans="1:20" x14ac:dyDescent="0.35">
      <c r="C30" s="17"/>
      <c r="D30" s="17"/>
      <c r="E30" s="17"/>
      <c r="F30" s="17"/>
      <c r="G30" s="17"/>
      <c r="H30" t="s">
        <v>188</v>
      </c>
      <c r="I30" s="17">
        <v>4.3192012062674902E-2</v>
      </c>
      <c r="J30" s="17"/>
      <c r="K30" s="143">
        <v>0.249098109015572</v>
      </c>
      <c r="L30" s="143">
        <v>0.41693269069204503</v>
      </c>
      <c r="M30" s="143">
        <v>0.413715222012002</v>
      </c>
      <c r="N30" s="143">
        <v>8.1638307010344802E-2</v>
      </c>
      <c r="O30" s="144"/>
      <c r="P30" s="146"/>
      <c r="Q30" s="144">
        <v>6.5498592166687901</v>
      </c>
      <c r="R30" s="147">
        <v>71.616252491996903</v>
      </c>
      <c r="S30">
        <v>0.34782343441303198</v>
      </c>
      <c r="T30">
        <v>8.43810111405605E-2</v>
      </c>
    </row>
    <row r="31" spans="1:20" x14ac:dyDescent="0.35">
      <c r="C31" s="17"/>
      <c r="D31" s="17"/>
      <c r="E31" s="17"/>
      <c r="F31" s="17"/>
      <c r="G31" s="17"/>
      <c r="H31" t="s">
        <v>189</v>
      </c>
      <c r="I31" s="17">
        <v>5.9843486788101596E-3</v>
      </c>
      <c r="J31" s="17"/>
      <c r="K31" s="143">
        <v>0.55720339165142896</v>
      </c>
      <c r="L31" s="143">
        <v>5.7766945264674602E-2</v>
      </c>
      <c r="M31" s="143">
        <v>8.7224168780785996E-2</v>
      </c>
      <c r="N31" s="143">
        <v>1.58053362497678E-2</v>
      </c>
      <c r="O31" s="144"/>
      <c r="P31" s="146"/>
      <c r="Q31" s="144">
        <v>14.438868773601</v>
      </c>
      <c r="R31" s="147">
        <v>96.167268328686106</v>
      </c>
      <c r="S31">
        <v>0.57941064702699696</v>
      </c>
      <c r="T31">
        <v>1.7790168613626901E-2</v>
      </c>
    </row>
    <row r="32" spans="1:20" x14ac:dyDescent="0.35">
      <c r="C32" s="17"/>
      <c r="D32" s="17"/>
      <c r="E32" s="17"/>
      <c r="F32" s="17"/>
      <c r="G32" s="17"/>
      <c r="H32" t="s">
        <v>190</v>
      </c>
      <c r="I32">
        <v>6.6975713989096602E-2</v>
      </c>
      <c r="J32" s="17"/>
      <c r="K32" s="143">
        <v>0.100510375536507</v>
      </c>
      <c r="L32" s="143">
        <v>0.64651687455482598</v>
      </c>
      <c r="M32" s="143">
        <v>0.477027443369407</v>
      </c>
      <c r="N32" s="143">
        <v>1.8180431801142399E-2</v>
      </c>
      <c r="O32" s="144"/>
      <c r="P32" s="146"/>
      <c r="Q32" s="144">
        <v>2.8783505831165499</v>
      </c>
      <c r="R32" s="147">
        <v>47.130043063312101</v>
      </c>
      <c r="S32">
        <v>0.21326179439616899</v>
      </c>
      <c r="T32">
        <v>9.7294118929322895E-2</v>
      </c>
    </row>
    <row r="33" spans="1:20" x14ac:dyDescent="0.35">
      <c r="C33" s="17"/>
      <c r="D33" s="17"/>
      <c r="E33" s="17"/>
      <c r="F33" s="17"/>
      <c r="G33" s="17"/>
      <c r="H33" t="s">
        <v>191</v>
      </c>
      <c r="I33">
        <v>0.18568322822231401</v>
      </c>
      <c r="J33" s="17"/>
      <c r="K33" s="143">
        <v>0.35864543216858003</v>
      </c>
      <c r="L33" s="143">
        <v>1.7924010543147599</v>
      </c>
      <c r="M33" s="143">
        <v>1.65306906026839</v>
      </c>
      <c r="N33" s="143">
        <v>0.12665633283719299</v>
      </c>
      <c r="O33" s="144"/>
      <c r="P33" s="146"/>
      <c r="Q33" s="144">
        <v>10.419350849167801</v>
      </c>
      <c r="R33" s="147">
        <v>48.7997236163257</v>
      </c>
      <c r="S33">
        <v>0.73493332664818101</v>
      </c>
      <c r="T33">
        <v>0.33715858486487099</v>
      </c>
    </row>
    <row r="34" spans="1:20" x14ac:dyDescent="0.35">
      <c r="C34" s="17"/>
      <c r="D34" s="17"/>
      <c r="E34" s="17"/>
      <c r="F34" s="17"/>
      <c r="G34" s="17"/>
      <c r="H34" t="s">
        <v>192</v>
      </c>
      <c r="I34">
        <v>1.2280095235664999E-2</v>
      </c>
      <c r="J34" s="17"/>
      <c r="K34" s="143">
        <v>0.14931842528240499</v>
      </c>
      <c r="L34" s="143">
        <v>0.118539815675428</v>
      </c>
      <c r="M34" s="143">
        <v>0.130060022687805</v>
      </c>
      <c r="N34" s="143">
        <v>7.9594717600698708E-3</v>
      </c>
      <c r="O34" s="144"/>
      <c r="P34" s="146"/>
      <c r="Q34" s="144">
        <v>4.1098641938076801</v>
      </c>
      <c r="R34" s="147">
        <v>83.1957201966502</v>
      </c>
      <c r="S34">
        <v>0.17947849352041201</v>
      </c>
      <c r="T34">
        <v>2.6526933599370701E-2</v>
      </c>
    </row>
    <row r="35" spans="1:20" x14ac:dyDescent="0.35">
      <c r="B35" s="17"/>
      <c r="C35" s="17"/>
      <c r="D35" s="17"/>
      <c r="E35" s="17"/>
      <c r="F35" s="17"/>
      <c r="G35" s="17"/>
      <c r="H35" t="s">
        <v>193</v>
      </c>
      <c r="I35">
        <v>2.9504286682584299E-2</v>
      </c>
      <c r="K35" s="143">
        <v>0.40363227711322103</v>
      </c>
      <c r="L35" s="143">
        <v>0.28480501477146303</v>
      </c>
      <c r="M35" s="143">
        <v>0.240322475737234</v>
      </c>
      <c r="N35" s="143">
        <v>3.83216443334429E-2</v>
      </c>
      <c r="O35" s="144"/>
      <c r="P35" s="146"/>
      <c r="Q35" s="144">
        <v>11.2852389141662</v>
      </c>
      <c r="R35" s="147">
        <v>87.917667983722694</v>
      </c>
      <c r="S35">
        <v>0.45910257445403402</v>
      </c>
      <c r="T35">
        <v>4.90159714305178E-2</v>
      </c>
    </row>
    <row r="36" spans="1:20" x14ac:dyDescent="0.35">
      <c r="B36" s="17"/>
      <c r="C36" s="17"/>
      <c r="D36" s="17"/>
      <c r="E36" s="17"/>
      <c r="F36" s="17"/>
      <c r="G36" s="17"/>
      <c r="H36" t="s">
        <v>194</v>
      </c>
      <c r="I36">
        <v>6.2444287842777398E-3</v>
      </c>
      <c r="K36" s="143">
        <v>1.4378296837044</v>
      </c>
      <c r="L36" s="143">
        <v>6.0277499716519099E-2</v>
      </c>
      <c r="M36" s="143">
        <v>9.9632821294370705E-2</v>
      </c>
      <c r="N36" s="143">
        <v>6.3812818595939697E-3</v>
      </c>
      <c r="O36" s="144"/>
      <c r="P36" s="146"/>
      <c r="Q36" s="144">
        <v>35.374965874113499</v>
      </c>
      <c r="R36" s="147">
        <v>98.183686951851897</v>
      </c>
      <c r="S36">
        <v>1.46442828573905</v>
      </c>
      <c r="T36">
        <v>2.0321027016409501E-2</v>
      </c>
    </row>
    <row r="37" spans="1:20" x14ac:dyDescent="0.35">
      <c r="B37" s="17"/>
      <c r="C37" s="17"/>
      <c r="D37" s="17"/>
      <c r="E37" s="17"/>
      <c r="F37" s="17"/>
      <c r="G37" s="17"/>
      <c r="H37" t="s">
        <v>195</v>
      </c>
      <c r="I37">
        <v>3.5205294095255003E-2</v>
      </c>
      <c r="K37" s="143">
        <v>0.10879407864849699</v>
      </c>
      <c r="L37" s="143">
        <v>0.33983686549355901</v>
      </c>
      <c r="M37" s="143">
        <v>0.52745382644979799</v>
      </c>
      <c r="N37" s="143">
        <v>9.1219984556440606E-2</v>
      </c>
      <c r="O37" s="144"/>
      <c r="P37" s="146"/>
      <c r="Q37" s="144">
        <v>2.7020851705839699</v>
      </c>
      <c r="R37" s="147">
        <v>44.536784135576497</v>
      </c>
      <c r="S37">
        <v>0.244279152076432</v>
      </c>
      <c r="T37">
        <v>0.107579041905546</v>
      </c>
    </row>
    <row r="38" spans="1:20" x14ac:dyDescent="0.35">
      <c r="B38" s="17"/>
      <c r="C38" s="17"/>
      <c r="D38" s="17"/>
      <c r="E38" s="17"/>
      <c r="F38" s="17"/>
      <c r="G38" s="17"/>
      <c r="H38" t="s">
        <v>196</v>
      </c>
      <c r="I38">
        <v>0.16176708401717901</v>
      </c>
      <c r="K38" s="143"/>
      <c r="L38" s="143">
        <v>1.5615384045276499</v>
      </c>
      <c r="M38" s="143">
        <v>1.6286270169499699</v>
      </c>
      <c r="N38" s="143">
        <v>1.21967517738259E-2</v>
      </c>
      <c r="O38" s="144"/>
      <c r="P38" s="146"/>
      <c r="Q38" s="144"/>
      <c r="R38" s="147"/>
      <c r="S38">
        <v>0.36428577165346598</v>
      </c>
      <c r="T38">
        <v>0.33217340612399898</v>
      </c>
    </row>
    <row r="39" spans="1:20" x14ac:dyDescent="0.35">
      <c r="B39" s="17"/>
      <c r="C39" s="17"/>
      <c r="D39" s="17"/>
      <c r="E39" s="17"/>
      <c r="F39" s="17"/>
      <c r="G39" s="17"/>
      <c r="H39" t="s">
        <v>197</v>
      </c>
      <c r="I39">
        <v>0.175643063769338</v>
      </c>
      <c r="K39" s="143"/>
      <c r="L39" s="143">
        <v>1.6954833007659</v>
      </c>
      <c r="M39" s="143">
        <v>1.11296358176679</v>
      </c>
      <c r="N39" s="143">
        <v>4.13851039237512E-2</v>
      </c>
      <c r="O39" s="144"/>
      <c r="P39" s="146"/>
      <c r="Q39" s="144"/>
      <c r="R39" s="147"/>
      <c r="S39">
        <v>0.249813943307786</v>
      </c>
      <c r="T39">
        <v>0.22699912257368601</v>
      </c>
    </row>
    <row r="40" spans="1:20" x14ac:dyDescent="0.35">
      <c r="A40" s="17"/>
      <c r="B40" s="17"/>
      <c r="C40" s="17"/>
      <c r="D40" s="17"/>
      <c r="E40" s="17"/>
      <c r="F40" s="17"/>
      <c r="G40" s="17"/>
      <c r="H40" t="s">
        <v>198</v>
      </c>
      <c r="I40">
        <v>0.35294432273340898</v>
      </c>
      <c r="K40" s="143"/>
      <c r="L40" s="143">
        <v>3.40697316735766</v>
      </c>
      <c r="M40" s="143">
        <v>10.7251343436547</v>
      </c>
      <c r="N40" s="143">
        <v>0.86321855126437297</v>
      </c>
      <c r="O40" s="144"/>
      <c r="P40" s="146"/>
      <c r="Q40" s="144"/>
      <c r="R40" s="147"/>
      <c r="S40">
        <v>2.1874894429426699</v>
      </c>
      <c r="T40">
        <v>2.1874894429426699</v>
      </c>
    </row>
    <row r="41" spans="1:20" x14ac:dyDescent="0.35">
      <c r="A41" s="17"/>
      <c r="B41" s="17"/>
      <c r="C41" s="17"/>
      <c r="D41" s="17"/>
      <c r="E41" s="17"/>
      <c r="F41" s="17"/>
      <c r="G41" s="17"/>
      <c r="H41" t="s">
        <v>199</v>
      </c>
      <c r="I41">
        <v>1.39302157342414</v>
      </c>
      <c r="K41" s="143"/>
      <c r="L41" s="143">
        <v>13.446843642222801</v>
      </c>
      <c r="M41" s="143">
        <v>11.1907458041014</v>
      </c>
      <c r="N41" s="143">
        <v>4.2179269678865001</v>
      </c>
      <c r="O41" s="144"/>
      <c r="P41" s="146"/>
      <c r="Q41" s="144"/>
      <c r="R41" s="147"/>
      <c r="S41">
        <v>2.2824551675298799</v>
      </c>
      <c r="T41">
        <v>2.2824551675298799</v>
      </c>
    </row>
    <row r="42" spans="1:20" x14ac:dyDescent="0.35">
      <c r="A42" s="17"/>
      <c r="B42" s="17"/>
      <c r="C42" s="17"/>
      <c r="D42" s="17"/>
      <c r="E42" s="17"/>
      <c r="F42" s="17"/>
      <c r="G42" s="17"/>
      <c r="H42" t="s">
        <v>200</v>
      </c>
      <c r="I42">
        <v>0.50757573253058197</v>
      </c>
      <c r="K42" s="143">
        <v>8.1361037202128603E-2</v>
      </c>
      <c r="L42" s="143">
        <v>4.8996308758869</v>
      </c>
      <c r="M42" s="143">
        <v>5.9593730524928397</v>
      </c>
      <c r="N42" s="143">
        <v>0.486492415713561</v>
      </c>
      <c r="O42" s="144"/>
      <c r="P42" s="146"/>
      <c r="Q42" s="144">
        <v>2.7001301410344301</v>
      </c>
      <c r="R42" s="147">
        <v>6.2738408677850499</v>
      </c>
      <c r="S42">
        <v>1.29682978763298</v>
      </c>
      <c r="T42">
        <v>1.2154687504308599</v>
      </c>
    </row>
    <row r="43" spans="1:20" x14ac:dyDescent="0.35">
      <c r="A43" s="17"/>
      <c r="B43" s="17"/>
      <c r="C43" s="17"/>
      <c r="D43" s="17"/>
      <c r="E43" s="17"/>
      <c r="F43" s="17"/>
      <c r="G43" s="17"/>
      <c r="H43" t="s">
        <v>201</v>
      </c>
      <c r="I43">
        <v>7.8186566219397902E-2</v>
      </c>
      <c r="J43">
        <v>2.4813824082532202E-2</v>
      </c>
      <c r="K43" s="143"/>
      <c r="L43" s="145">
        <v>0.75473528259166101</v>
      </c>
      <c r="M43" s="143">
        <v>0.70947161632026201</v>
      </c>
      <c r="N43" s="143">
        <v>0.39524217439179998</v>
      </c>
      <c r="O43" s="144">
        <v>2.4566728834762501</v>
      </c>
      <c r="P43" s="146">
        <v>17.1480779375993</v>
      </c>
      <c r="Q43" s="144"/>
      <c r="R43" s="147"/>
      <c r="S43">
        <v>0.11988941422107199</v>
      </c>
      <c r="T43">
        <v>0.14470323830360399</v>
      </c>
    </row>
    <row r="44" spans="1:20" x14ac:dyDescent="0.35">
      <c r="A44" s="17"/>
      <c r="B44" s="17"/>
      <c r="C44" s="17"/>
      <c r="D44" s="17"/>
      <c r="E44" s="17"/>
      <c r="F44" s="17"/>
      <c r="G44" s="17"/>
      <c r="H44" t="s">
        <v>549</v>
      </c>
      <c r="I44">
        <v>7.8466066594030895E-2</v>
      </c>
      <c r="K44" s="143"/>
      <c r="L44" s="143">
        <v>0.75743330099089701</v>
      </c>
      <c r="M44" s="143">
        <v>1.13626624035103</v>
      </c>
      <c r="N44" s="143">
        <v>0.46121994606954297</v>
      </c>
      <c r="O44" s="144"/>
      <c r="P44" s="146"/>
      <c r="Q44" s="144"/>
      <c r="R44" s="147"/>
      <c r="S44">
        <v>0.231751913355806</v>
      </c>
      <c r="T44">
        <v>0.231751913355806</v>
      </c>
    </row>
    <row r="45" spans="1:20" x14ac:dyDescent="0.35">
      <c r="A45" s="17"/>
      <c r="H45" t="s">
        <v>202</v>
      </c>
      <c r="I45">
        <v>0.62449410039688702</v>
      </c>
      <c r="J45">
        <v>2.3819013167829198E-2</v>
      </c>
      <c r="K45" s="143"/>
      <c r="L45" s="143">
        <v>6.0282444175548697</v>
      </c>
      <c r="M45" s="143">
        <v>4.4769068217765797</v>
      </c>
      <c r="N45" s="143">
        <v>0.30600837160920002</v>
      </c>
      <c r="O45" s="144">
        <v>2.3581824214576499</v>
      </c>
      <c r="P45" s="146">
        <v>2.6085699329269199</v>
      </c>
      <c r="Q45" s="144"/>
      <c r="R45" s="147"/>
      <c r="S45">
        <v>0.88928716302363298</v>
      </c>
      <c r="T45">
        <v>0.91310617619146195</v>
      </c>
    </row>
    <row r="46" spans="1:20" x14ac:dyDescent="0.35">
      <c r="A46" s="17"/>
      <c r="H46" t="s">
        <v>203</v>
      </c>
      <c r="I46">
        <v>0.59146767779751597</v>
      </c>
      <c r="K46" s="143"/>
      <c r="L46" s="143">
        <v>5.7094402086120803</v>
      </c>
      <c r="M46" s="143">
        <v>4.5242907355825501</v>
      </c>
      <c r="N46" s="143">
        <v>9.2424909033570604E-2</v>
      </c>
      <c r="O46" s="144"/>
      <c r="P46" s="146"/>
      <c r="Q46" s="144"/>
      <c r="R46" s="147"/>
      <c r="S46">
        <v>0.92277055967558697</v>
      </c>
      <c r="T46">
        <v>0.92277055967558697</v>
      </c>
    </row>
    <row r="47" spans="1:20" x14ac:dyDescent="0.35">
      <c r="A47" s="17"/>
      <c r="H47" t="s">
        <v>204</v>
      </c>
      <c r="I47">
        <v>0.73690858228148803</v>
      </c>
      <c r="K47" s="143"/>
      <c r="L47" s="143">
        <v>7.11338192716864</v>
      </c>
      <c r="M47" s="143">
        <v>5.2354354589947203</v>
      </c>
      <c r="N47" s="143">
        <v>0.208065654880282</v>
      </c>
      <c r="O47" s="144"/>
      <c r="P47" s="146"/>
      <c r="Q47" s="144"/>
      <c r="R47" s="147"/>
      <c r="S47">
        <v>1.0678150435042499</v>
      </c>
      <c r="T47">
        <v>1.0678150435042499</v>
      </c>
    </row>
    <row r="48" spans="1:20" x14ac:dyDescent="0.35">
      <c r="A48" s="17"/>
      <c r="H48" t="s">
        <v>205</v>
      </c>
      <c r="I48">
        <v>0.157283676570767</v>
      </c>
      <c r="K48" s="143">
        <v>6.1324279241816902E-2</v>
      </c>
      <c r="L48" s="143">
        <v>1.51826005186863</v>
      </c>
      <c r="M48" s="143">
        <v>2.3692784165905398</v>
      </c>
      <c r="N48" s="143">
        <v>5.5806771127287602E-2</v>
      </c>
      <c r="O48" s="144"/>
      <c r="P48" s="146"/>
      <c r="Q48" s="144">
        <v>2.0351699099739302</v>
      </c>
      <c r="R48" s="147">
        <v>11.261246236199</v>
      </c>
      <c r="S48">
        <v>0.54456032623362105</v>
      </c>
      <c r="T48">
        <v>0.483236046991804</v>
      </c>
    </row>
    <row r="49" spans="1:20" x14ac:dyDescent="0.35">
      <c r="A49" s="17"/>
      <c r="H49" t="s">
        <v>206</v>
      </c>
      <c r="I49">
        <v>0.302476954516533</v>
      </c>
      <c r="K49" s="143">
        <v>2.1940312889924402E-2</v>
      </c>
      <c r="L49" s="143">
        <v>2.9198114303152698</v>
      </c>
      <c r="M49" s="143">
        <v>2.57274214814848</v>
      </c>
      <c r="N49" s="143">
        <v>0.393440178061227</v>
      </c>
      <c r="O49" s="144"/>
      <c r="P49" s="146"/>
      <c r="Q49" s="144">
        <v>0.728133541250644</v>
      </c>
      <c r="R49" s="147">
        <v>4.01341324025086</v>
      </c>
      <c r="S49">
        <v>0.54667465263439996</v>
      </c>
      <c r="T49">
        <v>0.52473433974447503</v>
      </c>
    </row>
    <row r="50" spans="1:20" x14ac:dyDescent="0.35">
      <c r="H50" t="s">
        <v>207</v>
      </c>
      <c r="I50">
        <v>0.31666868915563201</v>
      </c>
      <c r="K50" s="143">
        <v>4.0108296958080297E-2</v>
      </c>
      <c r="L50" s="143">
        <v>3.0568043099264699</v>
      </c>
      <c r="M50" s="143">
        <v>4.1344820631851702</v>
      </c>
      <c r="N50" s="143">
        <v>0.48850649268476198</v>
      </c>
      <c r="O50" s="144"/>
      <c r="P50" s="146"/>
      <c r="Q50" s="144">
        <v>1.33107474100931</v>
      </c>
      <c r="R50" s="147">
        <v>4.5403538924930498</v>
      </c>
      <c r="S50">
        <v>0.883373805385407</v>
      </c>
      <c r="T50">
        <v>0.84326550842732595</v>
      </c>
    </row>
    <row r="51" spans="1:20" x14ac:dyDescent="0.35">
      <c r="H51" t="s">
        <v>208</v>
      </c>
      <c r="I51">
        <v>0.78873453791530301</v>
      </c>
      <c r="K51" s="143"/>
      <c r="L51" s="143">
        <v>7.6136581147826297</v>
      </c>
      <c r="M51" s="143">
        <v>6.0065921607108299</v>
      </c>
      <c r="N51" s="143">
        <v>1.33962316007376</v>
      </c>
      <c r="O51" s="144"/>
      <c r="P51" s="146"/>
      <c r="Q51" s="144"/>
      <c r="R51" s="147"/>
      <c r="S51">
        <v>1.22509952030491</v>
      </c>
      <c r="T51">
        <v>1.22509952030491</v>
      </c>
    </row>
    <row r="52" spans="1:20" x14ac:dyDescent="0.35">
      <c r="H52" t="s">
        <v>209</v>
      </c>
      <c r="I52">
        <v>0.20718156658335099</v>
      </c>
      <c r="K52" s="143">
        <v>2.0840143259456899E-2</v>
      </c>
      <c r="L52" s="143">
        <v>1.9999246131910799</v>
      </c>
      <c r="M52" s="143">
        <v>1.4608818766631699</v>
      </c>
      <c r="N52" s="143">
        <v>2.18049146269701</v>
      </c>
      <c r="O52" s="144"/>
      <c r="P52" s="146"/>
      <c r="Q52" s="144">
        <v>0.691622192801435</v>
      </c>
      <c r="R52" s="147">
        <v>6.5370507280160899</v>
      </c>
      <c r="S52">
        <v>0.31880039067375598</v>
      </c>
      <c r="T52">
        <v>0.297960247414299</v>
      </c>
    </row>
    <row r="53" spans="1:20" x14ac:dyDescent="0.35">
      <c r="H53" t="s">
        <v>722</v>
      </c>
      <c r="K53" s="43"/>
      <c r="L53" s="43">
        <v>100</v>
      </c>
      <c r="M53" s="43">
        <v>100</v>
      </c>
      <c r="N53" s="43">
        <v>100</v>
      </c>
      <c r="O53" s="144">
        <v>100</v>
      </c>
      <c r="P53" s="146">
        <v>4.0019205246392104</v>
      </c>
      <c r="Q53" s="144">
        <v>99.999999999999901</v>
      </c>
      <c r="R53" s="147">
        <v>15.374537074139001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499984740745262"/>
  </sheetPr>
  <dimension ref="A1:HD218"/>
  <sheetViews>
    <sheetView zoomScale="85" zoomScaleNormal="85" workbookViewId="0">
      <pane xSplit="1" ySplit="7" topLeftCell="B88" activePane="bottomRight" state="frozen"/>
      <selection pane="topRight" activeCell="B1" sqref="B1"/>
      <selection pane="bottomLeft" activeCell="A8" sqref="A8"/>
      <selection pane="bottomRight" activeCell="J5" sqref="J5"/>
    </sheetView>
  </sheetViews>
  <sheetFormatPr defaultRowHeight="14.5" x14ac:dyDescent="0.35"/>
  <sheetData>
    <row r="1" spans="1:212" ht="18.5" x14ac:dyDescent="0.45">
      <c r="A1" s="2" t="s">
        <v>227</v>
      </c>
    </row>
    <row r="2" spans="1:212" x14ac:dyDescent="0.35">
      <c r="A2" s="3" t="s">
        <v>364</v>
      </c>
      <c r="B2" s="4" t="s">
        <v>228</v>
      </c>
      <c r="AL2" s="11"/>
      <c r="DE2" s="11"/>
      <c r="DG2" s="11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</row>
    <row r="3" spans="1:212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</row>
    <row r="4" spans="1:212" x14ac:dyDescent="0.35">
      <c r="B4" s="31"/>
      <c r="C4" s="24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L4" s="11"/>
      <c r="AP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FS4" s="11"/>
      <c r="FT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</row>
    <row r="5" spans="1:212" x14ac:dyDescent="0.35">
      <c r="B5" s="154">
        <f t="shared" ref="B5:I5" si="0">B105/SUM(B101:B109)</f>
        <v>0.43618734423916417</v>
      </c>
      <c r="C5" s="154">
        <f t="shared" si="0"/>
        <v>0.48406848325321267</v>
      </c>
      <c r="D5" s="154">
        <f t="shared" si="0"/>
        <v>0.44663715436373225</v>
      </c>
      <c r="E5" s="154">
        <f t="shared" si="0"/>
        <v>0.38977910997287818</v>
      </c>
      <c r="F5" s="154">
        <f t="shared" si="0"/>
        <v>0.40192869388112196</v>
      </c>
      <c r="G5" s="154">
        <f t="shared" si="0"/>
        <v>0.21575559665949445</v>
      </c>
      <c r="H5" s="154">
        <f t="shared" si="0"/>
        <v>0.30448030797016845</v>
      </c>
      <c r="I5" s="154">
        <f t="shared" si="0"/>
        <v>0.44286861770284303</v>
      </c>
      <c r="J5" s="155">
        <f>SUM(B105:I105)/SUM(B101:I109)</f>
        <v>0.40878363559069336</v>
      </c>
    </row>
    <row r="6" spans="1:212" x14ac:dyDescent="0.35">
      <c r="B6" s="31"/>
      <c r="C6" s="24"/>
    </row>
    <row r="7" spans="1:212" x14ac:dyDescent="0.35">
      <c r="A7" s="31"/>
      <c r="B7" s="32" t="s">
        <v>675</v>
      </c>
      <c r="C7" s="32" t="s">
        <v>138</v>
      </c>
      <c r="D7" s="32" t="s">
        <v>140</v>
      </c>
      <c r="E7" s="32" t="s">
        <v>142</v>
      </c>
      <c r="F7" s="32" t="s">
        <v>143</v>
      </c>
      <c r="G7" s="32" t="s">
        <v>724</v>
      </c>
      <c r="H7" s="32" t="s">
        <v>148</v>
      </c>
      <c r="I7" s="32" t="s">
        <v>147</v>
      </c>
      <c r="J7" s="32" t="s">
        <v>676</v>
      </c>
      <c r="K7" s="32" t="s">
        <v>281</v>
      </c>
      <c r="L7" s="32" t="s">
        <v>151</v>
      </c>
      <c r="M7" s="32" t="s">
        <v>152</v>
      </c>
      <c r="N7" s="32" t="s">
        <v>714</v>
      </c>
      <c r="O7" s="32" t="s">
        <v>677</v>
      </c>
      <c r="P7" s="32" t="s">
        <v>153</v>
      </c>
      <c r="Q7" s="32" t="s">
        <v>284</v>
      </c>
      <c r="R7" s="32" t="s">
        <v>286</v>
      </c>
      <c r="S7" s="32" t="s">
        <v>287</v>
      </c>
      <c r="T7" s="32" t="s">
        <v>285</v>
      </c>
      <c r="U7" s="32" t="s">
        <v>154</v>
      </c>
      <c r="V7" s="32" t="s">
        <v>678</v>
      </c>
      <c r="W7" s="32" t="s">
        <v>679</v>
      </c>
      <c r="X7" s="32" t="s">
        <v>155</v>
      </c>
      <c r="Y7" s="32" t="s">
        <v>156</v>
      </c>
      <c r="Z7" s="32" t="s">
        <v>288</v>
      </c>
      <c r="AA7" s="32" t="s">
        <v>157</v>
      </c>
      <c r="AB7" s="32" t="s">
        <v>158</v>
      </c>
      <c r="AC7" s="32" t="s">
        <v>159</v>
      </c>
      <c r="AD7" s="32" t="s">
        <v>160</v>
      </c>
      <c r="AE7" s="32" t="s">
        <v>161</v>
      </c>
      <c r="AF7" s="32" t="s">
        <v>162</v>
      </c>
      <c r="AG7" s="32" t="s">
        <v>163</v>
      </c>
      <c r="AH7" s="32" t="s">
        <v>164</v>
      </c>
      <c r="AI7" s="32" t="s">
        <v>165</v>
      </c>
      <c r="AJ7" s="32" t="s">
        <v>166</v>
      </c>
      <c r="AK7" s="32" t="s">
        <v>167</v>
      </c>
      <c r="AL7" s="32" t="s">
        <v>168</v>
      </c>
      <c r="AM7" s="32" t="s">
        <v>548</v>
      </c>
      <c r="AN7" s="32" t="s">
        <v>169</v>
      </c>
      <c r="AO7" s="32" t="s">
        <v>170</v>
      </c>
      <c r="AP7" s="32" t="s">
        <v>171</v>
      </c>
      <c r="AQ7" s="32" t="s">
        <v>172</v>
      </c>
      <c r="AR7" s="32" t="s">
        <v>173</v>
      </c>
      <c r="AS7" s="32" t="s">
        <v>174</v>
      </c>
      <c r="AT7" s="32" t="s">
        <v>175</v>
      </c>
      <c r="AU7" s="32" t="s">
        <v>176</v>
      </c>
      <c r="AV7" s="32" t="s">
        <v>680</v>
      </c>
      <c r="AW7" s="32" t="s">
        <v>177</v>
      </c>
      <c r="AX7" s="32" t="s">
        <v>178</v>
      </c>
      <c r="AY7" s="32" t="s">
        <v>179</v>
      </c>
      <c r="AZ7" s="32" t="s">
        <v>180</v>
      </c>
      <c r="BA7" s="32" t="s">
        <v>725</v>
      </c>
      <c r="BB7" s="32" t="s">
        <v>182</v>
      </c>
      <c r="BC7" s="32" t="s">
        <v>181</v>
      </c>
      <c r="BD7" s="32" t="s">
        <v>681</v>
      </c>
      <c r="BE7" s="32" t="s">
        <v>289</v>
      </c>
      <c r="BF7" s="32" t="s">
        <v>183</v>
      </c>
      <c r="BG7" s="32" t="s">
        <v>184</v>
      </c>
      <c r="BH7" s="32" t="s">
        <v>682</v>
      </c>
      <c r="BI7" s="32" t="s">
        <v>683</v>
      </c>
      <c r="BJ7" s="32" t="s">
        <v>185</v>
      </c>
      <c r="BK7" s="32" t="s">
        <v>290</v>
      </c>
      <c r="BL7" s="32" t="s">
        <v>292</v>
      </c>
      <c r="BM7" s="32" t="s">
        <v>293</v>
      </c>
      <c r="BN7" s="32" t="s">
        <v>291</v>
      </c>
      <c r="BO7" s="32" t="s">
        <v>186</v>
      </c>
      <c r="BP7" s="32" t="s">
        <v>684</v>
      </c>
      <c r="BQ7" s="32" t="s">
        <v>685</v>
      </c>
      <c r="BR7" s="32" t="s">
        <v>187</v>
      </c>
      <c r="BS7" s="32" t="s">
        <v>188</v>
      </c>
      <c r="BT7" s="32" t="s">
        <v>189</v>
      </c>
      <c r="BU7" s="32" t="s">
        <v>190</v>
      </c>
      <c r="BV7" s="32" t="s">
        <v>191</v>
      </c>
      <c r="BW7" s="32" t="s">
        <v>192</v>
      </c>
      <c r="BX7" s="32" t="s">
        <v>193</v>
      </c>
      <c r="BY7" s="32" t="s">
        <v>194</v>
      </c>
      <c r="BZ7" s="32" t="s">
        <v>195</v>
      </c>
      <c r="CA7" s="32" t="s">
        <v>196</v>
      </c>
      <c r="CB7" s="32" t="s">
        <v>197</v>
      </c>
      <c r="CC7" s="32" t="s">
        <v>198</v>
      </c>
      <c r="CD7" s="32" t="s">
        <v>199</v>
      </c>
      <c r="CE7" s="32" t="s">
        <v>200</v>
      </c>
      <c r="CF7" s="32" t="s">
        <v>201</v>
      </c>
      <c r="CG7" s="32" t="s">
        <v>549</v>
      </c>
      <c r="CH7" s="32" t="s">
        <v>202</v>
      </c>
      <c r="CI7" s="32" t="s">
        <v>203</v>
      </c>
      <c r="CJ7" s="32" t="s">
        <v>204</v>
      </c>
      <c r="CK7" s="32" t="s">
        <v>205</v>
      </c>
      <c r="CL7" s="32" t="s">
        <v>206</v>
      </c>
      <c r="CM7" s="32" t="s">
        <v>207</v>
      </c>
      <c r="CN7" s="32" t="s">
        <v>208</v>
      </c>
      <c r="CO7" s="32" t="s">
        <v>209</v>
      </c>
      <c r="CP7" s="32" t="s">
        <v>102</v>
      </c>
      <c r="CQ7" s="32" t="s">
        <v>552</v>
      </c>
      <c r="CR7" s="32" t="s">
        <v>553</v>
      </c>
      <c r="CS7" s="32" t="s">
        <v>554</v>
      </c>
      <c r="CT7" s="32" t="s">
        <v>555</v>
      </c>
      <c r="CU7" s="32" t="s">
        <v>216</v>
      </c>
      <c r="CV7" s="32" t="s">
        <v>557</v>
      </c>
      <c r="CW7" s="32" t="s">
        <v>558</v>
      </c>
      <c r="CX7" s="32" t="s">
        <v>559</v>
      </c>
      <c r="CY7" s="32" t="s">
        <v>560</v>
      </c>
      <c r="CZ7" s="32" t="s">
        <v>104</v>
      </c>
      <c r="DA7" s="32" t="s">
        <v>217</v>
      </c>
      <c r="DB7" s="32" t="s">
        <v>218</v>
      </c>
      <c r="DC7" s="32" t="s">
        <v>219</v>
      </c>
      <c r="DD7" s="32" t="s">
        <v>220</v>
      </c>
      <c r="DE7" s="32" t="s">
        <v>221</v>
      </c>
      <c r="DF7" s="32" t="s">
        <v>595</v>
      </c>
      <c r="DG7" s="32" t="s">
        <v>596</v>
      </c>
      <c r="DH7" s="32" t="s">
        <v>597</v>
      </c>
      <c r="DI7" s="32" t="s">
        <v>598</v>
      </c>
      <c r="DJ7" s="32" t="s">
        <v>599</v>
      </c>
      <c r="DK7" s="32" t="s">
        <v>222</v>
      </c>
      <c r="DL7" s="32" t="s">
        <v>223</v>
      </c>
      <c r="DM7" s="32" t="s">
        <v>224</v>
      </c>
      <c r="DN7" s="32" t="s">
        <v>225</v>
      </c>
      <c r="DO7" s="32" t="s">
        <v>226</v>
      </c>
      <c r="DP7" s="32" t="s">
        <v>106</v>
      </c>
      <c r="DQ7" s="32" t="s">
        <v>110</v>
      </c>
      <c r="DR7" s="32" t="s">
        <v>116</v>
      </c>
      <c r="DS7" s="32" t="s">
        <v>118</v>
      </c>
      <c r="DT7" s="32" t="s">
        <v>120</v>
      </c>
      <c r="DU7" s="32" t="s">
        <v>124</v>
      </c>
      <c r="DV7" s="32" t="s">
        <v>126</v>
      </c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1"/>
      <c r="HD7" s="31"/>
    </row>
    <row r="8" spans="1:212" x14ac:dyDescent="0.35">
      <c r="A8" s="32" t="s">
        <v>675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>
        <v>624.24279748991194</v>
      </c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>
        <v>12.140447905938908</v>
      </c>
      <c r="DB8" s="31">
        <v>19.572699070554282</v>
      </c>
      <c r="DC8" s="31">
        <v>28.176981061254562</v>
      </c>
      <c r="DD8" s="31">
        <v>31.43010336259329</v>
      </c>
      <c r="DE8" s="31">
        <v>37.282054677113216</v>
      </c>
      <c r="DF8" s="31"/>
      <c r="DG8" s="31"/>
      <c r="DH8" s="31"/>
      <c r="DI8" s="31"/>
      <c r="DJ8" s="31"/>
      <c r="DK8" s="31">
        <v>4.4643629787581289E-2</v>
      </c>
      <c r="DL8" s="31">
        <v>9.9577616104117625E-2</v>
      </c>
      <c r="DM8" s="31">
        <v>0.59405597552816469</v>
      </c>
      <c r="DN8" s="31">
        <v>1.4758955552294823</v>
      </c>
      <c r="DO8" s="31">
        <v>4.0334632066206559</v>
      </c>
      <c r="DP8" s="31"/>
      <c r="DQ8" s="31"/>
      <c r="DR8" s="31"/>
      <c r="DS8" s="31"/>
      <c r="DT8" s="31"/>
      <c r="DU8" s="31"/>
      <c r="DV8" s="31">
        <v>759.09271955063639</v>
      </c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</row>
    <row r="9" spans="1:212" x14ac:dyDescent="0.35">
      <c r="A9" s="32" t="s">
        <v>138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>
        <v>161.6502291401836</v>
      </c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>
        <v>2.1351119217141998</v>
      </c>
      <c r="DB9" s="31">
        <v>4.2280476161532583</v>
      </c>
      <c r="DC9" s="31">
        <v>5.7866883715043729</v>
      </c>
      <c r="DD9" s="31">
        <v>7.3859266748756864</v>
      </c>
      <c r="DE9" s="31">
        <v>9.9569550513993903</v>
      </c>
      <c r="DF9" s="31"/>
      <c r="DG9" s="31"/>
      <c r="DH9" s="31"/>
      <c r="DI9" s="31"/>
      <c r="DJ9" s="31"/>
      <c r="DK9" s="31"/>
      <c r="DL9" s="31"/>
      <c r="DM9" s="31">
        <v>1.218729618033655E-2</v>
      </c>
      <c r="DN9" s="31">
        <v>0.36409441843239443</v>
      </c>
      <c r="DO9" s="31">
        <v>0.52003645740379845</v>
      </c>
      <c r="DP9" s="31"/>
      <c r="DQ9" s="31"/>
      <c r="DR9" s="31"/>
      <c r="DS9" s="31"/>
      <c r="DT9" s="31"/>
      <c r="DU9" s="31"/>
      <c r="DV9" s="31">
        <v>192.03927694784701</v>
      </c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</row>
    <row r="10" spans="1:212" x14ac:dyDescent="0.35">
      <c r="A10" s="32" t="s">
        <v>140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>
        <v>125.96791929352847</v>
      </c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>
        <v>1.0250403472985889</v>
      </c>
      <c r="DB10" s="31">
        <v>2.3928904307435577</v>
      </c>
      <c r="DC10" s="31">
        <v>4.9304050898587262</v>
      </c>
      <c r="DD10" s="31">
        <v>9.8028384922088474</v>
      </c>
      <c r="DE10" s="31">
        <v>13.308042805871382</v>
      </c>
      <c r="DF10" s="31"/>
      <c r="DG10" s="31"/>
      <c r="DH10" s="31"/>
      <c r="DI10" s="31"/>
      <c r="DJ10" s="31"/>
      <c r="DK10" s="31"/>
      <c r="DL10" s="31"/>
      <c r="DM10" s="31">
        <v>3.6369853740142837E-2</v>
      </c>
      <c r="DN10" s="31">
        <v>0.29373515221293528</v>
      </c>
      <c r="DO10" s="31">
        <v>0.95598236356420285</v>
      </c>
      <c r="DP10" s="31"/>
      <c r="DQ10" s="31"/>
      <c r="DR10" s="31"/>
      <c r="DS10" s="31"/>
      <c r="DT10" s="31"/>
      <c r="DU10" s="31"/>
      <c r="DV10" s="31">
        <v>158.7132238290269</v>
      </c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</row>
    <row r="11" spans="1:212" x14ac:dyDescent="0.35">
      <c r="A11" s="32" t="s">
        <v>142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>
        <v>142.5239604321734</v>
      </c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>
        <v>4.7708805271093917</v>
      </c>
      <c r="DB11" s="31">
        <v>6.9207493084826037</v>
      </c>
      <c r="DC11" s="31">
        <v>10.486406913811766</v>
      </c>
      <c r="DD11" s="31">
        <v>17.749953456452594</v>
      </c>
      <c r="DE11" s="31">
        <v>21.441577133320763</v>
      </c>
      <c r="DF11" s="31"/>
      <c r="DG11" s="31"/>
      <c r="DH11" s="31"/>
      <c r="DI11" s="31"/>
      <c r="DJ11" s="31"/>
      <c r="DK11" s="31">
        <v>4.7318940605146778E-3</v>
      </c>
      <c r="DL11" s="31">
        <v>6.8042602133484328E-2</v>
      </c>
      <c r="DM11" s="31">
        <v>0.19389883103126437</v>
      </c>
      <c r="DN11" s="31">
        <v>0.30654053230128431</v>
      </c>
      <c r="DO11" s="31">
        <v>0.52981220998965961</v>
      </c>
      <c r="DP11" s="31"/>
      <c r="DQ11" s="31"/>
      <c r="DR11" s="31"/>
      <c r="DS11" s="31"/>
      <c r="DT11" s="31"/>
      <c r="DU11" s="31"/>
      <c r="DV11" s="31">
        <v>204.99655384086677</v>
      </c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</row>
    <row r="12" spans="1:212" x14ac:dyDescent="0.35">
      <c r="A12" s="32" t="s">
        <v>143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>
        <v>223.33712165687578</v>
      </c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>
        <v>10.699984667768438</v>
      </c>
      <c r="DB12" s="31">
        <v>15.204555944147604</v>
      </c>
      <c r="DC12" s="31">
        <v>18.111844892952089</v>
      </c>
      <c r="DD12" s="31">
        <v>20.104999299389434</v>
      </c>
      <c r="DE12" s="31">
        <v>17.775066714543712</v>
      </c>
      <c r="DF12" s="31"/>
      <c r="DG12" s="31"/>
      <c r="DH12" s="31"/>
      <c r="DI12" s="31"/>
      <c r="DJ12" s="31"/>
      <c r="DK12" s="31">
        <v>0.11274550402771796</v>
      </c>
      <c r="DL12" s="31">
        <v>0.2058006050917284</v>
      </c>
      <c r="DM12" s="31">
        <v>0.3600205042835376</v>
      </c>
      <c r="DN12" s="31">
        <v>0.6330797236778325</v>
      </c>
      <c r="DO12" s="31">
        <v>1.1022015565657901</v>
      </c>
      <c r="DP12" s="31"/>
      <c r="DQ12" s="31"/>
      <c r="DR12" s="31"/>
      <c r="DS12" s="31"/>
      <c r="DT12" s="31"/>
      <c r="DU12" s="31"/>
      <c r="DV12" s="31">
        <v>307.64742106932357</v>
      </c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</row>
    <row r="13" spans="1:212" x14ac:dyDescent="0.35">
      <c r="A13" s="32" t="s">
        <v>724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>
        <v>146.64982049448193</v>
      </c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>
        <v>0.2983682335368118</v>
      </c>
      <c r="DB13" s="31">
        <v>0.63195932078717076</v>
      </c>
      <c r="DC13" s="31">
        <v>0.86190453225166641</v>
      </c>
      <c r="DD13" s="31">
        <v>1.628901785125092</v>
      </c>
      <c r="DE13" s="31">
        <v>5.3411283087299823</v>
      </c>
      <c r="DF13" s="31"/>
      <c r="DG13" s="31"/>
      <c r="DH13" s="31"/>
      <c r="DI13" s="31"/>
      <c r="DJ13" s="31"/>
      <c r="DK13" s="31"/>
      <c r="DL13" s="31"/>
      <c r="DM13" s="31">
        <v>1.463791393393646E-2</v>
      </c>
      <c r="DN13" s="31">
        <v>3.2223984471564805E-2</v>
      </c>
      <c r="DO13" s="31">
        <v>0.8608140932556646</v>
      </c>
      <c r="DP13" s="31"/>
      <c r="DQ13" s="31"/>
      <c r="DR13" s="31"/>
      <c r="DS13" s="31"/>
      <c r="DT13" s="31"/>
      <c r="DU13" s="31"/>
      <c r="DV13" s="31">
        <v>156.31975866657382</v>
      </c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</row>
    <row r="14" spans="1:212" x14ac:dyDescent="0.35">
      <c r="A14" s="32" t="s">
        <v>148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>
        <v>223.20081736400576</v>
      </c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>
        <v>3.2235538721801819E-3</v>
      </c>
      <c r="DC14" s="31"/>
      <c r="DD14" s="31">
        <v>1.3444635863137291E-3</v>
      </c>
      <c r="DE14" s="31">
        <v>9.7687793868254207E-3</v>
      </c>
      <c r="DF14" s="31"/>
      <c r="DG14" s="31"/>
      <c r="DH14" s="31"/>
      <c r="DI14" s="31"/>
      <c r="DJ14" s="31"/>
      <c r="DK14" s="31"/>
      <c r="DL14" s="31"/>
      <c r="DM14" s="31"/>
      <c r="DN14" s="31"/>
      <c r="DO14" s="31">
        <v>3.7270124633017813E-2</v>
      </c>
      <c r="DP14" s="31"/>
      <c r="DQ14" s="31"/>
      <c r="DR14" s="31"/>
      <c r="DS14" s="31"/>
      <c r="DT14" s="31"/>
      <c r="DU14" s="31"/>
      <c r="DV14" s="31">
        <v>223.2524242854841</v>
      </c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</row>
    <row r="15" spans="1:212" x14ac:dyDescent="0.35">
      <c r="A15" s="32" t="s">
        <v>147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>
        <v>82.64453759935283</v>
      </c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>
        <v>1.5194950072033373</v>
      </c>
      <c r="DB15" s="31">
        <v>2.115710424256481</v>
      </c>
      <c r="DC15" s="31">
        <v>4.3588438162242049</v>
      </c>
      <c r="DD15" s="31">
        <v>5.4665419308622685</v>
      </c>
      <c r="DE15" s="31">
        <v>10.236393556096372</v>
      </c>
      <c r="DF15" s="31"/>
      <c r="DG15" s="31"/>
      <c r="DH15" s="31"/>
      <c r="DI15" s="31"/>
      <c r="DJ15" s="31"/>
      <c r="DK15" s="31"/>
      <c r="DL15" s="31">
        <v>3.0084524795813947E-2</v>
      </c>
      <c r="DM15" s="31">
        <v>7.2296234405661602E-2</v>
      </c>
      <c r="DN15" s="31">
        <v>0.22241167865848149</v>
      </c>
      <c r="DO15" s="31">
        <v>1.5902418164105268</v>
      </c>
      <c r="DP15" s="31"/>
      <c r="DQ15" s="31"/>
      <c r="DR15" s="31"/>
      <c r="DS15" s="31"/>
      <c r="DT15" s="31"/>
      <c r="DU15" s="31"/>
      <c r="DV15" s="31">
        <v>108.25655658826595</v>
      </c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</row>
    <row r="16" spans="1:212" x14ac:dyDescent="0.35">
      <c r="A16" s="32" t="s">
        <v>676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>
        <v>252.18407316371557</v>
      </c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>
        <v>4.0306935338370904</v>
      </c>
      <c r="DB16" s="31">
        <v>13.653221632745616</v>
      </c>
      <c r="DC16" s="31">
        <v>22.757917003374093</v>
      </c>
      <c r="DD16" s="31">
        <v>41.410149761015568</v>
      </c>
      <c r="DE16" s="31">
        <v>88.914666523173167</v>
      </c>
      <c r="DF16" s="31"/>
      <c r="DG16" s="31"/>
      <c r="DH16" s="31"/>
      <c r="DI16" s="31"/>
      <c r="DJ16" s="31"/>
      <c r="DK16" s="31"/>
      <c r="DL16" s="31">
        <v>0.14509513342092961</v>
      </c>
      <c r="DM16" s="31">
        <v>0.41375177513532718</v>
      </c>
      <c r="DN16" s="31">
        <v>1.3006383090591631</v>
      </c>
      <c r="DO16" s="31">
        <v>4.1338071026721428</v>
      </c>
      <c r="DP16" s="31"/>
      <c r="DQ16" s="31"/>
      <c r="DR16" s="31"/>
      <c r="DS16" s="31"/>
      <c r="DT16" s="31"/>
      <c r="DU16" s="31"/>
      <c r="DV16" s="31">
        <v>428.9440139381486</v>
      </c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</row>
    <row r="17" spans="1:212" x14ac:dyDescent="0.35">
      <c r="A17" s="32" t="s">
        <v>281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>
        <v>24.99252628555606</v>
      </c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>
        <v>4.3846467225071087E-3</v>
      </c>
      <c r="DB17" s="31">
        <v>0.11092434067918587</v>
      </c>
      <c r="DC17" s="31">
        <v>0.36478232284038808</v>
      </c>
      <c r="DD17" s="31">
        <v>0.85900254504612439</v>
      </c>
      <c r="DE17" s="31">
        <v>1.8604905477531115</v>
      </c>
      <c r="DF17" s="31"/>
      <c r="DG17" s="31"/>
      <c r="DH17" s="31"/>
      <c r="DI17" s="31"/>
      <c r="DJ17" s="31"/>
      <c r="DK17" s="31"/>
      <c r="DL17" s="31"/>
      <c r="DM17" s="31"/>
      <c r="DN17" s="31"/>
      <c r="DO17" s="31">
        <v>0.14397703406325277</v>
      </c>
      <c r="DP17" s="31"/>
      <c r="DQ17" s="31"/>
      <c r="DR17" s="31"/>
      <c r="DS17" s="31"/>
      <c r="DT17" s="31"/>
      <c r="DU17" s="31"/>
      <c r="DV17" s="31">
        <v>28.336087722660629</v>
      </c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</row>
    <row r="18" spans="1:212" x14ac:dyDescent="0.35">
      <c r="A18" s="32" t="s">
        <v>151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>
        <v>21.093185333521831</v>
      </c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>
        <v>6.3761333886298704E-3</v>
      </c>
      <c r="DB18" s="31">
        <v>8.0537676899212034E-3</v>
      </c>
      <c r="DC18" s="31">
        <v>8.4267673499466081E-3</v>
      </c>
      <c r="DD18" s="31">
        <v>1.577628049268949E-2</v>
      </c>
      <c r="DE18" s="31">
        <v>1.3916296146845055E-2</v>
      </c>
      <c r="DF18" s="31"/>
      <c r="DG18" s="31"/>
      <c r="DH18" s="31"/>
      <c r="DI18" s="31"/>
      <c r="DJ18" s="31"/>
      <c r="DK18" s="31">
        <v>1.3595167501128991E-4</v>
      </c>
      <c r="DL18" s="31">
        <v>3.9369950406564303E-4</v>
      </c>
      <c r="DM18" s="31">
        <v>3.3621258752686804E-4</v>
      </c>
      <c r="DN18" s="31">
        <v>7.1868226383130208E-4</v>
      </c>
      <c r="DO18" s="31">
        <v>1.2363637554162284E-2</v>
      </c>
      <c r="DP18" s="31"/>
      <c r="DQ18" s="31"/>
      <c r="DR18" s="31"/>
      <c r="DS18" s="31"/>
      <c r="DT18" s="31"/>
      <c r="DU18" s="31"/>
      <c r="DV18" s="31">
        <v>21.159682762174466</v>
      </c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</row>
    <row r="19" spans="1:212" x14ac:dyDescent="0.35">
      <c r="A19" s="32" t="s">
        <v>152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>
        <v>188.18740552462191</v>
      </c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>
        <v>0.20376449808816718</v>
      </c>
      <c r="DB19" s="31">
        <v>0.27293379821744168</v>
      </c>
      <c r="DC19" s="31">
        <v>0.34692580915442273</v>
      </c>
      <c r="DD19" s="31">
        <v>1.0521477191791453</v>
      </c>
      <c r="DE19" s="31">
        <v>1.5889140064093528</v>
      </c>
      <c r="DF19" s="31"/>
      <c r="DG19" s="31"/>
      <c r="DH19" s="31"/>
      <c r="DI19" s="31"/>
      <c r="DJ19" s="31"/>
      <c r="DK19" s="31"/>
      <c r="DL19" s="31"/>
      <c r="DM19" s="31"/>
      <c r="DN19" s="31"/>
      <c r="DO19" s="31">
        <v>0.2969847532211321</v>
      </c>
      <c r="DP19" s="31"/>
      <c r="DQ19" s="31"/>
      <c r="DR19" s="31"/>
      <c r="DS19" s="31"/>
      <c r="DT19" s="31"/>
      <c r="DU19" s="31"/>
      <c r="DV19" s="31">
        <v>191.94907610889155</v>
      </c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</row>
    <row r="20" spans="1:212" x14ac:dyDescent="0.35">
      <c r="A20" s="32" t="s">
        <v>714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>
        <v>57.022282031838785</v>
      </c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>
        <v>57.022282031838785</v>
      </c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</row>
    <row r="21" spans="1:212" x14ac:dyDescent="0.35">
      <c r="A21" s="32" t="s">
        <v>677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>
        <v>42.533047452411935</v>
      </c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>
        <v>42.533047452411935</v>
      </c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</row>
    <row r="22" spans="1:212" x14ac:dyDescent="0.35">
      <c r="A22" s="32" t="s">
        <v>153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>
        <v>301.35166882744545</v>
      </c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>
        <v>301.35166882744545</v>
      </c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</row>
    <row r="23" spans="1:212" x14ac:dyDescent="0.35">
      <c r="A23" s="32" t="s">
        <v>284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>
        <v>158.54630003904253</v>
      </c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>
        <v>158.54630003904253</v>
      </c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</row>
    <row r="24" spans="1:212" x14ac:dyDescent="0.35">
      <c r="A24" s="32" t="s">
        <v>286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>
        <v>7.443994259209477</v>
      </c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>
        <v>7.443994259209477</v>
      </c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</row>
    <row r="25" spans="1:212" x14ac:dyDescent="0.35">
      <c r="A25" s="32" t="s">
        <v>287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>
        <v>202.85396080440913</v>
      </c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>
        <v>202.85396080440913</v>
      </c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</row>
    <row r="26" spans="1:212" x14ac:dyDescent="0.35">
      <c r="A26" s="32" t="s">
        <v>285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>
        <v>16.655968705150141</v>
      </c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>
        <v>16.655968705150141</v>
      </c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</row>
    <row r="27" spans="1:212" x14ac:dyDescent="0.35">
      <c r="A27" s="32" t="s">
        <v>154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>
        <v>584.51890467335318</v>
      </c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>
        <v>584.51890467335318</v>
      </c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</row>
    <row r="28" spans="1:212" x14ac:dyDescent="0.35">
      <c r="A28" s="32" t="s">
        <v>678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>
        <v>334.34195777858054</v>
      </c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>
        <v>1.2761444943829876</v>
      </c>
      <c r="DB28" s="31">
        <v>4.6227171953020347</v>
      </c>
      <c r="DC28" s="31">
        <v>9.7417226580555969</v>
      </c>
      <c r="DD28" s="31">
        <v>14.193873304531111</v>
      </c>
      <c r="DE28" s="31">
        <v>20.060219333755825</v>
      </c>
      <c r="DF28" s="31"/>
      <c r="DG28" s="31"/>
      <c r="DH28" s="31"/>
      <c r="DI28" s="31"/>
      <c r="DJ28" s="31"/>
      <c r="DK28" s="31">
        <v>1.1066192828891204E-3</v>
      </c>
      <c r="DL28" s="31">
        <v>0.11586350501128655</v>
      </c>
      <c r="DM28" s="31">
        <v>8.0437460667487623E-2</v>
      </c>
      <c r="DN28" s="31">
        <v>0.66150582935675417</v>
      </c>
      <c r="DO28" s="31">
        <v>2.9421102025826436</v>
      </c>
      <c r="DP28" s="31"/>
      <c r="DQ28" s="31"/>
      <c r="DR28" s="31"/>
      <c r="DS28" s="31"/>
      <c r="DT28" s="31"/>
      <c r="DU28" s="31"/>
      <c r="DV28" s="31">
        <v>388.03765838150917</v>
      </c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</row>
    <row r="29" spans="1:212" x14ac:dyDescent="0.35">
      <c r="A29" s="32" t="s">
        <v>679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>
        <v>380.4920370322215</v>
      </c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>
        <v>380.4920370322215</v>
      </c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</row>
    <row r="30" spans="1:212" x14ac:dyDescent="0.35">
      <c r="A30" s="32" t="s">
        <v>155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>
        <v>117.31781335151261</v>
      </c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>
        <v>117.31781335151261</v>
      </c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</row>
    <row r="31" spans="1:212" x14ac:dyDescent="0.35">
      <c r="A31" s="32" t="s">
        <v>156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>
        <v>62.909419045733472</v>
      </c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>
        <v>62.909419045733472</v>
      </c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</row>
    <row r="32" spans="1:212" x14ac:dyDescent="0.35">
      <c r="A32" s="32" t="s">
        <v>288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>
        <v>13.263282308203467</v>
      </c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>
        <v>13.263282308203467</v>
      </c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</row>
    <row r="33" spans="1:212" x14ac:dyDescent="0.35">
      <c r="A33" s="32" t="s">
        <v>157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>
        <v>72.536657426567402</v>
      </c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>
        <v>72.536657426567402</v>
      </c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</row>
    <row r="34" spans="1:212" x14ac:dyDescent="0.35">
      <c r="A34" s="32" t="s">
        <v>158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>
        <v>251.36521136015659</v>
      </c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>
        <v>251.36521136015659</v>
      </c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</row>
    <row r="35" spans="1:212" x14ac:dyDescent="0.35">
      <c r="A35" s="32" t="s">
        <v>159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>
        <v>19.776890075674856</v>
      </c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>
        <v>19.776890075674856</v>
      </c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</row>
    <row r="36" spans="1:212" x14ac:dyDescent="0.35">
      <c r="A36" s="32" t="s">
        <v>160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>
        <v>36.543367340308293</v>
      </c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>
        <v>36.543367340308293</v>
      </c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</row>
    <row r="37" spans="1:212" x14ac:dyDescent="0.35">
      <c r="A37" s="32" t="s">
        <v>161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>
        <v>15.150138481813975</v>
      </c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>
        <v>15.150138481813975</v>
      </c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</row>
    <row r="38" spans="1:212" x14ac:dyDescent="0.35">
      <c r="A38" s="32" t="s">
        <v>162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>
        <v>80.204478902261457</v>
      </c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>
        <v>80.204478902261457</v>
      </c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</row>
    <row r="39" spans="1:212" x14ac:dyDescent="0.35">
      <c r="A39" s="32" t="s">
        <v>163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>
        <v>247.64856120168673</v>
      </c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>
        <v>247.64856120168673</v>
      </c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</row>
    <row r="40" spans="1:212" x14ac:dyDescent="0.35">
      <c r="A40" s="32" t="s">
        <v>164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>
        <v>169.23692584358619</v>
      </c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>
        <v>169.23692584358619</v>
      </c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</row>
    <row r="41" spans="1:212" x14ac:dyDescent="0.35">
      <c r="A41" s="32" t="s">
        <v>165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>
        <v>1630.8608792914836</v>
      </c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>
        <v>1630.8608792914836</v>
      </c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</row>
    <row r="42" spans="1:212" x14ac:dyDescent="0.35">
      <c r="A42" s="32" t="s">
        <v>166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>
        <v>1701.6616256002294</v>
      </c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>
        <v>1701.6616256002294</v>
      </c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</row>
    <row r="43" spans="1:212" x14ac:dyDescent="0.35">
      <c r="A43" s="32" t="s">
        <v>167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>
        <v>906.18057219622426</v>
      </c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>
        <v>906.18057219622426</v>
      </c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</row>
    <row r="44" spans="1:212" x14ac:dyDescent="0.35">
      <c r="A44" s="32" t="s">
        <v>168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>
        <v>107.88205228486946</v>
      </c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>
        <v>107.88205228486946</v>
      </c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</row>
    <row r="45" spans="1:212" x14ac:dyDescent="0.35">
      <c r="A45" s="32" t="s">
        <v>548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>
        <v>172.78032148328808</v>
      </c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>
        <v>172.78032148328808</v>
      </c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</row>
    <row r="46" spans="1:212" x14ac:dyDescent="0.35">
      <c r="A46" s="32" t="s">
        <v>169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>
        <v>680.75717859778308</v>
      </c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>
        <v>680.75717859778308</v>
      </c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</row>
    <row r="47" spans="1:212" x14ac:dyDescent="0.35">
      <c r="A47" s="32" t="s">
        <v>170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>
        <v>687.96236306053743</v>
      </c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>
        <v>687.96236306053743</v>
      </c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</row>
    <row r="48" spans="1:212" x14ac:dyDescent="0.35">
      <c r="A48" s="32" t="s">
        <v>171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>
        <v>796.09882753416468</v>
      </c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>
        <v>796.09882753416468</v>
      </c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</row>
    <row r="49" spans="1:212" x14ac:dyDescent="0.35">
      <c r="A49" s="32" t="s">
        <v>172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>
        <v>360.2718024742698</v>
      </c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>
        <v>360.2718024742698</v>
      </c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</row>
    <row r="50" spans="1:212" x14ac:dyDescent="0.35">
      <c r="A50" s="32" t="s">
        <v>173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>
        <v>391.21043965309644</v>
      </c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>
        <v>391.21043965309644</v>
      </c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</row>
    <row r="51" spans="1:212" x14ac:dyDescent="0.35">
      <c r="A51" s="32" t="s">
        <v>174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>
        <v>628.68816715290893</v>
      </c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>
        <v>628.68816715290893</v>
      </c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</row>
    <row r="52" spans="1:212" x14ac:dyDescent="0.35">
      <c r="A52" s="32" t="s">
        <v>175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>
        <v>913.36069636812294</v>
      </c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>
        <v>913.36069636812294</v>
      </c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</row>
    <row r="53" spans="1:212" x14ac:dyDescent="0.35">
      <c r="A53" s="32" t="s">
        <v>176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>
        <v>222.14128285725693</v>
      </c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>
        <v>222.14128285725693</v>
      </c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</row>
    <row r="54" spans="1:212" x14ac:dyDescent="0.35">
      <c r="A54" s="32" t="s">
        <v>680</v>
      </c>
      <c r="B54" s="31">
        <v>104.64594739266454</v>
      </c>
      <c r="C54" s="31"/>
      <c r="D54" s="31"/>
      <c r="E54" s="31"/>
      <c r="F54" s="31"/>
      <c r="G54" s="31"/>
      <c r="H54" s="31"/>
      <c r="I54" s="31"/>
      <c r="J54" s="31">
        <v>135.00960521395763</v>
      </c>
      <c r="K54" s="31"/>
      <c r="L54" s="31"/>
      <c r="M54" s="31">
        <v>28.69842249864476</v>
      </c>
      <c r="N54" s="31"/>
      <c r="O54" s="31"/>
      <c r="P54" s="31"/>
      <c r="Q54" s="31"/>
      <c r="R54" s="31"/>
      <c r="S54" s="31"/>
      <c r="T54" s="31"/>
      <c r="U54" s="31">
        <v>336.6281868670377</v>
      </c>
      <c r="V54" s="31">
        <v>13.768904161207978</v>
      </c>
      <c r="W54" s="31">
        <v>27.468181744479246</v>
      </c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>
        <v>3.8019029943927867E-3</v>
      </c>
      <c r="AK54" s="31"/>
      <c r="AL54" s="31"/>
      <c r="AM54" s="31">
        <v>6.5672281556345551</v>
      </c>
      <c r="AN54" s="31"/>
      <c r="AO54" s="31"/>
      <c r="AP54" s="31"/>
      <c r="AQ54" s="31"/>
      <c r="AR54" s="31">
        <v>29.528004627677497</v>
      </c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>
        <v>9.4518883653751828</v>
      </c>
      <c r="DB54" s="31">
        <v>14.436058321442351</v>
      </c>
      <c r="DC54" s="31">
        <v>20.620936349366456</v>
      </c>
      <c r="DD54" s="31">
        <v>26.930026393367516</v>
      </c>
      <c r="DE54" s="31">
        <v>33.028009878542328</v>
      </c>
      <c r="DF54" s="31"/>
      <c r="DG54" s="31"/>
      <c r="DH54" s="31">
        <v>0.15782146220139048</v>
      </c>
      <c r="DI54" s="31">
        <v>7.3144636266794072E-2</v>
      </c>
      <c r="DJ54" s="31">
        <v>7.3855782384622523E-2</v>
      </c>
      <c r="DK54" s="31">
        <v>4.4487300304852324E-2</v>
      </c>
      <c r="DL54" s="31">
        <v>9.9229024757629763E-2</v>
      </c>
      <c r="DM54" s="31">
        <v>0.59198112243930356</v>
      </c>
      <c r="DN54" s="31">
        <v>1.4707574093103066</v>
      </c>
      <c r="DO54" s="31">
        <v>4.011247000749453</v>
      </c>
      <c r="DP54" s="31"/>
      <c r="DQ54" s="31"/>
      <c r="DR54" s="31"/>
      <c r="DS54" s="31"/>
      <c r="DT54" s="31"/>
      <c r="DU54" s="31">
        <v>4.0744296742050548</v>
      </c>
      <c r="DV54" s="31">
        <v>797.38215528501144</v>
      </c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</row>
    <row r="55" spans="1:212" x14ac:dyDescent="0.35">
      <c r="A55" s="32" t="s">
        <v>177</v>
      </c>
      <c r="B55" s="31"/>
      <c r="C55" s="31">
        <v>21.200456288781393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>
        <v>2.2844962361615675</v>
      </c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>
        <v>3.8554306092633572E-3</v>
      </c>
      <c r="AK55" s="31"/>
      <c r="AL55" s="31"/>
      <c r="AM55" s="31">
        <v>3.9367191541869033</v>
      </c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>
        <v>5.5598561833540945</v>
      </c>
      <c r="DB55" s="31">
        <v>7.6090995280946574</v>
      </c>
      <c r="DC55" s="31">
        <v>12.352470913315265</v>
      </c>
      <c r="DD55" s="31">
        <v>14.934000589644867</v>
      </c>
      <c r="DE55" s="31">
        <v>20.387075451672846</v>
      </c>
      <c r="DF55" s="31">
        <v>0.28401447924840678</v>
      </c>
      <c r="DG55" s="31">
        <v>0.50052288679362289</v>
      </c>
      <c r="DH55" s="31">
        <v>0.5348947309442994</v>
      </c>
      <c r="DI55" s="31">
        <v>1.0898344522171259</v>
      </c>
      <c r="DJ55" s="31">
        <v>2.4016357693477359</v>
      </c>
      <c r="DK55" s="31">
        <v>0.2347310099704826</v>
      </c>
      <c r="DL55" s="31">
        <v>0.91566514359956974</v>
      </c>
      <c r="DM55" s="31">
        <v>2.288840226725624</v>
      </c>
      <c r="DN55" s="31">
        <v>4.942484583735256</v>
      </c>
      <c r="DO55" s="31">
        <v>20.131368221987547</v>
      </c>
      <c r="DP55" s="31"/>
      <c r="DQ55" s="31"/>
      <c r="DR55" s="31"/>
      <c r="DS55" s="31"/>
      <c r="DT55" s="31"/>
      <c r="DU55" s="31">
        <v>69.158517680039708</v>
      </c>
      <c r="DV55" s="31">
        <v>190.75053896043022</v>
      </c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</row>
    <row r="56" spans="1:212" x14ac:dyDescent="0.35">
      <c r="A56" s="32" t="s">
        <v>178</v>
      </c>
      <c r="B56" s="31"/>
      <c r="C56" s="31"/>
      <c r="D56" s="31">
        <v>18.376568794924946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>
        <v>3.5846875847849726E-3</v>
      </c>
      <c r="S56" s="31">
        <v>8.5776399497870123E-2</v>
      </c>
      <c r="T56" s="31"/>
      <c r="U56" s="31">
        <v>4.2523374682395257E-5</v>
      </c>
      <c r="V56" s="31">
        <v>5.7638801991575592</v>
      </c>
      <c r="W56" s="31">
        <v>5.190132508640513</v>
      </c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>
        <v>7.0824252459210368E-3</v>
      </c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>
        <v>0.86159657628924813</v>
      </c>
      <c r="DB56" s="31">
        <v>0.98152285312411558</v>
      </c>
      <c r="DC56" s="31">
        <v>1.8291439257937026</v>
      </c>
      <c r="DD56" s="31">
        <v>3.5050146705586465</v>
      </c>
      <c r="DE56" s="31">
        <v>4.8155546419323256</v>
      </c>
      <c r="DF56" s="31">
        <v>6.7330412940420872E-2</v>
      </c>
      <c r="DG56" s="31">
        <v>0.22601208558564923</v>
      </c>
      <c r="DH56" s="31">
        <v>7.8526104616825243E-2</v>
      </c>
      <c r="DI56" s="31">
        <v>0.2819548083748693</v>
      </c>
      <c r="DJ56" s="31">
        <v>0.78178908546099912</v>
      </c>
      <c r="DK56" s="31">
        <v>9.9749869394207373E-3</v>
      </c>
      <c r="DL56" s="31">
        <v>3.9744862108442816E-2</v>
      </c>
      <c r="DM56" s="31">
        <v>0.16173819673242404</v>
      </c>
      <c r="DN56" s="31">
        <v>0.76288805304284235</v>
      </c>
      <c r="DO56" s="31">
        <v>4.1145220918233125</v>
      </c>
      <c r="DP56" s="31"/>
      <c r="DQ56" s="31"/>
      <c r="DR56" s="31"/>
      <c r="DS56" s="31"/>
      <c r="DT56" s="31"/>
      <c r="DU56" s="31">
        <v>94.891078858286861</v>
      </c>
      <c r="DV56" s="31">
        <v>142.83545975203637</v>
      </c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</row>
    <row r="57" spans="1:212" x14ac:dyDescent="0.35">
      <c r="A57" s="32" t="s">
        <v>179</v>
      </c>
      <c r="B57" s="31"/>
      <c r="C57" s="31"/>
      <c r="D57" s="31"/>
      <c r="E57" s="31">
        <v>17.456133962135684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>
        <v>24.168048908893962</v>
      </c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>
        <v>4.532705572529399</v>
      </c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>
        <v>6.9201627203456209</v>
      </c>
      <c r="DB57" s="31">
        <v>9.9414043031713675</v>
      </c>
      <c r="DC57" s="31">
        <v>17.256104923827749</v>
      </c>
      <c r="DD57" s="31">
        <v>21.555647113413158</v>
      </c>
      <c r="DE57" s="31">
        <v>31.573073325849474</v>
      </c>
      <c r="DF57" s="31">
        <v>0.4130097717076594</v>
      </c>
      <c r="DG57" s="31">
        <v>0.71890685916025243</v>
      </c>
      <c r="DH57" s="31">
        <v>1.1186991551924146</v>
      </c>
      <c r="DI57" s="31">
        <v>1.6732064046158479</v>
      </c>
      <c r="DJ57" s="31">
        <v>4.5828004451874138</v>
      </c>
      <c r="DK57" s="31">
        <v>0.42844760644927465</v>
      </c>
      <c r="DL57" s="31">
        <v>1.2323838264578959</v>
      </c>
      <c r="DM57" s="31">
        <v>3.890345829600597</v>
      </c>
      <c r="DN57" s="31">
        <v>8.7159644199510424</v>
      </c>
      <c r="DO57" s="31">
        <v>35.709951718647446</v>
      </c>
      <c r="DP57" s="31"/>
      <c r="DQ57" s="31"/>
      <c r="DR57" s="31"/>
      <c r="DS57" s="31"/>
      <c r="DT57" s="31"/>
      <c r="DU57" s="31">
        <v>1.4173278680701985E-2</v>
      </c>
      <c r="DV57" s="31">
        <v>191.90117014581696</v>
      </c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</row>
    <row r="58" spans="1:212" x14ac:dyDescent="0.35">
      <c r="A58" s="32" t="s">
        <v>180</v>
      </c>
      <c r="B58" s="31"/>
      <c r="C58" s="31"/>
      <c r="D58" s="31"/>
      <c r="E58" s="31"/>
      <c r="F58" s="31">
        <v>3.5273803719044108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>
        <v>4.1805751772660546E-5</v>
      </c>
      <c r="S58" s="31">
        <v>1.0002178952027122E-3</v>
      </c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>
        <v>3.3433836477257271E-4</v>
      </c>
      <c r="AK58" s="31"/>
      <c r="AL58" s="31"/>
      <c r="AM58" s="31">
        <v>1.1347068162584364</v>
      </c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>
        <v>19.095826526231114</v>
      </c>
      <c r="DB58" s="31">
        <v>21.570687607441627</v>
      </c>
      <c r="DC58" s="31">
        <v>29.597975251408272</v>
      </c>
      <c r="DD58" s="31">
        <v>37.162077627969872</v>
      </c>
      <c r="DE58" s="31">
        <v>48.698996545376772</v>
      </c>
      <c r="DF58" s="31">
        <v>1.5842793348732775</v>
      </c>
      <c r="DG58" s="31">
        <v>1.7113813735747447</v>
      </c>
      <c r="DH58" s="31">
        <v>1.7125680593253407</v>
      </c>
      <c r="DI58" s="31">
        <v>3.5519799065878015</v>
      </c>
      <c r="DJ58" s="31">
        <v>7.4982402415406995</v>
      </c>
      <c r="DK58" s="31">
        <v>0.99223788443410488</v>
      </c>
      <c r="DL58" s="31">
        <v>2.79970228156628</v>
      </c>
      <c r="DM58" s="31">
        <v>6.6352446908082285</v>
      </c>
      <c r="DN58" s="31">
        <v>13.883716431006096</v>
      </c>
      <c r="DO58" s="31">
        <v>62.427713236648671</v>
      </c>
      <c r="DP58" s="31"/>
      <c r="DQ58" s="31"/>
      <c r="DR58" s="31"/>
      <c r="DS58" s="31"/>
      <c r="DT58" s="31"/>
      <c r="DU58" s="31">
        <v>1.1177647758817446</v>
      </c>
      <c r="DV58" s="31">
        <v>264.70385532484926</v>
      </c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</row>
    <row r="59" spans="1:212" x14ac:dyDescent="0.35">
      <c r="A59" s="32" t="s">
        <v>725</v>
      </c>
      <c r="B59" s="31"/>
      <c r="C59" s="31"/>
      <c r="D59" s="31"/>
      <c r="E59" s="31"/>
      <c r="F59" s="31"/>
      <c r="G59" s="31">
        <v>47.180433019983809</v>
      </c>
      <c r="H59" s="31"/>
      <c r="I59" s="31"/>
      <c r="J59" s="31"/>
      <c r="K59" s="31"/>
      <c r="L59" s="31">
        <v>3.5139944913841147E-3</v>
      </c>
      <c r="M59" s="31"/>
      <c r="N59" s="31"/>
      <c r="O59" s="31"/>
      <c r="P59" s="31"/>
      <c r="Q59" s="31"/>
      <c r="R59" s="31"/>
      <c r="S59" s="31"/>
      <c r="T59" s="31"/>
      <c r="U59" s="31"/>
      <c r="V59" s="31">
        <v>63.402665828072422</v>
      </c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>
        <v>1.2685761129780087</v>
      </c>
      <c r="DB59" s="31">
        <v>2.0964201060417897</v>
      </c>
      <c r="DC59" s="31">
        <v>3.3600055239030038</v>
      </c>
      <c r="DD59" s="31">
        <v>4.9062490157568206</v>
      </c>
      <c r="DE59" s="31">
        <v>6.4692771832035252</v>
      </c>
      <c r="DF59" s="31">
        <v>7.4237825866139695E-2</v>
      </c>
      <c r="DG59" s="31">
        <v>0.10550230777224415</v>
      </c>
      <c r="DH59" s="31">
        <v>0.16234327920931035</v>
      </c>
      <c r="DI59" s="31">
        <v>0.28730758808960466</v>
      </c>
      <c r="DJ59" s="31">
        <v>0.59667103420323775</v>
      </c>
      <c r="DK59" s="31">
        <v>3.1834416475170534E-3</v>
      </c>
      <c r="DL59" s="31">
        <v>0.18131101436323044</v>
      </c>
      <c r="DM59" s="31">
        <v>0.37970592258840596</v>
      </c>
      <c r="DN59" s="31">
        <v>0.79544789236123159</v>
      </c>
      <c r="DO59" s="31">
        <v>3.1581508133798755</v>
      </c>
      <c r="DP59" s="31"/>
      <c r="DQ59" s="31"/>
      <c r="DR59" s="31"/>
      <c r="DS59" s="31"/>
      <c r="DT59" s="31"/>
      <c r="DU59" s="31">
        <v>40.82670937004729</v>
      </c>
      <c r="DV59" s="31">
        <v>175.25771127395888</v>
      </c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</row>
    <row r="60" spans="1:212" x14ac:dyDescent="0.35">
      <c r="A60" s="32" t="s">
        <v>182</v>
      </c>
      <c r="B60" s="31"/>
      <c r="C60" s="31"/>
      <c r="D60" s="31"/>
      <c r="E60" s="31"/>
      <c r="F60" s="31"/>
      <c r="G60" s="31"/>
      <c r="H60" s="31">
        <v>48.409070285088006</v>
      </c>
      <c r="I60" s="31"/>
      <c r="J60" s="31"/>
      <c r="K60" s="31"/>
      <c r="L60" s="31"/>
      <c r="M60" s="31"/>
      <c r="N60" s="31"/>
      <c r="O60" s="31"/>
      <c r="P60" s="31"/>
      <c r="Q60" s="31"/>
      <c r="R60" s="31">
        <v>2.6548665630082981E-3</v>
      </c>
      <c r="S60" s="31">
        <v>6.353485778950356E-2</v>
      </c>
      <c r="T60" s="31"/>
      <c r="U60" s="31"/>
      <c r="V60" s="31"/>
      <c r="W60" s="31">
        <v>80.487950334186351</v>
      </c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>
        <v>3.3625339757746335E-2</v>
      </c>
      <c r="AT60" s="31">
        <v>0.32354167005830725</v>
      </c>
      <c r="AU60" s="31">
        <v>1.2403480304548638E-2</v>
      </c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>
        <v>2.3601675157522699E-2</v>
      </c>
      <c r="DB60" s="31">
        <v>1.3245752544096216E-2</v>
      </c>
      <c r="DC60" s="31">
        <v>1.4836749915767939E-2</v>
      </c>
      <c r="DD60" s="31">
        <v>5.7165077053000134E-2</v>
      </c>
      <c r="DE60" s="31">
        <v>1.0500209225507453</v>
      </c>
      <c r="DF60" s="31"/>
      <c r="DG60" s="31"/>
      <c r="DH60" s="31"/>
      <c r="DI60" s="31">
        <v>6.2314731441273884E-3</v>
      </c>
      <c r="DJ60" s="31">
        <v>1.7067610835421256</v>
      </c>
      <c r="DK60" s="31">
        <v>9.6742916859328116E-4</v>
      </c>
      <c r="DL60" s="31">
        <v>3.0095491833651658E-3</v>
      </c>
      <c r="DM60" s="31">
        <v>1.7737216734564607E-2</v>
      </c>
      <c r="DN60" s="31">
        <v>0.11223610784044667</v>
      </c>
      <c r="DO60" s="31">
        <v>4.0302095935981272</v>
      </c>
      <c r="DP60" s="31"/>
      <c r="DQ60" s="31"/>
      <c r="DR60" s="31"/>
      <c r="DS60" s="31"/>
      <c r="DT60" s="31"/>
      <c r="DU60" s="31">
        <v>137.08737650167754</v>
      </c>
      <c r="DV60" s="31">
        <v>273.45617996585753</v>
      </c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</row>
    <row r="61" spans="1:212" x14ac:dyDescent="0.35">
      <c r="A61" s="32" t="s">
        <v>181</v>
      </c>
      <c r="B61" s="31"/>
      <c r="C61" s="31"/>
      <c r="D61" s="31"/>
      <c r="E61" s="31"/>
      <c r="F61" s="31"/>
      <c r="G61" s="31"/>
      <c r="H61" s="31"/>
      <c r="I61" s="31">
        <v>4.1242900386447472</v>
      </c>
      <c r="J61" s="31"/>
      <c r="K61" s="31"/>
      <c r="L61" s="31"/>
      <c r="M61" s="31"/>
      <c r="N61" s="31"/>
      <c r="O61" s="31"/>
      <c r="P61" s="31">
        <v>4.2776080400370878E-3</v>
      </c>
      <c r="Q61" s="31">
        <v>1.647176953321134E-3</v>
      </c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>
        <v>3.6603566815810737E-3</v>
      </c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>
        <v>3.4216046762489314</v>
      </c>
      <c r="DB61" s="31">
        <v>4.4876461138113832</v>
      </c>
      <c r="DC61" s="31">
        <v>7.9930535441857415</v>
      </c>
      <c r="DD61" s="31">
        <v>11.026833514152028</v>
      </c>
      <c r="DE61" s="31">
        <v>19.706750332084617</v>
      </c>
      <c r="DF61" s="31">
        <v>0.23478604284802998</v>
      </c>
      <c r="DG61" s="31">
        <v>0.38080398696400403</v>
      </c>
      <c r="DH61" s="31">
        <v>0.41844142151394709</v>
      </c>
      <c r="DI61" s="31">
        <v>0.90956315253073294</v>
      </c>
      <c r="DJ61" s="31">
        <v>2.642867655394852</v>
      </c>
      <c r="DK61" s="31">
        <v>9.8068570377499886E-2</v>
      </c>
      <c r="DL61" s="31">
        <v>0.55295501838176553</v>
      </c>
      <c r="DM61" s="31">
        <v>1.5258339138877981</v>
      </c>
      <c r="DN61" s="31">
        <v>3.5669003591032209</v>
      </c>
      <c r="DO61" s="31">
        <v>25.343375048227426</v>
      </c>
      <c r="DP61" s="31"/>
      <c r="DQ61" s="31"/>
      <c r="DR61" s="31"/>
      <c r="DS61" s="31"/>
      <c r="DT61" s="31"/>
      <c r="DU61" s="31">
        <v>15.627884739166221</v>
      </c>
      <c r="DV61" s="31">
        <v>102.07124326919788</v>
      </c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</row>
    <row r="62" spans="1:212" x14ac:dyDescent="0.35">
      <c r="A62" s="32" t="s">
        <v>681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>
        <v>209.46757151229798</v>
      </c>
      <c r="Q62" s="31">
        <v>0.7941200643655415</v>
      </c>
      <c r="R62" s="31"/>
      <c r="S62" s="31"/>
      <c r="T62" s="31"/>
      <c r="U62" s="31">
        <v>9.9431323736925509E-2</v>
      </c>
      <c r="V62" s="31">
        <v>1.9857923363236776E-5</v>
      </c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>
        <v>0.56732260961439906</v>
      </c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>
        <v>1.4891141725787438</v>
      </c>
      <c r="DB62" s="31">
        <v>2.4682918924626556</v>
      </c>
      <c r="DC62" s="31">
        <v>5.6706408456700821</v>
      </c>
      <c r="DD62" s="31">
        <v>8.2130429342671931</v>
      </c>
      <c r="DE62" s="31">
        <v>14.741519323421276</v>
      </c>
      <c r="DF62" s="31">
        <v>9.1251895926773463E-2</v>
      </c>
      <c r="DG62" s="31">
        <v>0.18876919777647799</v>
      </c>
      <c r="DH62" s="31">
        <v>0.24639608525553455</v>
      </c>
      <c r="DI62" s="31">
        <v>0.9733743648140194</v>
      </c>
      <c r="DJ62" s="31">
        <v>2.7750112413633774</v>
      </c>
      <c r="DK62" s="31">
        <v>0.10685371182647387</v>
      </c>
      <c r="DL62" s="31">
        <v>0.56730659592627786</v>
      </c>
      <c r="DM62" s="31">
        <v>1.3010133593602606</v>
      </c>
      <c r="DN62" s="31">
        <v>4.2323607680690092</v>
      </c>
      <c r="DO62" s="31">
        <v>23.049928205236998</v>
      </c>
      <c r="DP62" s="31"/>
      <c r="DQ62" s="31"/>
      <c r="DR62" s="31"/>
      <c r="DS62" s="31"/>
      <c r="DT62" s="31">
        <v>1.6819005252304327</v>
      </c>
      <c r="DU62" s="31">
        <v>0.46835270876446289</v>
      </c>
      <c r="DV62" s="31">
        <v>279.1935931958883</v>
      </c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</row>
    <row r="63" spans="1:212" x14ac:dyDescent="0.35">
      <c r="A63" s="32" t="s">
        <v>289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>
        <v>2.6112938863557913</v>
      </c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>
        <v>1.1300409269977711</v>
      </c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>
        <v>6.0573621736846314E-2</v>
      </c>
      <c r="DB63" s="31">
        <v>0.30495918541677913</v>
      </c>
      <c r="DC63" s="31">
        <v>0.52315584279293847</v>
      </c>
      <c r="DD63" s="31">
        <v>2.0424825267072793</v>
      </c>
      <c r="DE63" s="31">
        <v>5.5159526073300462</v>
      </c>
      <c r="DF63" s="31">
        <v>5.1083496610218153E-3</v>
      </c>
      <c r="DG63" s="31">
        <v>1.3671823860251498E-2</v>
      </c>
      <c r="DH63" s="31">
        <v>1.8013852577257267E-2</v>
      </c>
      <c r="DI63" s="31">
        <v>0.25872091293707594</v>
      </c>
      <c r="DJ63" s="31">
        <v>0.99560913609489332</v>
      </c>
      <c r="DK63" s="31">
        <v>1.8629472742659504E-2</v>
      </c>
      <c r="DL63" s="31">
        <v>0.11931937223631145</v>
      </c>
      <c r="DM63" s="31">
        <v>0.44083783733668097</v>
      </c>
      <c r="DN63" s="31">
        <v>0.91420427810477667</v>
      </c>
      <c r="DO63" s="31">
        <v>11.07558350802244</v>
      </c>
      <c r="DP63" s="31"/>
      <c r="DQ63" s="31"/>
      <c r="DR63" s="31"/>
      <c r="DS63" s="31"/>
      <c r="DT63" s="31"/>
      <c r="DU63" s="31"/>
      <c r="DV63" s="31">
        <v>26.048157140910817</v>
      </c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</row>
    <row r="64" spans="1:212" x14ac:dyDescent="0.35">
      <c r="A64" s="32" t="s">
        <v>183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>
        <v>7.9031739491277536E-2</v>
      </c>
      <c r="Y64" s="31">
        <v>7.2637417158496653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>
        <v>1.2246148659712129E-5</v>
      </c>
      <c r="AK64" s="31"/>
      <c r="AL64" s="31"/>
      <c r="AM64" s="31">
        <v>0.8456399026910677</v>
      </c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>
        <v>1.0148704229740511</v>
      </c>
      <c r="DB64" s="31">
        <v>1.235433022447668</v>
      </c>
      <c r="DC64" s="31">
        <v>1.9274372787918503</v>
      </c>
      <c r="DD64" s="31">
        <v>2.2495332383871327</v>
      </c>
      <c r="DE64" s="31">
        <v>3.2215352933442474</v>
      </c>
      <c r="DF64" s="31">
        <v>5.8332031517795209E-2</v>
      </c>
      <c r="DG64" s="31">
        <v>7.7340306957116828E-2</v>
      </c>
      <c r="DH64" s="31">
        <v>7.1044592647765581E-2</v>
      </c>
      <c r="DI64" s="31">
        <v>0.14248983036346705</v>
      </c>
      <c r="DJ64" s="31">
        <v>0.26533396017866817</v>
      </c>
      <c r="DK64" s="31">
        <v>2.9871010674373456E-2</v>
      </c>
      <c r="DL64" s="31">
        <v>9.4022062411122764E-2</v>
      </c>
      <c r="DM64" s="31">
        <v>0.24126497061572577</v>
      </c>
      <c r="DN64" s="31">
        <v>0.47161601276811754</v>
      </c>
      <c r="DO64" s="31">
        <v>1.9316894083712353</v>
      </c>
      <c r="DP64" s="31"/>
      <c r="DQ64" s="31"/>
      <c r="DR64" s="31"/>
      <c r="DS64" s="31"/>
      <c r="DT64" s="31"/>
      <c r="DU64" s="31">
        <v>0.10324153462902778</v>
      </c>
      <c r="DV64" s="31">
        <v>21.323480581260036</v>
      </c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</row>
    <row r="65" spans="1:212" x14ac:dyDescent="0.35">
      <c r="A65" s="32" t="s">
        <v>184</v>
      </c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>
        <v>33.080844860914716</v>
      </c>
      <c r="N65" s="31"/>
      <c r="O65" s="31"/>
      <c r="P65" s="31"/>
      <c r="Q65" s="31">
        <v>83.780749292835225</v>
      </c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>
        <v>2.2611991139199707</v>
      </c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>
        <v>1.5775454076847824</v>
      </c>
      <c r="DB65" s="31">
        <v>3.2646115676512593</v>
      </c>
      <c r="DC65" s="31">
        <v>4.9660068664198311</v>
      </c>
      <c r="DD65" s="31">
        <v>9.2156080374424718</v>
      </c>
      <c r="DE65" s="31">
        <v>18.109644519595676</v>
      </c>
      <c r="DF65" s="31">
        <v>0.30237967370389346</v>
      </c>
      <c r="DG65" s="31">
        <v>0.34751715885599083</v>
      </c>
      <c r="DH65" s="31">
        <v>0.742544835546739</v>
      </c>
      <c r="DI65" s="31">
        <v>1.091286332160339</v>
      </c>
      <c r="DJ65" s="31">
        <v>3.8581319357332435</v>
      </c>
      <c r="DK65" s="31">
        <v>6.5324698507430834E-2</v>
      </c>
      <c r="DL65" s="31">
        <v>0.46282446427284524</v>
      </c>
      <c r="DM65" s="31">
        <v>0.82562256118677535</v>
      </c>
      <c r="DN65" s="31">
        <v>2.9358832848151142</v>
      </c>
      <c r="DO65" s="31">
        <v>23.134019859112879</v>
      </c>
      <c r="DP65" s="31"/>
      <c r="DQ65" s="31"/>
      <c r="DR65" s="31"/>
      <c r="DS65" s="31"/>
      <c r="DT65" s="31"/>
      <c r="DU65" s="31">
        <v>0.62524802292575288</v>
      </c>
      <c r="DV65" s="31">
        <v>190.64699249328487</v>
      </c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</row>
    <row r="66" spans="1:212" x14ac:dyDescent="0.35">
      <c r="A66" s="32" t="s">
        <v>682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>
        <v>2.161754030390991E-3</v>
      </c>
      <c r="S66" s="31">
        <v>5.1740079481111971E-2</v>
      </c>
      <c r="T66" s="31"/>
      <c r="U66" s="31"/>
      <c r="V66" s="31">
        <v>2.8223936513602607E-3</v>
      </c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>
        <v>61.362355475255811</v>
      </c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>
        <v>61.419079702418671</v>
      </c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</row>
    <row r="67" spans="1:212" x14ac:dyDescent="0.35">
      <c r="A67" s="32" t="s">
        <v>683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>
        <v>24.260322025190135</v>
      </c>
      <c r="O67" s="31">
        <v>6.4682468394596295</v>
      </c>
      <c r="P67" s="31"/>
      <c r="Q67" s="31"/>
      <c r="R67" s="31"/>
      <c r="S67" s="31"/>
      <c r="T67" s="31"/>
      <c r="U67" s="31"/>
      <c r="V67" s="31">
        <v>0.1585050627361323</v>
      </c>
      <c r="W67" s="31"/>
      <c r="X67" s="31">
        <v>3.2943261092230551E-2</v>
      </c>
      <c r="Y67" s="31"/>
      <c r="Z67" s="31"/>
      <c r="AA67" s="31"/>
      <c r="AB67" s="31"/>
      <c r="AC67" s="31"/>
      <c r="AD67" s="31">
        <v>2.6122302168016378</v>
      </c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>
        <v>18.169573742847948</v>
      </c>
      <c r="DV67" s="31">
        <v>51.701821148127721</v>
      </c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</row>
    <row r="68" spans="1:212" x14ac:dyDescent="0.35">
      <c r="A68" s="32" t="s">
        <v>185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>
        <v>11.183563901875271</v>
      </c>
      <c r="Q68" s="31"/>
      <c r="R68" s="31"/>
      <c r="S68" s="31"/>
      <c r="T68" s="31"/>
      <c r="U68" s="31"/>
      <c r="V68" s="31"/>
      <c r="W68" s="31"/>
      <c r="X68" s="31">
        <v>0.77775589204755879</v>
      </c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>
        <v>3.9557798303209131</v>
      </c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>
        <v>3.2526125094735097</v>
      </c>
      <c r="DB68" s="31">
        <v>9.996433422711684</v>
      </c>
      <c r="DC68" s="31">
        <v>21.417435932836455</v>
      </c>
      <c r="DD68" s="31">
        <v>36.094383832997764</v>
      </c>
      <c r="DE68" s="31">
        <v>96.68357519964205</v>
      </c>
      <c r="DF68" s="31">
        <v>0.28997287969278235</v>
      </c>
      <c r="DG68" s="31">
        <v>1.0524675983303775</v>
      </c>
      <c r="DH68" s="31">
        <v>1.7808009537986673</v>
      </c>
      <c r="DI68" s="31">
        <v>3.1330229491407535</v>
      </c>
      <c r="DJ68" s="31">
        <v>16.356244262263619</v>
      </c>
      <c r="DK68" s="31">
        <v>0.18300376272028887</v>
      </c>
      <c r="DL68" s="31">
        <v>1.2575781589299655</v>
      </c>
      <c r="DM68" s="31">
        <v>3.1411348829632244</v>
      </c>
      <c r="DN68" s="31">
        <v>15.259144279224417</v>
      </c>
      <c r="DO68" s="31">
        <v>140.16218566501502</v>
      </c>
      <c r="DP68" s="31"/>
      <c r="DQ68" s="31"/>
      <c r="DR68" s="31"/>
      <c r="DS68" s="31"/>
      <c r="DT68" s="31"/>
      <c r="DU68" s="31">
        <v>0.12430035135350304</v>
      </c>
      <c r="DV68" s="31">
        <v>366.10139626533783</v>
      </c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</row>
    <row r="69" spans="1:212" x14ac:dyDescent="0.35">
      <c r="A69" s="32" t="s">
        <v>290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>
        <v>10.538102459053173</v>
      </c>
      <c r="DB69" s="31">
        <v>13.705524493443455</v>
      </c>
      <c r="DC69" s="31">
        <v>22.982466329808243</v>
      </c>
      <c r="DD69" s="31">
        <v>32.267527219766073</v>
      </c>
      <c r="DE69" s="31">
        <v>48.617702111605759</v>
      </c>
      <c r="DF69" s="31">
        <v>0.80016569804315618</v>
      </c>
      <c r="DG69" s="31">
        <v>1.1416250141106656</v>
      </c>
      <c r="DH69" s="31">
        <v>1.3233745245206845</v>
      </c>
      <c r="DI69" s="31">
        <v>2.3458752111793224</v>
      </c>
      <c r="DJ69" s="31">
        <v>4.9477932474613935</v>
      </c>
      <c r="DK69" s="31">
        <v>0.77383867612593704</v>
      </c>
      <c r="DL69" s="31">
        <v>1.9450164712049511</v>
      </c>
      <c r="DM69" s="31">
        <v>5.2344277988767516</v>
      </c>
      <c r="DN69" s="31">
        <v>10.961697870282698</v>
      </c>
      <c r="DO69" s="31">
        <v>49.564839165880471</v>
      </c>
      <c r="DP69" s="31"/>
      <c r="DQ69" s="31"/>
      <c r="DR69" s="31"/>
      <c r="DS69" s="31"/>
      <c r="DT69" s="31"/>
      <c r="DU69" s="31">
        <v>7.8246658882090953E-2</v>
      </c>
      <c r="DV69" s="31">
        <v>207.22822295024483</v>
      </c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</row>
    <row r="70" spans="1:212" x14ac:dyDescent="0.35">
      <c r="A70" s="32" t="s">
        <v>292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>
        <v>1.0431330784166018E-4</v>
      </c>
      <c r="S70" s="31">
        <v>2.4958910474722606E-3</v>
      </c>
      <c r="T70" s="31"/>
      <c r="U70" s="31"/>
      <c r="V70" s="31">
        <v>4.3908501123779121E-2</v>
      </c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>
        <v>1.1683558458060999</v>
      </c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>
        <v>0.23728767250613644</v>
      </c>
      <c r="DB70" s="31">
        <v>0.3270756646207722</v>
      </c>
      <c r="DC70" s="31">
        <v>0.20863638372127435</v>
      </c>
      <c r="DD70" s="31">
        <v>0.3341233522024093</v>
      </c>
      <c r="DE70" s="31">
        <v>2.4105892764848607</v>
      </c>
      <c r="DF70" s="31">
        <v>1.4157642404865571E-2</v>
      </c>
      <c r="DG70" s="31">
        <v>1.5260162526839184E-2</v>
      </c>
      <c r="DH70" s="31">
        <v>3.5486148795508488E-2</v>
      </c>
      <c r="DI70" s="31">
        <v>2.8796382618404007E-2</v>
      </c>
      <c r="DJ70" s="31">
        <v>0.96580591228397317</v>
      </c>
      <c r="DK70" s="31">
        <v>1.7141739592672421E-2</v>
      </c>
      <c r="DL70" s="31">
        <v>1.6489945960282568E-2</v>
      </c>
      <c r="DM70" s="31">
        <v>1.216676719157728E-2</v>
      </c>
      <c r="DN70" s="31">
        <v>6.5370063090840091E-2</v>
      </c>
      <c r="DO70" s="31">
        <v>1.730308764427583</v>
      </c>
      <c r="DP70" s="31"/>
      <c r="DQ70" s="31"/>
      <c r="DR70" s="31"/>
      <c r="DS70" s="31"/>
      <c r="DT70" s="31"/>
      <c r="DU70" s="31">
        <v>5.6615942198136295</v>
      </c>
      <c r="DV70" s="31">
        <v>13.295154649526822</v>
      </c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</row>
    <row r="71" spans="1:212" x14ac:dyDescent="0.35">
      <c r="A71" s="32" t="s">
        <v>293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>
        <v>5.525180180351745E-3</v>
      </c>
      <c r="S71" s="31">
        <v>0.13220496771944545</v>
      </c>
      <c r="T71" s="31"/>
      <c r="U71" s="31"/>
      <c r="V71" s="31">
        <v>0.34174806905150745</v>
      </c>
      <c r="W71" s="31"/>
      <c r="X71" s="31"/>
      <c r="Y71" s="31"/>
      <c r="Z71" s="31">
        <v>8.2549347670259934</v>
      </c>
      <c r="AA71" s="31"/>
      <c r="AB71" s="31"/>
      <c r="AC71" s="31"/>
      <c r="AD71" s="31"/>
      <c r="AE71" s="31"/>
      <c r="AF71" s="31"/>
      <c r="AG71" s="31"/>
      <c r="AH71" s="31"/>
      <c r="AI71" s="31"/>
      <c r="AJ71" s="31">
        <v>5.5664506877862912E-3</v>
      </c>
      <c r="AK71" s="31"/>
      <c r="AL71" s="31"/>
      <c r="AM71" s="31">
        <v>0.56772534255658691</v>
      </c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>
        <v>3.4078448589133457</v>
      </c>
      <c r="DB71" s="31">
        <v>6.6239768900407805</v>
      </c>
      <c r="DC71" s="31">
        <v>11.686909920931967</v>
      </c>
      <c r="DD71" s="31">
        <v>18.079478136405186</v>
      </c>
      <c r="DE71" s="31">
        <v>41.18188768699909</v>
      </c>
      <c r="DF71" s="31">
        <v>0.34445865473946441</v>
      </c>
      <c r="DG71" s="31">
        <v>0.41679510773894934</v>
      </c>
      <c r="DH71" s="31">
        <v>0.78160039260371972</v>
      </c>
      <c r="DI71" s="31">
        <v>1.4632951859584593</v>
      </c>
      <c r="DJ71" s="31">
        <v>23.745713972765348</v>
      </c>
      <c r="DK71" s="31">
        <v>0.25523138810494461</v>
      </c>
      <c r="DL71" s="31">
        <v>1.0199751951610114</v>
      </c>
      <c r="DM71" s="31">
        <v>3.0788861038934878</v>
      </c>
      <c r="DN71" s="31">
        <v>7.3463392574331747</v>
      </c>
      <c r="DO71" s="31">
        <v>171.98465411777454</v>
      </c>
      <c r="DP71" s="31"/>
      <c r="DQ71" s="31"/>
      <c r="DR71" s="31"/>
      <c r="DS71" s="31"/>
      <c r="DT71" s="31"/>
      <c r="DU71" s="31">
        <v>0.92601773517656849</v>
      </c>
      <c r="DV71" s="31">
        <v>301.65076938186172</v>
      </c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</row>
    <row r="72" spans="1:212" x14ac:dyDescent="0.35">
      <c r="A72" s="32" t="s">
        <v>291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>
        <v>6.5945615752341568E-3</v>
      </c>
      <c r="U72" s="31">
        <v>1.1676691192462747E-4</v>
      </c>
      <c r="V72" s="31">
        <v>1.3738087528939484</v>
      </c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>
        <v>4.1726151882827427</v>
      </c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>
        <v>5.010912319599075E-2</v>
      </c>
      <c r="DB72" s="31">
        <v>0.39566730512819137</v>
      </c>
      <c r="DC72" s="31">
        <v>0.76349970239410669</v>
      </c>
      <c r="DD72" s="31">
        <v>2.0620650212288072</v>
      </c>
      <c r="DE72" s="31">
        <v>5.9950542466067231</v>
      </c>
      <c r="DF72" s="31">
        <v>2.388467206553431E-2</v>
      </c>
      <c r="DG72" s="31">
        <v>4.4954853994971945E-3</v>
      </c>
      <c r="DH72" s="31">
        <v>7.9961655796996295E-2</v>
      </c>
      <c r="DI72" s="31">
        <v>0.18347938040431921</v>
      </c>
      <c r="DJ72" s="31">
        <v>1.3955732625569757</v>
      </c>
      <c r="DK72" s="31">
        <v>0.10095266602195768</v>
      </c>
      <c r="DL72" s="31">
        <v>3.4621334357586221E-2</v>
      </c>
      <c r="DM72" s="31">
        <v>0.25340008407565145</v>
      </c>
      <c r="DN72" s="31">
        <v>0.99379719279104384</v>
      </c>
      <c r="DO72" s="31">
        <v>10.16824925330482</v>
      </c>
      <c r="DP72" s="31"/>
      <c r="DQ72" s="31"/>
      <c r="DR72" s="31"/>
      <c r="DS72" s="31"/>
      <c r="DT72" s="31"/>
      <c r="DU72" s="31">
        <v>0.1387181534368789</v>
      </c>
      <c r="DV72" s="31">
        <v>28.196663808428927</v>
      </c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</row>
    <row r="73" spans="1:212" x14ac:dyDescent="0.35">
      <c r="A73" s="32" t="s">
        <v>186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>
        <v>0.4981749265382206</v>
      </c>
      <c r="N73" s="31"/>
      <c r="O73" s="31"/>
      <c r="P73" s="31"/>
      <c r="Q73" s="31"/>
      <c r="R73" s="31"/>
      <c r="S73" s="31"/>
      <c r="T73" s="31"/>
      <c r="U73" s="31">
        <v>31.561346312202527</v>
      </c>
      <c r="V73" s="31">
        <v>60.804707435110316</v>
      </c>
      <c r="W73" s="31">
        <v>24.789772480338272</v>
      </c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>
        <v>2.2055375839227594E-4</v>
      </c>
      <c r="AK73" s="31"/>
      <c r="AL73" s="31"/>
      <c r="AM73" s="31">
        <v>4.8562165197081866</v>
      </c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>
        <v>50.301184908400344</v>
      </c>
      <c r="DB73" s="31">
        <v>54.638784099009335</v>
      </c>
      <c r="DC73" s="31">
        <v>69.94247870596098</v>
      </c>
      <c r="DD73" s="31">
        <v>74.652601502962142</v>
      </c>
      <c r="DE73" s="31">
        <v>89.707607936039651</v>
      </c>
      <c r="DF73" s="31">
        <v>3.8669752517483635</v>
      </c>
      <c r="DG73" s="31">
        <v>4.0642792125868663</v>
      </c>
      <c r="DH73" s="31">
        <v>5.2447279143768144</v>
      </c>
      <c r="DI73" s="31">
        <v>8.2160444933882957</v>
      </c>
      <c r="DJ73" s="31">
        <v>17.667662797557067</v>
      </c>
      <c r="DK73" s="31">
        <v>2.1878396262315687</v>
      </c>
      <c r="DL73" s="31">
        <v>6.8477268987799524</v>
      </c>
      <c r="DM73" s="31">
        <v>15.75338681635869</v>
      </c>
      <c r="DN73" s="31">
        <v>29.738233951305784</v>
      </c>
      <c r="DO73" s="31">
        <v>140.53300871681472</v>
      </c>
      <c r="DP73" s="31"/>
      <c r="DQ73" s="31"/>
      <c r="DR73" s="31"/>
      <c r="DS73" s="31"/>
      <c r="DT73" s="31"/>
      <c r="DU73" s="31">
        <v>4.9231527388288541</v>
      </c>
      <c r="DV73" s="31">
        <v>700.79613379800549</v>
      </c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</row>
    <row r="74" spans="1:212" x14ac:dyDescent="0.35">
      <c r="A74" s="32" t="s">
        <v>684</v>
      </c>
      <c r="B74" s="31"/>
      <c r="C74" s="31"/>
      <c r="D74" s="31"/>
      <c r="E74" s="31"/>
      <c r="F74" s="31"/>
      <c r="G74" s="31">
        <v>2.8862947180498144E-2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>
        <v>3.9113786543597202E-4</v>
      </c>
      <c r="S74" s="31">
        <v>9.3582334379798387E-3</v>
      </c>
      <c r="T74" s="31">
        <v>8.7417819088123316E-5</v>
      </c>
      <c r="U74" s="31">
        <v>1.2629449697628132E-3</v>
      </c>
      <c r="V74" s="31">
        <v>25.758800394147379</v>
      </c>
      <c r="W74" s="31">
        <v>18.423662309723191</v>
      </c>
      <c r="X74" s="31"/>
      <c r="Y74" s="31"/>
      <c r="Z74" s="31">
        <v>2.4439887827081971E-5</v>
      </c>
      <c r="AA74" s="31"/>
      <c r="AB74" s="31">
        <v>2.8590874589507918E-4</v>
      </c>
      <c r="AC74" s="31"/>
      <c r="AD74" s="31"/>
      <c r="AE74" s="31"/>
      <c r="AF74" s="31"/>
      <c r="AG74" s="31"/>
      <c r="AH74" s="31"/>
      <c r="AI74" s="31"/>
      <c r="AJ74" s="31">
        <v>1.4576422647965343E-2</v>
      </c>
      <c r="AK74" s="31">
        <v>19.698274818992193</v>
      </c>
      <c r="AL74" s="31"/>
      <c r="AM74" s="31">
        <v>20.626305947458302</v>
      </c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>
        <v>8.7908457583123205</v>
      </c>
      <c r="DB74" s="31">
        <v>14.097708209669758</v>
      </c>
      <c r="DC74" s="31">
        <v>24.016984871992687</v>
      </c>
      <c r="DD74" s="31">
        <v>42.321773823164193</v>
      </c>
      <c r="DE74" s="31">
        <v>83.645609367181621</v>
      </c>
      <c r="DF74" s="31">
        <v>0.82375464791670971</v>
      </c>
      <c r="DG74" s="31">
        <v>0.91759074402686158</v>
      </c>
      <c r="DH74" s="31">
        <v>1.6243901814992143</v>
      </c>
      <c r="DI74" s="31">
        <v>3.7870227305859889</v>
      </c>
      <c r="DJ74" s="31">
        <v>15.146439082524335</v>
      </c>
      <c r="DK74" s="31">
        <v>0.54547105866996493</v>
      </c>
      <c r="DL74" s="31">
        <v>2.3568858803759594</v>
      </c>
      <c r="DM74" s="31">
        <v>7.1050478009692108</v>
      </c>
      <c r="DN74" s="31">
        <v>19.000321915729423</v>
      </c>
      <c r="DO74" s="31">
        <v>154.69289982190605</v>
      </c>
      <c r="DP74" s="31"/>
      <c r="DQ74" s="31"/>
      <c r="DR74" s="31"/>
      <c r="DS74" s="31"/>
      <c r="DT74" s="31"/>
      <c r="DU74" s="31">
        <v>91.877897219065972</v>
      </c>
      <c r="DV74" s="31">
        <v>555.31253603646587</v>
      </c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</row>
    <row r="75" spans="1:212" x14ac:dyDescent="0.35">
      <c r="A75" s="32" t="s">
        <v>685</v>
      </c>
      <c r="B75" s="31"/>
      <c r="C75" s="31"/>
      <c r="D75" s="31"/>
      <c r="E75" s="31"/>
      <c r="F75" s="31"/>
      <c r="G75" s="31"/>
      <c r="H75" s="31"/>
      <c r="I75" s="31"/>
      <c r="J75" s="31">
        <v>160.41317770738334</v>
      </c>
      <c r="K75" s="31">
        <v>12.921228729642458</v>
      </c>
      <c r="L75" s="31"/>
      <c r="M75" s="31">
        <v>1.1998520094668088</v>
      </c>
      <c r="N75" s="31"/>
      <c r="O75" s="31"/>
      <c r="P75" s="31"/>
      <c r="Q75" s="31"/>
      <c r="R75" s="31"/>
      <c r="S75" s="31"/>
      <c r="T75" s="31"/>
      <c r="U75" s="31">
        <v>14.345205409603052</v>
      </c>
      <c r="V75" s="31"/>
      <c r="W75" s="31"/>
      <c r="X75" s="31">
        <v>13.366098759353878</v>
      </c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>
        <v>1.5945982106855088E-2</v>
      </c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>
        <v>5.5567057704757179</v>
      </c>
      <c r="DB75" s="31">
        <v>4.0979836210320224</v>
      </c>
      <c r="DC75" s="31">
        <v>6.0905516626975746</v>
      </c>
      <c r="DD75" s="31">
        <v>11.829070462877782</v>
      </c>
      <c r="DE75" s="31">
        <v>13.656472135576863</v>
      </c>
      <c r="DF75" s="31">
        <v>0.22528806764291179</v>
      </c>
      <c r="DG75" s="31">
        <v>9.7219673690273706E-2</v>
      </c>
      <c r="DH75" s="31">
        <v>0.39394379135061536</v>
      </c>
      <c r="DI75" s="31">
        <v>1.6864861681474677</v>
      </c>
      <c r="DJ75" s="31">
        <v>2.9069170160203499</v>
      </c>
      <c r="DK75" s="31">
        <v>0.61002651545692987</v>
      </c>
      <c r="DL75" s="31">
        <v>0.58599202762561342</v>
      </c>
      <c r="DM75" s="31">
        <v>0.5774549410011659</v>
      </c>
      <c r="DN75" s="31">
        <v>1.6468489205509138</v>
      </c>
      <c r="DO75" s="31">
        <v>16.174769418446537</v>
      </c>
      <c r="DP75" s="31"/>
      <c r="DQ75" s="31"/>
      <c r="DR75" s="31"/>
      <c r="DS75" s="31"/>
      <c r="DT75" s="31"/>
      <c r="DU75" s="31">
        <v>295.61786017915921</v>
      </c>
      <c r="DV75" s="31">
        <v>564.01509896930838</v>
      </c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</row>
    <row r="76" spans="1:212" x14ac:dyDescent="0.35">
      <c r="A76" s="32" t="s">
        <v>187</v>
      </c>
      <c r="B76" s="31"/>
      <c r="C76" s="31">
        <v>9.7124867628262279E-2</v>
      </c>
      <c r="D76" s="31">
        <v>8.1509459777613341E-2</v>
      </c>
      <c r="E76" s="31">
        <v>0.90974806059229907</v>
      </c>
      <c r="F76" s="31"/>
      <c r="G76" s="31">
        <v>1.2583684237025754E-2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>
        <v>33.872861795224217</v>
      </c>
      <c r="Y76" s="31"/>
      <c r="Z76" s="31"/>
      <c r="AA76" s="31"/>
      <c r="AB76" s="31"/>
      <c r="AC76" s="31"/>
      <c r="AD76" s="31"/>
      <c r="AE76" s="31">
        <v>0.10627913762905217</v>
      </c>
      <c r="AF76" s="31">
        <v>0.35324373502352296</v>
      </c>
      <c r="AG76" s="31"/>
      <c r="AH76" s="31"/>
      <c r="AI76" s="31"/>
      <c r="AJ76" s="31"/>
      <c r="AK76" s="31"/>
      <c r="AL76" s="31">
        <v>9.605665725077035</v>
      </c>
      <c r="AM76" s="31"/>
      <c r="AN76" s="31"/>
      <c r="AO76" s="31"/>
      <c r="AP76" s="31"/>
      <c r="AQ76" s="31">
        <v>1.3577779812114356E-3</v>
      </c>
      <c r="AR76" s="31">
        <v>4.2507010552185944</v>
      </c>
      <c r="AS76" s="31">
        <v>0.10078331297390938</v>
      </c>
      <c r="AT76" s="31">
        <v>0.10397745804321533</v>
      </c>
      <c r="AU76" s="31">
        <v>7.4397080512362927E-3</v>
      </c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>
        <v>4.8557129511607897</v>
      </c>
      <c r="DB76" s="31">
        <v>7.1776644566726899</v>
      </c>
      <c r="DC76" s="31">
        <v>12.55101454380371</v>
      </c>
      <c r="DD76" s="31">
        <v>18.028446425490017</v>
      </c>
      <c r="DE76" s="31">
        <v>32.965973841176712</v>
      </c>
      <c r="DF76" s="31">
        <v>0.30547387132974629</v>
      </c>
      <c r="DG76" s="31">
        <v>0.40604317064539625</v>
      </c>
      <c r="DH76" s="31">
        <v>0.48454833934929636</v>
      </c>
      <c r="DI76" s="31">
        <v>1.2733875012990181</v>
      </c>
      <c r="DJ76" s="31">
        <v>5.6114082273422374</v>
      </c>
      <c r="DK76" s="31">
        <v>0.13505418505020469</v>
      </c>
      <c r="DL76" s="31">
        <v>0.81923194742598116</v>
      </c>
      <c r="DM76" s="31">
        <v>1.9218995267181476</v>
      </c>
      <c r="DN76" s="31">
        <v>5.9719434805940086</v>
      </c>
      <c r="DO76" s="31">
        <v>49.783176757107576</v>
      </c>
      <c r="DP76" s="31"/>
      <c r="DQ76" s="31"/>
      <c r="DR76" s="31"/>
      <c r="DS76" s="31"/>
      <c r="DT76" s="31"/>
      <c r="DU76" s="31">
        <v>40.380082422284119</v>
      </c>
      <c r="DV76" s="31">
        <v>232.17433742490684</v>
      </c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</row>
    <row r="77" spans="1:212" x14ac:dyDescent="0.35">
      <c r="A77" s="32" t="s">
        <v>188</v>
      </c>
      <c r="B77" s="31"/>
      <c r="C77" s="31"/>
      <c r="D77" s="31"/>
      <c r="E77" s="31"/>
      <c r="F77" s="31"/>
      <c r="G77" s="31">
        <v>1.3597346951115223E-2</v>
      </c>
      <c r="H77" s="31"/>
      <c r="I77" s="31"/>
      <c r="J77" s="31"/>
      <c r="K77" s="31"/>
      <c r="L77" s="31">
        <v>1.1824972474502929E-4</v>
      </c>
      <c r="M77" s="31">
        <v>2.4907770202188814E-2</v>
      </c>
      <c r="N77" s="31"/>
      <c r="O77" s="31"/>
      <c r="P77" s="31"/>
      <c r="Q77" s="31"/>
      <c r="R77" s="31"/>
      <c r="S77" s="31"/>
      <c r="T77" s="31">
        <v>5.0482674342902569E-3</v>
      </c>
      <c r="U77" s="31"/>
      <c r="V77" s="31"/>
      <c r="W77" s="31">
        <v>0.13909248410216268</v>
      </c>
      <c r="X77" s="31">
        <v>0.21843380339597904</v>
      </c>
      <c r="Y77" s="31">
        <v>6.7496343688015839E-2</v>
      </c>
      <c r="Z77" s="31"/>
      <c r="AA77" s="31">
        <v>0.46986865818183121</v>
      </c>
      <c r="AB77" s="31"/>
      <c r="AC77" s="31"/>
      <c r="AD77" s="31"/>
      <c r="AE77" s="31">
        <v>0.5877998545330162</v>
      </c>
      <c r="AF77" s="31">
        <v>2.9763673815833074</v>
      </c>
      <c r="AG77" s="31"/>
      <c r="AH77" s="31">
        <v>7.7455030955948426E-2</v>
      </c>
      <c r="AI77" s="31">
        <v>82.168706278268417</v>
      </c>
      <c r="AJ77" s="31">
        <v>39.275791789605123</v>
      </c>
      <c r="AK77" s="31">
        <v>30.152599006447996</v>
      </c>
      <c r="AL77" s="31">
        <v>7.2080852935235082</v>
      </c>
      <c r="AM77" s="31"/>
      <c r="AN77" s="31">
        <v>8.0438054485165491</v>
      </c>
      <c r="AO77" s="31">
        <v>13.189777547272893</v>
      </c>
      <c r="AP77" s="31"/>
      <c r="AQ77" s="31">
        <v>4.0964970220518602</v>
      </c>
      <c r="AR77" s="31">
        <v>3.3485106005509961</v>
      </c>
      <c r="AS77" s="31">
        <v>18.778108121937887</v>
      </c>
      <c r="AT77" s="31">
        <v>14.751723391649037</v>
      </c>
      <c r="AU77" s="31">
        <v>0.9705243738400462</v>
      </c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>
        <v>2.2864479982151131</v>
      </c>
      <c r="DB77" s="31">
        <v>2.4520963858687885</v>
      </c>
      <c r="DC77" s="31">
        <v>3.2540283436015685</v>
      </c>
      <c r="DD77" s="31">
        <v>3.7393054074349394</v>
      </c>
      <c r="DE77" s="31">
        <v>5.6985687090007202</v>
      </c>
      <c r="DF77" s="31">
        <v>0.1086419399142064</v>
      </c>
      <c r="DG77" s="31">
        <v>0.12884054893531649</v>
      </c>
      <c r="DH77" s="31">
        <v>0.15138154954421218</v>
      </c>
      <c r="DI77" s="31">
        <v>0.17977349703722736</v>
      </c>
      <c r="DJ77" s="31">
        <v>0.71631270571565608</v>
      </c>
      <c r="DK77" s="31">
        <v>0.11655347429272418</v>
      </c>
      <c r="DL77" s="31">
        <v>0.2860341350368269</v>
      </c>
      <c r="DM77" s="31">
        <v>0.6343785632910256</v>
      </c>
      <c r="DN77" s="31">
        <v>1.5612586519070508</v>
      </c>
      <c r="DO77" s="31">
        <v>15.451157080792106</v>
      </c>
      <c r="DP77" s="31"/>
      <c r="DQ77" s="31"/>
      <c r="DR77" s="31"/>
      <c r="DS77" s="31"/>
      <c r="DT77" s="31"/>
      <c r="DU77" s="31">
        <v>1.9164371222157501</v>
      </c>
      <c r="DV77" s="31">
        <v>265.24553017722013</v>
      </c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</row>
    <row r="78" spans="1:212" x14ac:dyDescent="0.35">
      <c r="A78" s="32" t="s">
        <v>189</v>
      </c>
      <c r="B78" s="31"/>
      <c r="C78" s="31"/>
      <c r="D78" s="31"/>
      <c r="E78" s="31"/>
      <c r="F78" s="31"/>
      <c r="G78" s="31">
        <v>0.22252636682088772</v>
      </c>
      <c r="H78" s="31"/>
      <c r="I78" s="31"/>
      <c r="J78" s="31"/>
      <c r="K78" s="31"/>
      <c r="L78" s="31">
        <v>9.1003342879092015E-3</v>
      </c>
      <c r="M78" s="31">
        <v>2.6025797542758551</v>
      </c>
      <c r="N78" s="31">
        <v>1.0526665684800276</v>
      </c>
      <c r="O78" s="31">
        <v>0.33372903610383031</v>
      </c>
      <c r="P78" s="31">
        <v>1.6478745271761088</v>
      </c>
      <c r="Q78" s="31">
        <v>0.63559147916438752</v>
      </c>
      <c r="R78" s="31">
        <v>4.875789057794875E-2</v>
      </c>
      <c r="S78" s="31">
        <v>1.1665078702640244</v>
      </c>
      <c r="T78" s="31">
        <v>5.743117606411322E-4</v>
      </c>
      <c r="U78" s="31"/>
      <c r="V78" s="31">
        <v>0.70933228836759288</v>
      </c>
      <c r="W78" s="31">
        <v>0.72612609683346407</v>
      </c>
      <c r="X78" s="31">
        <v>0.58367299246441595</v>
      </c>
      <c r="Y78" s="31">
        <v>1.3180058877724896</v>
      </c>
      <c r="Z78" s="31">
        <v>9.1171287595787059E-3</v>
      </c>
      <c r="AA78" s="31">
        <v>0.47237528412280633</v>
      </c>
      <c r="AB78" s="31">
        <v>0.31415457007927394</v>
      </c>
      <c r="AC78" s="31">
        <v>0.27874839396970574</v>
      </c>
      <c r="AD78" s="31">
        <v>0.20462052930411895</v>
      </c>
      <c r="AE78" s="31">
        <v>0.28566457509296017</v>
      </c>
      <c r="AF78" s="31">
        <v>1.2618955601091852</v>
      </c>
      <c r="AG78" s="31">
        <v>19.861136056134669</v>
      </c>
      <c r="AH78" s="31">
        <v>1.6799848290003092</v>
      </c>
      <c r="AI78" s="31">
        <v>47.033202726571318</v>
      </c>
      <c r="AJ78" s="31">
        <v>20.164590992231929</v>
      </c>
      <c r="AK78" s="31">
        <v>313.52000819697486</v>
      </c>
      <c r="AL78" s="31">
        <v>0.58059122162718135</v>
      </c>
      <c r="AM78" s="31">
        <v>0.28580120776372275</v>
      </c>
      <c r="AN78" s="31">
        <v>3.8296635155484675</v>
      </c>
      <c r="AO78" s="31">
        <v>0.35551353629407334</v>
      </c>
      <c r="AP78" s="31">
        <v>0.37120299115273925</v>
      </c>
      <c r="AQ78" s="31">
        <v>16.797510404119144</v>
      </c>
      <c r="AR78" s="31">
        <v>6.404026395016289</v>
      </c>
      <c r="AS78" s="31">
        <v>3.5052684387851611</v>
      </c>
      <c r="AT78" s="31">
        <v>2.2038771408281379</v>
      </c>
      <c r="AU78" s="31">
        <v>2.0526226046584575</v>
      </c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>
        <v>1.76112741733217E-2</v>
      </c>
      <c r="DB78" s="31">
        <v>6.1314015143310155E-2</v>
      </c>
      <c r="DC78" s="31">
        <v>0.4161943573246169</v>
      </c>
      <c r="DD78" s="31">
        <v>1.2118690390108418</v>
      </c>
      <c r="DE78" s="31">
        <v>7.3660140657099502</v>
      </c>
      <c r="DF78" s="31"/>
      <c r="DG78" s="31"/>
      <c r="DH78" s="31"/>
      <c r="DI78" s="31">
        <v>5.3840048632829166E-2</v>
      </c>
      <c r="DJ78" s="31">
        <v>1.5661790437205991</v>
      </c>
      <c r="DK78" s="31">
        <v>1.1022106328369585E-2</v>
      </c>
      <c r="DL78" s="31"/>
      <c r="DM78" s="31">
        <v>1.2492767071593934E-2</v>
      </c>
      <c r="DN78" s="31">
        <v>3.8097642779382115E-2</v>
      </c>
      <c r="DO78" s="31">
        <v>30.060320684043244</v>
      </c>
      <c r="DP78" s="31"/>
      <c r="DQ78" s="31"/>
      <c r="DR78" s="31"/>
      <c r="DS78" s="31"/>
      <c r="DT78" s="31"/>
      <c r="DU78" s="31"/>
      <c r="DV78" s="31">
        <v>493.34357674643161</v>
      </c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</row>
    <row r="79" spans="1:212" x14ac:dyDescent="0.35">
      <c r="A79" s="32" t="s">
        <v>190</v>
      </c>
      <c r="B79" s="31">
        <v>144.86401514088834</v>
      </c>
      <c r="C79" s="31">
        <v>7.2185392573293925E-3</v>
      </c>
      <c r="D79" s="31">
        <v>5.8936895287338212E-3</v>
      </c>
      <c r="E79" s="31">
        <v>1.3609244454328012E-2</v>
      </c>
      <c r="F79" s="31">
        <v>2.2074714139923842E-2</v>
      </c>
      <c r="G79" s="31">
        <v>2.8907632709158526</v>
      </c>
      <c r="H79" s="31">
        <v>11.165331273272836</v>
      </c>
      <c r="I79" s="31">
        <v>2.6292321662976226E-2</v>
      </c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>
        <v>158.99519819412032</v>
      </c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</row>
    <row r="80" spans="1:212" x14ac:dyDescent="0.35">
      <c r="A80" s="32" t="s">
        <v>191</v>
      </c>
      <c r="B80" s="31">
        <v>0.16457953225297675</v>
      </c>
      <c r="C80" s="31"/>
      <c r="D80" s="31"/>
      <c r="E80" s="31"/>
      <c r="F80" s="31">
        <v>4.2132216989449782</v>
      </c>
      <c r="G80" s="31">
        <v>4.4284022058171173</v>
      </c>
      <c r="H80" s="31">
        <v>0.88519163116164545</v>
      </c>
      <c r="I80" s="31">
        <v>4.9742730843554801</v>
      </c>
      <c r="J80" s="31">
        <v>2.2707077643903619</v>
      </c>
      <c r="K80" s="31">
        <v>0.21126381276271838</v>
      </c>
      <c r="L80" s="31"/>
      <c r="M80" s="31">
        <v>0.39840988139894029</v>
      </c>
      <c r="N80" s="31">
        <v>1.1234531868054805</v>
      </c>
      <c r="O80" s="31">
        <v>0.35644134720026321</v>
      </c>
      <c r="P80" s="31">
        <v>4.1157779451459961E-4</v>
      </c>
      <c r="Q80" s="31">
        <v>1.5848559479783662E-4</v>
      </c>
      <c r="R80" s="31"/>
      <c r="S80" s="31"/>
      <c r="T80" s="31">
        <v>1.3620599612131485E-2</v>
      </c>
      <c r="U80" s="31">
        <v>1.8859689494394273E-4</v>
      </c>
      <c r="V80" s="31">
        <v>6.0709893216977386</v>
      </c>
      <c r="W80" s="31">
        <v>1.4795373732280244</v>
      </c>
      <c r="X80" s="31">
        <v>1.198349789411993</v>
      </c>
      <c r="Y80" s="31">
        <v>1.8295061166655247</v>
      </c>
      <c r="Z80" s="31">
        <v>1.8264973429862334E-5</v>
      </c>
      <c r="AA80" s="31">
        <v>1.046418905551572</v>
      </c>
      <c r="AB80" s="31">
        <v>101.87525850086934</v>
      </c>
      <c r="AC80" s="31">
        <v>3.6825206167685844</v>
      </c>
      <c r="AD80" s="31">
        <v>8.8914982654557856E-2</v>
      </c>
      <c r="AE80" s="31">
        <v>0.30763152783934633</v>
      </c>
      <c r="AF80" s="31">
        <v>0.18655588144374469</v>
      </c>
      <c r="AG80" s="31">
        <v>17.280103616152768</v>
      </c>
      <c r="AH80" s="31">
        <v>29.141761704844896</v>
      </c>
      <c r="AI80" s="31">
        <v>238.08038542505997</v>
      </c>
      <c r="AJ80" s="31">
        <v>0.746664758766444</v>
      </c>
      <c r="AK80" s="31"/>
      <c r="AL80" s="31"/>
      <c r="AM80" s="31"/>
      <c r="AN80" s="31">
        <v>4.0320262805086804</v>
      </c>
      <c r="AO80" s="31">
        <v>0.17186221979771937</v>
      </c>
      <c r="AP80" s="31"/>
      <c r="AQ80" s="31">
        <v>0.14442365809148466</v>
      </c>
      <c r="AR80" s="31">
        <v>10.061346462356893</v>
      </c>
      <c r="AS80" s="31">
        <v>5.8733819267596771E-2</v>
      </c>
      <c r="AT80" s="31">
        <v>10.307766111314763</v>
      </c>
      <c r="AU80" s="31">
        <v>7.2887404240356037E-3</v>
      </c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>
        <v>7.0099682124047664</v>
      </c>
      <c r="DB80" s="31">
        <v>9.0761263030555757</v>
      </c>
      <c r="DC80" s="31">
        <v>13.280895546947272</v>
      </c>
      <c r="DD80" s="31">
        <v>16.576822752667955</v>
      </c>
      <c r="DE80" s="31">
        <v>23.929791937255125</v>
      </c>
      <c r="DF80" s="31">
        <v>0.49887196588158883</v>
      </c>
      <c r="DG80" s="31">
        <v>0.54082841647124646</v>
      </c>
      <c r="DH80" s="31">
        <v>0.64913269955454489</v>
      </c>
      <c r="DI80" s="31">
        <v>1.3295845743937296</v>
      </c>
      <c r="DJ80" s="31">
        <v>3.8207363829079855</v>
      </c>
      <c r="DK80" s="31">
        <v>0.39098044898037954</v>
      </c>
      <c r="DL80" s="31">
        <v>1.2076606945231616</v>
      </c>
      <c r="DM80" s="31">
        <v>3.2536540403404679</v>
      </c>
      <c r="DN80" s="31">
        <v>6.4706063170148127</v>
      </c>
      <c r="DO80" s="31">
        <v>34.992713282534915</v>
      </c>
      <c r="DP80" s="31"/>
      <c r="DQ80" s="31"/>
      <c r="DR80" s="31"/>
      <c r="DS80" s="31"/>
      <c r="DT80" s="31"/>
      <c r="DU80" s="31">
        <v>60.105417615314998</v>
      </c>
      <c r="DV80" s="31">
        <v>629.97217867292409</v>
      </c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</row>
    <row r="81" spans="1:212" x14ac:dyDescent="0.35">
      <c r="A81" s="32" t="s">
        <v>192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>
        <v>2.4762620516248117</v>
      </c>
      <c r="W81" s="31"/>
      <c r="X81" s="31">
        <v>1.0398251079899912E-4</v>
      </c>
      <c r="Y81" s="31"/>
      <c r="Z81" s="31"/>
      <c r="AA81" s="31"/>
      <c r="AB81" s="31"/>
      <c r="AC81" s="31">
        <v>2.5602935441921377</v>
      </c>
      <c r="AD81" s="31"/>
      <c r="AE81" s="31"/>
      <c r="AF81" s="31"/>
      <c r="AG81" s="31"/>
      <c r="AH81" s="31"/>
      <c r="AI81" s="31">
        <v>116.34646985817059</v>
      </c>
      <c r="AJ81" s="31">
        <v>0.65281747522151878</v>
      </c>
      <c r="AK81" s="31"/>
      <c r="AL81" s="31"/>
      <c r="AM81" s="31"/>
      <c r="AN81" s="31"/>
      <c r="AO81" s="31">
        <v>8.5941521674262361E-2</v>
      </c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>
        <v>0.19559062443781811</v>
      </c>
      <c r="DB81" s="31">
        <v>0.38780935750871298</v>
      </c>
      <c r="DC81" s="31">
        <v>0.69195542754152095</v>
      </c>
      <c r="DD81" s="31">
        <v>1.8554826345852677</v>
      </c>
      <c r="DE81" s="31">
        <v>7.1490982392475084</v>
      </c>
      <c r="DF81" s="31">
        <v>1.2319354619277932E-2</v>
      </c>
      <c r="DG81" s="31">
        <v>1.2046329835437016E-2</v>
      </c>
      <c r="DH81" s="31">
        <v>3.7841825889871804E-2</v>
      </c>
      <c r="DI81" s="31">
        <v>0.12067501131098811</v>
      </c>
      <c r="DJ81" s="31">
        <v>0.66972961268982178</v>
      </c>
      <c r="DK81" s="31">
        <v>1.4068479274305584E-2</v>
      </c>
      <c r="DL81" s="31">
        <v>3.2189200208029192E-2</v>
      </c>
      <c r="DM81" s="31">
        <v>0.28901923707245575</v>
      </c>
      <c r="DN81" s="31">
        <v>0.72638052995069102</v>
      </c>
      <c r="DO81" s="31">
        <v>13.540040107013708</v>
      </c>
      <c r="DP81" s="31"/>
      <c r="DQ81" s="31"/>
      <c r="DR81" s="31"/>
      <c r="DS81" s="31"/>
      <c r="DT81" s="31"/>
      <c r="DU81" s="31"/>
      <c r="DV81" s="31">
        <v>147.85613440457954</v>
      </c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</row>
    <row r="82" spans="1:212" x14ac:dyDescent="0.35">
      <c r="A82" s="32" t="s">
        <v>193</v>
      </c>
      <c r="B82" s="31"/>
      <c r="C82" s="31"/>
      <c r="D82" s="31"/>
      <c r="E82" s="31"/>
      <c r="F82" s="31"/>
      <c r="G82" s="31">
        <v>1.3351338919078908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>
        <v>0.57362421980194722</v>
      </c>
      <c r="X82" s="31">
        <v>1.1175197600313911</v>
      </c>
      <c r="Y82" s="31"/>
      <c r="Z82" s="31"/>
      <c r="AA82" s="31">
        <v>1.6667535936703082</v>
      </c>
      <c r="AB82" s="31"/>
      <c r="AC82" s="31"/>
      <c r="AD82" s="31">
        <v>4.3897792253292742</v>
      </c>
      <c r="AE82" s="31">
        <v>3.9632952970805007</v>
      </c>
      <c r="AF82" s="31">
        <v>21.973013656090856</v>
      </c>
      <c r="AG82" s="31"/>
      <c r="AH82" s="31"/>
      <c r="AI82" s="31">
        <v>300.84604463772854</v>
      </c>
      <c r="AJ82" s="31">
        <v>1.9587665842891636E-4</v>
      </c>
      <c r="AK82" s="31"/>
      <c r="AL82" s="31"/>
      <c r="AM82" s="31"/>
      <c r="AN82" s="31"/>
      <c r="AO82" s="31">
        <v>8.5919458388083833E-2</v>
      </c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>
        <v>0.20705245415482376</v>
      </c>
      <c r="DB82" s="31">
        <v>0.31867195189170006</v>
      </c>
      <c r="DC82" s="31">
        <v>0.54792762272873718</v>
      </c>
      <c r="DD82" s="31">
        <v>0.82344138886684937</v>
      </c>
      <c r="DE82" s="31">
        <v>1.5106142620992009</v>
      </c>
      <c r="DF82" s="31">
        <v>1.587528805239518E-2</v>
      </c>
      <c r="DG82" s="31">
        <v>1.513880862149373E-2</v>
      </c>
      <c r="DH82" s="31">
        <v>2.0383246024037547E-2</v>
      </c>
      <c r="DI82" s="31">
        <v>4.9175292388793847E-2</v>
      </c>
      <c r="DJ82" s="31">
        <v>0.66149004678243373</v>
      </c>
      <c r="DK82" s="31">
        <v>1.5484949901627861E-2</v>
      </c>
      <c r="DL82" s="31">
        <v>9.6130884134161959E-3</v>
      </c>
      <c r="DM82" s="31">
        <v>4.6858798930415765E-2</v>
      </c>
      <c r="DN82" s="31">
        <v>0.10299575195782611</v>
      </c>
      <c r="DO82" s="31">
        <v>3.1429152208322808</v>
      </c>
      <c r="DP82" s="31"/>
      <c r="DQ82" s="31"/>
      <c r="DR82" s="31"/>
      <c r="DS82" s="31"/>
      <c r="DT82" s="31">
        <v>24.096752578511548</v>
      </c>
      <c r="DU82" s="31">
        <v>16.287180487013657</v>
      </c>
      <c r="DV82" s="31">
        <v>383.82285085385848</v>
      </c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</row>
    <row r="83" spans="1:212" x14ac:dyDescent="0.35">
      <c r="A83" s="32" t="s">
        <v>194</v>
      </c>
      <c r="B83" s="31">
        <v>1.1138347912067803E-5</v>
      </c>
      <c r="C83" s="31"/>
      <c r="D83" s="31"/>
      <c r="E83" s="31"/>
      <c r="F83" s="31">
        <v>4.9404386996331883E-3</v>
      </c>
      <c r="G83" s="31">
        <v>3.2240153921388437E-3</v>
      </c>
      <c r="H83" s="31">
        <v>3.0583259432981287E-4</v>
      </c>
      <c r="I83" s="31">
        <v>5.7430206743070049E-3</v>
      </c>
      <c r="J83" s="31"/>
      <c r="K83" s="31"/>
      <c r="L83" s="31"/>
      <c r="M83" s="31">
        <v>11.194203029070199</v>
      </c>
      <c r="N83" s="31"/>
      <c r="O83" s="31"/>
      <c r="P83" s="31"/>
      <c r="Q83" s="31"/>
      <c r="R83" s="31"/>
      <c r="S83" s="31"/>
      <c r="T83" s="31">
        <v>3.4685318856697077E-6</v>
      </c>
      <c r="U83" s="31"/>
      <c r="V83" s="31">
        <v>8.7610442056404501E-4</v>
      </c>
      <c r="W83" s="31">
        <v>1.799608206708035</v>
      </c>
      <c r="X83" s="31">
        <v>3.72277201005911</v>
      </c>
      <c r="Y83" s="31"/>
      <c r="Z83" s="31"/>
      <c r="AA83" s="31">
        <v>8.8265694875017626</v>
      </c>
      <c r="AB83" s="31"/>
      <c r="AC83" s="31"/>
      <c r="AD83" s="31">
        <v>3.4227658938955381</v>
      </c>
      <c r="AE83" s="31">
        <v>1.5322083968528286</v>
      </c>
      <c r="AF83" s="31">
        <v>14.55427264437389</v>
      </c>
      <c r="AG83" s="31">
        <v>22.098521852084538</v>
      </c>
      <c r="AH83" s="31"/>
      <c r="AI83" s="31">
        <v>117.52063054291116</v>
      </c>
      <c r="AJ83" s="31">
        <v>13.564522618271663</v>
      </c>
      <c r="AK83" s="31"/>
      <c r="AL83" s="31"/>
      <c r="AM83" s="31"/>
      <c r="AN83" s="31">
        <v>74.756636572950185</v>
      </c>
      <c r="AO83" s="31">
        <v>26.015954774295011</v>
      </c>
      <c r="AP83" s="31">
        <v>2.1583932817086477</v>
      </c>
      <c r="AQ83" s="31"/>
      <c r="AR83" s="31">
        <v>0.17423763824269167</v>
      </c>
      <c r="AS83" s="31">
        <v>1.1872233135761799E-4</v>
      </c>
      <c r="AT83" s="31">
        <v>9.8554214388537724E-3</v>
      </c>
      <c r="AU83" s="31">
        <v>2.6165922693915721E-4</v>
      </c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>
        <v>0.3971779118421207</v>
      </c>
      <c r="DB83" s="31">
        <v>0.85732260089816981</v>
      </c>
      <c r="DC83" s="31">
        <v>1.2284778821615303</v>
      </c>
      <c r="DD83" s="31">
        <v>2.6850067688182833</v>
      </c>
      <c r="DE83" s="31">
        <v>21.32752598430308</v>
      </c>
      <c r="DF83" s="31">
        <v>1.7763395675941103E-2</v>
      </c>
      <c r="DG83" s="31">
        <v>2.9170314715197557E-2</v>
      </c>
      <c r="DH83" s="31">
        <v>3.1182087882345631E-2</v>
      </c>
      <c r="DI83" s="31">
        <v>0.67945789000543866</v>
      </c>
      <c r="DJ83" s="31">
        <v>1.9469787938519099</v>
      </c>
      <c r="DK83" s="31">
        <v>7.9529580559504192E-3</v>
      </c>
      <c r="DL83" s="31">
        <v>6.2449493591005018E-2</v>
      </c>
      <c r="DM83" s="31">
        <v>0.3181552754921646</v>
      </c>
      <c r="DN83" s="31">
        <v>0.82754139468502375</v>
      </c>
      <c r="DO83" s="31">
        <v>47.867726555235379</v>
      </c>
      <c r="DP83" s="31"/>
      <c r="DQ83" s="31"/>
      <c r="DR83" s="31"/>
      <c r="DS83" s="31"/>
      <c r="DT83" s="31">
        <v>751.80035317315594</v>
      </c>
      <c r="DU83" s="31"/>
      <c r="DV83" s="31">
        <v>1131.4508792509528</v>
      </c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</row>
    <row r="84" spans="1:212" x14ac:dyDescent="0.35">
      <c r="A84" s="32" t="s">
        <v>195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>
        <v>0.28712427558040526</v>
      </c>
      <c r="N84" s="31"/>
      <c r="O84" s="31"/>
      <c r="P84" s="31">
        <v>3.7484837971620026E-3</v>
      </c>
      <c r="Q84" s="31">
        <v>1.4434322501771142E-3</v>
      </c>
      <c r="R84" s="31"/>
      <c r="S84" s="31"/>
      <c r="T84" s="31">
        <v>8.8826893765400021E-5</v>
      </c>
      <c r="U84" s="31"/>
      <c r="V84" s="31">
        <v>8.5718939262635838E-2</v>
      </c>
      <c r="W84" s="31"/>
      <c r="X84" s="31">
        <v>3.5732084079521873</v>
      </c>
      <c r="Y84" s="31"/>
      <c r="Z84" s="31"/>
      <c r="AA84" s="31"/>
      <c r="AB84" s="31"/>
      <c r="AC84" s="31"/>
      <c r="AD84" s="31">
        <v>1.2796722143082378E-2</v>
      </c>
      <c r="AE84" s="31"/>
      <c r="AF84" s="31">
        <v>0.33596203101950434</v>
      </c>
      <c r="AG84" s="31"/>
      <c r="AH84" s="31">
        <v>1.316621448076913E-2</v>
      </c>
      <c r="AI84" s="31">
        <v>70.331590005041903</v>
      </c>
      <c r="AJ84" s="31">
        <v>4.071940536813627</v>
      </c>
      <c r="AK84" s="31">
        <v>17.994251375105097</v>
      </c>
      <c r="AL84" s="31">
        <v>10.484805299080012</v>
      </c>
      <c r="AM84" s="31"/>
      <c r="AN84" s="31">
        <v>3.9998802217442444</v>
      </c>
      <c r="AO84" s="31">
        <v>3.0960147011610926</v>
      </c>
      <c r="AP84" s="31">
        <v>3.691890971690134</v>
      </c>
      <c r="AQ84" s="31">
        <v>0.31158936082929717</v>
      </c>
      <c r="AR84" s="31">
        <v>9.5606259009444887</v>
      </c>
      <c r="AS84" s="31">
        <v>2.9295428913213954</v>
      </c>
      <c r="AT84" s="31">
        <v>3.3531634126419734</v>
      </c>
      <c r="AU84" s="31">
        <v>8.4561433059190954</v>
      </c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>
        <v>8.0696178371517102E-2</v>
      </c>
      <c r="DB84" s="31">
        <v>0.1543348156192057</v>
      </c>
      <c r="DC84" s="31">
        <v>0.35715228156925816</v>
      </c>
      <c r="DD84" s="31">
        <v>0.93448943895177972</v>
      </c>
      <c r="DE84" s="31">
        <v>3.100956313068628</v>
      </c>
      <c r="DF84" s="31">
        <v>4.6446595555075148E-3</v>
      </c>
      <c r="DG84" s="31">
        <v>2.4103754220422074E-2</v>
      </c>
      <c r="DH84" s="31">
        <v>1.3179632730287237E-2</v>
      </c>
      <c r="DI84" s="31">
        <v>6.1506999685750248E-2</v>
      </c>
      <c r="DJ84" s="31">
        <v>1.1179643413426035</v>
      </c>
      <c r="DK84" s="31">
        <v>3.4265439312590757E-3</v>
      </c>
      <c r="DL84" s="31">
        <v>4.6655940681995606E-2</v>
      </c>
      <c r="DM84" s="31">
        <v>0.23567332716296874</v>
      </c>
      <c r="DN84" s="31">
        <v>0.43581540366744753</v>
      </c>
      <c r="DO84" s="31">
        <v>6.3984278690869969</v>
      </c>
      <c r="DP84" s="31"/>
      <c r="DQ84" s="31"/>
      <c r="DR84" s="31"/>
      <c r="DS84" s="31"/>
      <c r="DT84" s="31">
        <v>61.121724641351314</v>
      </c>
      <c r="DU84" s="31"/>
      <c r="DV84" s="31">
        <v>216.68544745666895</v>
      </c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</row>
    <row r="85" spans="1:212" x14ac:dyDescent="0.35">
      <c r="A85" s="32" t="s">
        <v>196</v>
      </c>
      <c r="B85" s="31">
        <v>0.6626868837282297</v>
      </c>
      <c r="C85" s="31"/>
      <c r="D85" s="31"/>
      <c r="E85" s="31"/>
      <c r="F85" s="31"/>
      <c r="G85" s="31">
        <v>10.986707571439519</v>
      </c>
      <c r="H85" s="31">
        <v>1.7276079708614329</v>
      </c>
      <c r="I85" s="31"/>
      <c r="J85" s="31">
        <v>0.58615550022370211</v>
      </c>
      <c r="K85" s="31"/>
      <c r="L85" s="31">
        <v>5.6706876570783011</v>
      </c>
      <c r="M85" s="31"/>
      <c r="N85" s="31">
        <v>0.14103440518900384</v>
      </c>
      <c r="O85" s="31">
        <v>4.4449511414606402E-2</v>
      </c>
      <c r="P85" s="31">
        <v>0.22451545662461922</v>
      </c>
      <c r="Q85" s="31">
        <v>8.6429656682154882E-2</v>
      </c>
      <c r="R85" s="31">
        <v>0.29548683127121128</v>
      </c>
      <c r="S85" s="31">
        <v>7.2458881529456889</v>
      </c>
      <c r="T85" s="31">
        <v>0.78946609248023158</v>
      </c>
      <c r="U85" s="31">
        <v>2.1632041936007136</v>
      </c>
      <c r="V85" s="31">
        <v>1.5059045471046033</v>
      </c>
      <c r="W85" s="31">
        <v>0.50090047332020959</v>
      </c>
      <c r="X85" s="31">
        <v>3.7239852484525819</v>
      </c>
      <c r="Y85" s="31">
        <v>0.56855990580360427</v>
      </c>
      <c r="Z85" s="31">
        <v>6.4303228862423924E-3</v>
      </c>
      <c r="AA85" s="31">
        <v>5.3480362223858206E-2</v>
      </c>
      <c r="AB85" s="31">
        <v>0.62481339811946679</v>
      </c>
      <c r="AC85" s="31">
        <v>0.24157802128586861</v>
      </c>
      <c r="AD85" s="31">
        <v>0.1863054804163419</v>
      </c>
      <c r="AE85" s="31">
        <v>0.29912945244566913</v>
      </c>
      <c r="AF85" s="31"/>
      <c r="AG85" s="31">
        <v>6.8186372351838678E-2</v>
      </c>
      <c r="AH85" s="31">
        <v>3.9869369018021761</v>
      </c>
      <c r="AI85" s="31">
        <v>4.1490929484970049</v>
      </c>
      <c r="AJ85" s="31">
        <v>86.06306507892576</v>
      </c>
      <c r="AK85" s="31">
        <v>30.311978327648372</v>
      </c>
      <c r="AL85" s="31">
        <v>1.4634951266191174</v>
      </c>
      <c r="AM85" s="31">
        <v>0.58260003999152254</v>
      </c>
      <c r="AN85" s="31">
        <v>1.6472549754437473</v>
      </c>
      <c r="AO85" s="31">
        <v>20.014424909374014</v>
      </c>
      <c r="AP85" s="31">
        <v>1.2363317280121435</v>
      </c>
      <c r="AQ85" s="31">
        <v>6.1021975050079718</v>
      </c>
      <c r="AR85" s="31">
        <v>1.4477597409293745</v>
      </c>
      <c r="AS85" s="31">
        <v>3.3483251780208816</v>
      </c>
      <c r="AT85" s="31">
        <v>6.1036925253917955</v>
      </c>
      <c r="AU85" s="31">
        <v>1.0937102147511486</v>
      </c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>
        <v>0.11827480836005699</v>
      </c>
      <c r="DB85" s="31">
        <v>0.6420108263784795</v>
      </c>
      <c r="DC85" s="31">
        <v>1.285590115867675</v>
      </c>
      <c r="DD85" s="31">
        <v>2.8911461916601482</v>
      </c>
      <c r="DE85" s="31">
        <v>15.013949023986418</v>
      </c>
      <c r="DF85" s="31">
        <v>5.3730337656931068E-2</v>
      </c>
      <c r="DG85" s="31">
        <v>0.10380058714274391</v>
      </c>
      <c r="DH85" s="31">
        <v>0.14181315829746088</v>
      </c>
      <c r="DI85" s="31">
        <v>0.5182595214410296</v>
      </c>
      <c r="DJ85" s="31">
        <v>5.2384898501713533</v>
      </c>
      <c r="DK85" s="31">
        <v>7.5720891483406112E-3</v>
      </c>
      <c r="DL85" s="31">
        <v>0.55543386179329368</v>
      </c>
      <c r="DM85" s="31">
        <v>1.6469833132536866</v>
      </c>
      <c r="DN85" s="31">
        <v>6.2540935565680309</v>
      </c>
      <c r="DO85" s="31">
        <v>84.496598320388799</v>
      </c>
      <c r="DP85" s="31"/>
      <c r="DQ85" s="31"/>
      <c r="DR85" s="31"/>
      <c r="DS85" s="31"/>
      <c r="DT85" s="31"/>
      <c r="DU85" s="31"/>
      <c r="DV85" s="31">
        <v>324.92220423047917</v>
      </c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</row>
    <row r="86" spans="1:212" x14ac:dyDescent="0.35">
      <c r="A86" s="32" t="s">
        <v>197</v>
      </c>
      <c r="B86" s="31"/>
      <c r="C86" s="31"/>
      <c r="D86" s="31"/>
      <c r="E86" s="31"/>
      <c r="F86" s="31"/>
      <c r="G86" s="31">
        <v>4.7712884414365266</v>
      </c>
      <c r="H86" s="31">
        <v>3.4424064476958569</v>
      </c>
      <c r="I86" s="31"/>
      <c r="J86" s="31"/>
      <c r="K86" s="31"/>
      <c r="L86" s="31">
        <v>4.566321759372614</v>
      </c>
      <c r="M86" s="31"/>
      <c r="N86" s="31">
        <v>5.1977568404981966E-2</v>
      </c>
      <c r="O86" s="31">
        <v>1.6378324204301704E-2</v>
      </c>
      <c r="P86" s="31">
        <v>3.5666885312782321E-3</v>
      </c>
      <c r="Q86" s="31">
        <v>1.3734173001576152E-3</v>
      </c>
      <c r="R86" s="31">
        <v>0.13349519327418027</v>
      </c>
      <c r="S86" s="31">
        <v>3.2135593450534476</v>
      </c>
      <c r="T86" s="31">
        <v>0.71471062397871654</v>
      </c>
      <c r="U86" s="31">
        <v>2.1010254824229522</v>
      </c>
      <c r="V86" s="31">
        <v>0.80227331024295967</v>
      </c>
      <c r="W86" s="31">
        <v>0.18289978441447602</v>
      </c>
      <c r="X86" s="31">
        <v>2.1004737217521234</v>
      </c>
      <c r="Y86" s="31">
        <v>0.286984928511682</v>
      </c>
      <c r="Z86" s="31">
        <v>9.496507299527706E-3</v>
      </c>
      <c r="AA86" s="31">
        <v>0.83838518600344003</v>
      </c>
      <c r="AB86" s="31">
        <v>0.20438652734859036</v>
      </c>
      <c r="AC86" s="31">
        <v>0.10054282989460535</v>
      </c>
      <c r="AD86" s="31">
        <v>5.0791682107532765E-2</v>
      </c>
      <c r="AE86" s="31">
        <v>0.1441171287701892</v>
      </c>
      <c r="AF86" s="31"/>
      <c r="AG86" s="31">
        <v>4.04974971239435</v>
      </c>
      <c r="AH86" s="31">
        <v>0.52291803056380914</v>
      </c>
      <c r="AI86" s="31">
        <v>5.4167960100068537</v>
      </c>
      <c r="AJ86" s="31">
        <v>45.564520530668105</v>
      </c>
      <c r="AK86" s="31">
        <v>52.326175618557585</v>
      </c>
      <c r="AL86" s="31">
        <v>0.66877806919570804</v>
      </c>
      <c r="AM86" s="31">
        <v>0.30038240464333776</v>
      </c>
      <c r="AN86" s="31">
        <v>1.0284370555401161</v>
      </c>
      <c r="AO86" s="31">
        <v>6.5202615196868399</v>
      </c>
      <c r="AP86" s="31">
        <v>0.42749047112181915</v>
      </c>
      <c r="AQ86" s="31">
        <v>2.9026398717593525</v>
      </c>
      <c r="AR86" s="31">
        <v>1.8376050369318762</v>
      </c>
      <c r="AS86" s="31">
        <v>2.1853585285702932</v>
      </c>
      <c r="AT86" s="31">
        <v>4.0349670454558151</v>
      </c>
      <c r="AU86" s="31">
        <v>0.40650230089929862</v>
      </c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>
        <v>0.80044950191111042</v>
      </c>
      <c r="DB86" s="31">
        <v>1.204721668199652</v>
      </c>
      <c r="DC86" s="31">
        <v>1.6748492851709513</v>
      </c>
      <c r="DD86" s="31">
        <v>2.190318154227191</v>
      </c>
      <c r="DE86" s="31">
        <v>5.4261029112368151</v>
      </c>
      <c r="DF86" s="31">
        <v>5.3799606609884539E-2</v>
      </c>
      <c r="DG86" s="31">
        <v>0.16136866556537752</v>
      </c>
      <c r="DH86" s="31">
        <v>0.1848829229406839</v>
      </c>
      <c r="DI86" s="31">
        <v>0.52991179639367958</v>
      </c>
      <c r="DJ86" s="31">
        <v>1.7791125147036952</v>
      </c>
      <c r="DK86" s="31">
        <v>0.24678142985698792</v>
      </c>
      <c r="DL86" s="31">
        <v>1.1575406415167948</v>
      </c>
      <c r="DM86" s="31">
        <v>2.6683861779707954</v>
      </c>
      <c r="DN86" s="31">
        <v>6.717956539531567</v>
      </c>
      <c r="DO86" s="31">
        <v>37.455172117913484</v>
      </c>
      <c r="DP86" s="31"/>
      <c r="DQ86" s="31"/>
      <c r="DR86" s="31"/>
      <c r="DS86" s="31"/>
      <c r="DT86" s="31"/>
      <c r="DU86" s="31"/>
      <c r="DV86" s="31">
        <v>214.180391037764</v>
      </c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</row>
    <row r="87" spans="1:212" x14ac:dyDescent="0.35">
      <c r="A87" s="32" t="s">
        <v>198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>
        <v>0.35609168940876612</v>
      </c>
      <c r="X87" s="31">
        <v>0.14867305604696074</v>
      </c>
      <c r="Y87" s="31"/>
      <c r="Z87" s="31"/>
      <c r="AA87" s="31">
        <v>5.6384072002222486E-2</v>
      </c>
      <c r="AB87" s="31"/>
      <c r="AC87" s="31"/>
      <c r="AD87" s="31"/>
      <c r="AE87" s="31">
        <v>2.8314585192221561E-2</v>
      </c>
      <c r="AF87" s="31">
        <v>0.11283003499688314</v>
      </c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>
        <v>1630.1585858538356</v>
      </c>
      <c r="DU87" s="31"/>
      <c r="DV87" s="31">
        <v>1630.8608792914827</v>
      </c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</row>
    <row r="88" spans="1:212" x14ac:dyDescent="0.35">
      <c r="A88" s="32" t="s">
        <v>199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>
        <v>3.5078422791806549E-2</v>
      </c>
      <c r="AI88" s="31">
        <v>6.8184561341713676E-2</v>
      </c>
      <c r="AJ88" s="31">
        <v>3.779409480584397</v>
      </c>
      <c r="AK88" s="31"/>
      <c r="AL88" s="31"/>
      <c r="AM88" s="31"/>
      <c r="AN88" s="31"/>
      <c r="AO88" s="31">
        <v>1.1124946014134762</v>
      </c>
      <c r="AP88" s="31"/>
      <c r="AQ88" s="31">
        <v>0.10088976440735126</v>
      </c>
      <c r="AR88" s="31">
        <v>3.0442044764777458</v>
      </c>
      <c r="AS88" s="31">
        <v>1.1133698580485403</v>
      </c>
      <c r="AT88" s="31">
        <v>3.3695834175595603</v>
      </c>
      <c r="AU88" s="31">
        <v>0.7111922435698852</v>
      </c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>
        <v>1555.6357169752973</v>
      </c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>
        <v>0.99415772290039406</v>
      </c>
      <c r="DB88" s="31">
        <v>2.0120665094101153</v>
      </c>
      <c r="DC88" s="31">
        <v>4.2279115769618016</v>
      </c>
      <c r="DD88" s="31">
        <v>5.9013289648237368</v>
      </c>
      <c r="DE88" s="31">
        <v>29.36226146749145</v>
      </c>
      <c r="DF88" s="31">
        <v>3.7718706924441535E-2</v>
      </c>
      <c r="DG88" s="31">
        <v>0.10584538824043019</v>
      </c>
      <c r="DH88" s="31">
        <v>1.971137894710593E-2</v>
      </c>
      <c r="DI88" s="31">
        <v>0.24006026635669778</v>
      </c>
      <c r="DJ88" s="31">
        <v>3.2481593435339047</v>
      </c>
      <c r="DK88" s="31"/>
      <c r="DL88" s="31">
        <v>0.11499317543663139</v>
      </c>
      <c r="DM88" s="31">
        <v>0.64253396552167785</v>
      </c>
      <c r="DN88" s="31">
        <v>1.2308455817289408</v>
      </c>
      <c r="DO88" s="31">
        <v>84.553907750460368</v>
      </c>
      <c r="DP88" s="31"/>
      <c r="DQ88" s="31"/>
      <c r="DR88" s="31"/>
      <c r="DS88" s="31"/>
      <c r="DT88" s="31"/>
      <c r="DU88" s="31"/>
      <c r="DV88" s="31">
        <v>1701.6616256002292</v>
      </c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</row>
    <row r="89" spans="1:212" x14ac:dyDescent="0.35">
      <c r="A89" s="32" t="s">
        <v>200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>
        <v>3.9335445634317819E-3</v>
      </c>
      <c r="M89" s="31"/>
      <c r="N89" s="31">
        <v>1.2893658175377458</v>
      </c>
      <c r="O89" s="31">
        <v>0.40931633828580555</v>
      </c>
      <c r="P89" s="31">
        <v>0.58502988637909448</v>
      </c>
      <c r="Q89" s="31">
        <v>0.22539807490740996</v>
      </c>
      <c r="R89" s="31">
        <v>1.0925767464718961</v>
      </c>
      <c r="S89" s="31">
        <v>26.206158316924711</v>
      </c>
      <c r="T89" s="31">
        <v>0.36600042699320556</v>
      </c>
      <c r="U89" s="31">
        <v>49.139754872526453</v>
      </c>
      <c r="V89" s="31">
        <v>9.8887241024282453</v>
      </c>
      <c r="W89" s="31">
        <v>7.945711373290071</v>
      </c>
      <c r="X89" s="31"/>
      <c r="Y89" s="31">
        <v>11.173100007118839</v>
      </c>
      <c r="Z89" s="31">
        <v>0.15020008676315524</v>
      </c>
      <c r="AA89" s="31"/>
      <c r="AB89" s="31">
        <v>3.6385599520427858</v>
      </c>
      <c r="AC89" s="31">
        <v>2.3326054109987076</v>
      </c>
      <c r="AD89" s="31">
        <v>2.0213972980807675</v>
      </c>
      <c r="AE89" s="31"/>
      <c r="AF89" s="31"/>
      <c r="AG89" s="31">
        <v>0.69875233911693246</v>
      </c>
      <c r="AH89" s="31">
        <v>0.10089363027517705</v>
      </c>
      <c r="AI89" s="31">
        <v>327.89983663000078</v>
      </c>
      <c r="AJ89" s="31">
        <v>138.33973560231104</v>
      </c>
      <c r="AK89" s="31">
        <v>15.418388733185147</v>
      </c>
      <c r="AL89" s="31">
        <v>2.6035952955892543</v>
      </c>
      <c r="AM89" s="31">
        <v>3.6459506351572775</v>
      </c>
      <c r="AN89" s="31">
        <v>12.816931690988055</v>
      </c>
      <c r="AO89" s="31">
        <v>53.324470689496223</v>
      </c>
      <c r="AP89" s="31"/>
      <c r="AQ89" s="31">
        <v>5.9742276291668036E-4</v>
      </c>
      <c r="AR89" s="31">
        <v>2.4530964165717211</v>
      </c>
      <c r="AS89" s="31">
        <v>55.706914642076555</v>
      </c>
      <c r="AT89" s="31">
        <v>69.289957530606131</v>
      </c>
      <c r="AU89" s="31">
        <v>2.8158366923113092</v>
      </c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>
        <v>1.9459728490957227</v>
      </c>
      <c r="DB89" s="31">
        <v>4.417254671642401</v>
      </c>
      <c r="DC89" s="31">
        <v>10.322868608586917</v>
      </c>
      <c r="DD89" s="31">
        <v>19.629666035623121</v>
      </c>
      <c r="DE89" s="31">
        <v>44.440274905702864</v>
      </c>
      <c r="DF89" s="31">
        <v>0.14392488354997099</v>
      </c>
      <c r="DG89" s="31">
        <v>0.23724642612574867</v>
      </c>
      <c r="DH89" s="31">
        <v>0.71049175432252942</v>
      </c>
      <c r="DI89" s="31">
        <v>1.7775488252352216</v>
      </c>
      <c r="DJ89" s="31">
        <v>7.2947578387449896</v>
      </c>
      <c r="DK89" s="31">
        <v>4.5003397089863818E-2</v>
      </c>
      <c r="DL89" s="31">
        <v>0.5854535998250775</v>
      </c>
      <c r="DM89" s="31">
        <v>1.8987287806773758</v>
      </c>
      <c r="DN89" s="31">
        <v>6.1927145955943717</v>
      </c>
      <c r="DO89" s="31">
        <v>65.61378249432228</v>
      </c>
      <c r="DP89" s="31"/>
      <c r="DQ89" s="31"/>
      <c r="DR89" s="31"/>
      <c r="DS89" s="31"/>
      <c r="DT89" s="31"/>
      <c r="DU89" s="31">
        <v>18.78044769659477</v>
      </c>
      <c r="DV89" s="31">
        <v>985.61892756849409</v>
      </c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</row>
    <row r="90" spans="1:212" x14ac:dyDescent="0.35">
      <c r="A90" s="32" t="s">
        <v>201</v>
      </c>
      <c r="B90" s="31">
        <v>4.4481910170067022E-2</v>
      </c>
      <c r="C90" s="31">
        <v>5.4015164113252103E-3</v>
      </c>
      <c r="D90" s="31">
        <v>4.4083899174567568E-3</v>
      </c>
      <c r="E90" s="31">
        <v>1.017802096319172E-2</v>
      </c>
      <c r="F90" s="31">
        <v>1.6506936805836706E-2</v>
      </c>
      <c r="G90" s="31">
        <v>1.235826311763856E-2</v>
      </c>
      <c r="H90" s="31">
        <v>2.3600624773068811E-2</v>
      </c>
      <c r="I90" s="31">
        <v>1.9671171579657358E-2</v>
      </c>
      <c r="J90" s="31">
        <v>3.7410595253249447E-2</v>
      </c>
      <c r="K90" s="31">
        <v>1.1993083446438686E-3</v>
      </c>
      <c r="L90" s="31"/>
      <c r="M90" s="31">
        <v>1.9247918043049179E-4</v>
      </c>
      <c r="N90" s="31"/>
      <c r="O90" s="31"/>
      <c r="P90" s="31">
        <v>0.40411472688002564</v>
      </c>
      <c r="Q90" s="31">
        <v>0.15560430619664473</v>
      </c>
      <c r="R90" s="31"/>
      <c r="S90" s="31"/>
      <c r="T90" s="31"/>
      <c r="U90" s="31"/>
      <c r="V90" s="31"/>
      <c r="W90" s="31">
        <v>2.0168169459711049</v>
      </c>
      <c r="X90" s="31">
        <v>6.0211380058071677</v>
      </c>
      <c r="Y90" s="31"/>
      <c r="Z90" s="31"/>
      <c r="AA90" s="31">
        <v>1.2159556218387095</v>
      </c>
      <c r="AB90" s="31"/>
      <c r="AC90" s="31"/>
      <c r="AD90" s="31"/>
      <c r="AE90" s="31">
        <v>1.3396871585809027</v>
      </c>
      <c r="AF90" s="31">
        <v>5.1939713961426426</v>
      </c>
      <c r="AG90" s="31"/>
      <c r="AH90" s="31">
        <v>0.19425372496065776</v>
      </c>
      <c r="AI90" s="31">
        <v>0.16447372020081277</v>
      </c>
      <c r="AJ90" s="31">
        <v>2.6285130229474016</v>
      </c>
      <c r="AK90" s="31">
        <v>1.1569190571388674</v>
      </c>
      <c r="AL90" s="31">
        <v>0.68456336541146068</v>
      </c>
      <c r="AM90" s="31"/>
      <c r="AN90" s="31"/>
      <c r="AO90" s="31">
        <v>2.8382751693293859</v>
      </c>
      <c r="AP90" s="31"/>
      <c r="AQ90" s="31">
        <v>0.42044195790378908</v>
      </c>
      <c r="AR90" s="31">
        <v>19.407957636016565</v>
      </c>
      <c r="AS90" s="31">
        <v>1.159364949017899</v>
      </c>
      <c r="AT90" s="31">
        <v>2.1990192430101567</v>
      </c>
      <c r="AU90" s="31">
        <v>7.4859211453248751</v>
      </c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>
        <v>1.9685335428797232E-2</v>
      </c>
      <c r="DE90" s="31">
        <v>2.0368931501907852</v>
      </c>
      <c r="DF90" s="31"/>
      <c r="DG90" s="31"/>
      <c r="DH90" s="31"/>
      <c r="DI90" s="31"/>
      <c r="DJ90" s="31">
        <v>0.32018129304547555</v>
      </c>
      <c r="DK90" s="31"/>
      <c r="DL90" s="31"/>
      <c r="DM90" s="31"/>
      <c r="DN90" s="31"/>
      <c r="DO90" s="31">
        <v>32.143193730517673</v>
      </c>
      <c r="DP90" s="31"/>
      <c r="DQ90" s="31"/>
      <c r="DR90" s="31"/>
      <c r="DS90" s="31"/>
      <c r="DT90" s="31"/>
      <c r="DU90" s="31">
        <v>64.193715387200498</v>
      </c>
      <c r="DV90" s="31">
        <v>153.57606926557884</v>
      </c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</row>
    <row r="91" spans="1:212" x14ac:dyDescent="0.35">
      <c r="A91" s="32" t="s">
        <v>549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>
        <v>0.52565772394240029</v>
      </c>
      <c r="Q91" s="31">
        <v>0.2023351715037168</v>
      </c>
      <c r="R91" s="31"/>
      <c r="S91" s="31"/>
      <c r="T91" s="31"/>
      <c r="U91" s="31"/>
      <c r="V91" s="31"/>
      <c r="W91" s="31">
        <v>2.2049688007052035</v>
      </c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>
        <v>0.27410281340257869</v>
      </c>
      <c r="AK91" s="31"/>
      <c r="AL91" s="31"/>
      <c r="AM91" s="31">
        <v>39.064517347682241</v>
      </c>
      <c r="AN91" s="31"/>
      <c r="AO91" s="31">
        <v>0.42232898632050042</v>
      </c>
      <c r="AP91" s="31"/>
      <c r="AQ91" s="31"/>
      <c r="AR91" s="31"/>
      <c r="AS91" s="31">
        <v>28.926776468549022</v>
      </c>
      <c r="AT91" s="31">
        <v>12.488299567511373</v>
      </c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>
        <v>2.20657954002069</v>
      </c>
      <c r="DB91" s="31">
        <v>4.4068486096613508</v>
      </c>
      <c r="DC91" s="31">
        <v>7.6626881631519659</v>
      </c>
      <c r="DD91" s="31">
        <v>11.176548233861601</v>
      </c>
      <c r="DE91" s="31">
        <v>19.37987346871779</v>
      </c>
      <c r="DF91" s="31">
        <v>0.26905942037647346</v>
      </c>
      <c r="DG91" s="31">
        <v>0.38072816850215108</v>
      </c>
      <c r="DH91" s="31">
        <v>0.52026791077782608</v>
      </c>
      <c r="DI91" s="31">
        <v>1.0447785372067726</v>
      </c>
      <c r="DJ91" s="31">
        <v>4.0946825741127384</v>
      </c>
      <c r="DK91" s="31">
        <v>0.19078226764277068</v>
      </c>
      <c r="DL91" s="31">
        <v>0.57992246259849667</v>
      </c>
      <c r="DM91" s="31">
        <v>1.687439213882137</v>
      </c>
      <c r="DN91" s="31">
        <v>5.6909329887140565</v>
      </c>
      <c r="DO91" s="31">
        <v>29.066510964121068</v>
      </c>
      <c r="DP91" s="31"/>
      <c r="DQ91" s="31"/>
      <c r="DR91" s="31"/>
      <c r="DS91" s="31"/>
      <c r="DT91" s="31"/>
      <c r="DU91" s="31">
        <v>7.9396888731802822</v>
      </c>
      <c r="DV91" s="31">
        <v>180.40631827614519</v>
      </c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</row>
    <row r="92" spans="1:212" x14ac:dyDescent="0.35">
      <c r="A92" s="32" t="s">
        <v>202</v>
      </c>
      <c r="B92" s="31">
        <v>0.4704910232978271</v>
      </c>
      <c r="C92" s="31">
        <v>5.7466225416936176E-2</v>
      </c>
      <c r="D92" s="31">
        <v>4.6915775420023696E-2</v>
      </c>
      <c r="E92" s="31">
        <v>0.10832351492237846</v>
      </c>
      <c r="F92" s="31">
        <v>0.17574089997772632</v>
      </c>
      <c r="G92" s="31">
        <v>0.13151708675246818</v>
      </c>
      <c r="H92" s="31">
        <v>0.27743059090284333</v>
      </c>
      <c r="I92" s="31">
        <v>0.20943987118270457</v>
      </c>
      <c r="J92" s="31">
        <v>0.39816169230565684</v>
      </c>
      <c r="K92" s="31">
        <v>1.2782867218900049E-2</v>
      </c>
      <c r="L92" s="31">
        <v>2.3653306136839562E-4</v>
      </c>
      <c r="M92" s="31">
        <v>2.0468498829730878E-3</v>
      </c>
      <c r="N92" s="31"/>
      <c r="O92" s="31"/>
      <c r="P92" s="31">
        <v>1.4872404863348851</v>
      </c>
      <c r="Q92" s="31">
        <v>0.57244775062315345</v>
      </c>
      <c r="R92" s="31">
        <v>0.83849899859491794</v>
      </c>
      <c r="S92" s="31">
        <v>20.891099608508341</v>
      </c>
      <c r="T92" s="31">
        <v>1.3827642661442558</v>
      </c>
      <c r="U92" s="31">
        <v>11.068745823916094</v>
      </c>
      <c r="V92" s="31">
        <v>5.5168132624190402</v>
      </c>
      <c r="W92" s="31">
        <v>36.445208537312148</v>
      </c>
      <c r="X92" s="31">
        <v>5.3377848336315576</v>
      </c>
      <c r="Y92" s="31">
        <v>2.687428704766424</v>
      </c>
      <c r="Z92" s="31">
        <v>0.10174919619827071</v>
      </c>
      <c r="AA92" s="31"/>
      <c r="AB92" s="31">
        <v>1.4735072964791951</v>
      </c>
      <c r="AC92" s="31">
        <v>0.49094899119801078</v>
      </c>
      <c r="AD92" s="31">
        <v>0.53330543770156602</v>
      </c>
      <c r="AE92" s="31">
        <v>0.2234338485365267</v>
      </c>
      <c r="AF92" s="31"/>
      <c r="AG92" s="31">
        <v>0.34391146982622034</v>
      </c>
      <c r="AH92" s="31">
        <v>0.17387836371969062</v>
      </c>
      <c r="AI92" s="31">
        <v>0.11942647706213577</v>
      </c>
      <c r="AJ92" s="31">
        <v>58.807265232856466</v>
      </c>
      <c r="AK92" s="31">
        <v>31.854151110929791</v>
      </c>
      <c r="AL92" s="31">
        <v>5.4939566089295635</v>
      </c>
      <c r="AM92" s="31">
        <v>1.8386758276005324</v>
      </c>
      <c r="AN92" s="31">
        <v>48.767969630609294</v>
      </c>
      <c r="AO92" s="31">
        <v>51.995885909846201</v>
      </c>
      <c r="AP92" s="31">
        <v>5.3372186210402051</v>
      </c>
      <c r="AQ92" s="31">
        <v>44.833554771748304</v>
      </c>
      <c r="AR92" s="31">
        <v>2.4716192175041227</v>
      </c>
      <c r="AS92" s="31">
        <v>25.816221791774549</v>
      </c>
      <c r="AT92" s="31">
        <v>10.213410647447285</v>
      </c>
      <c r="AU92" s="31">
        <v>1.8522966715250448</v>
      </c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>
        <v>3.7278748293048474</v>
      </c>
      <c r="DB92" s="31">
        <v>7.9289464626784945</v>
      </c>
      <c r="DC92" s="31">
        <v>14.747553439224596</v>
      </c>
      <c r="DD92" s="31">
        <v>20.694823148625247</v>
      </c>
      <c r="DE92" s="31">
        <v>57.769837390906588</v>
      </c>
      <c r="DF92" s="31">
        <v>0.3823262407200686</v>
      </c>
      <c r="DG92" s="31">
        <v>0.45849269736978682</v>
      </c>
      <c r="DH92" s="31">
        <v>0.84179693850097448</v>
      </c>
      <c r="DI92" s="31">
        <v>1.8907692713645343</v>
      </c>
      <c r="DJ92" s="31">
        <v>10.762558528034035</v>
      </c>
      <c r="DK92" s="31">
        <v>0.54734921567179606</v>
      </c>
      <c r="DL92" s="31">
        <v>1.4883405117234727</v>
      </c>
      <c r="DM92" s="31">
        <v>6.033611988603</v>
      </c>
      <c r="DN92" s="31">
        <v>16.043400846295491</v>
      </c>
      <c r="DO92" s="31">
        <v>140.16357621571612</v>
      </c>
      <c r="DP92" s="31"/>
      <c r="DQ92" s="31"/>
      <c r="DR92" s="31"/>
      <c r="DS92" s="31"/>
      <c r="DT92" s="31"/>
      <c r="DU92" s="31">
        <v>36.678133124981493</v>
      </c>
      <c r="DV92" s="31">
        <v>701.02036317484612</v>
      </c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</row>
    <row r="93" spans="1:212" x14ac:dyDescent="0.35">
      <c r="A93" s="32" t="s">
        <v>203</v>
      </c>
      <c r="B93" s="31"/>
      <c r="C93" s="31"/>
      <c r="D93" s="31"/>
      <c r="E93" s="31"/>
      <c r="F93" s="31"/>
      <c r="G93" s="31">
        <v>2.6925145165245827</v>
      </c>
      <c r="H93" s="31">
        <v>18.92160453081166</v>
      </c>
      <c r="I93" s="31"/>
      <c r="J93" s="31"/>
      <c r="K93" s="31">
        <v>0.43814374849722837</v>
      </c>
      <c r="L93" s="31">
        <v>0.14531614398810419</v>
      </c>
      <c r="M93" s="31">
        <v>1.0526381871784072</v>
      </c>
      <c r="N93" s="31">
        <v>1.3339959296267991</v>
      </c>
      <c r="O93" s="31">
        <v>0.42269862111400902</v>
      </c>
      <c r="P93" s="31">
        <v>5.5393764088311404</v>
      </c>
      <c r="Q93" s="31">
        <v>2.1298256894410721</v>
      </c>
      <c r="R93" s="31">
        <v>1.2798510768096367</v>
      </c>
      <c r="S93" s="31">
        <v>32.606140210511583</v>
      </c>
      <c r="T93" s="31">
        <v>0.76529499110677834</v>
      </c>
      <c r="U93" s="31">
        <v>4.1515466355459543</v>
      </c>
      <c r="V93" s="31">
        <v>2.7299802796182684</v>
      </c>
      <c r="W93" s="31">
        <v>3.8522939135244689</v>
      </c>
      <c r="X93" s="31">
        <v>2.0724333391598408</v>
      </c>
      <c r="Y93" s="31">
        <v>2.2496555327331675</v>
      </c>
      <c r="Z93" s="31">
        <v>0.17555705943173361</v>
      </c>
      <c r="AA93" s="31">
        <v>7.8318078573135619</v>
      </c>
      <c r="AB93" s="31">
        <v>2.8288579974541013</v>
      </c>
      <c r="AC93" s="31">
        <v>0.37761136134232853</v>
      </c>
      <c r="AD93" s="31">
        <v>0.5425758325430261</v>
      </c>
      <c r="AE93" s="31">
        <v>0.36738564949983776</v>
      </c>
      <c r="AF93" s="31">
        <v>1.5901570822223634</v>
      </c>
      <c r="AG93" s="31">
        <v>4.9152875432380699E-2</v>
      </c>
      <c r="AH93" s="31">
        <v>4.304113336547636E-2</v>
      </c>
      <c r="AI93" s="31">
        <v>41.384163839030549</v>
      </c>
      <c r="AJ93" s="31">
        <v>101.09090570658941</v>
      </c>
      <c r="AK93" s="31">
        <v>4.6758795349730695</v>
      </c>
      <c r="AL93" s="31">
        <v>9.7459329009124271</v>
      </c>
      <c r="AM93" s="31">
        <v>10.729086744978202</v>
      </c>
      <c r="AN93" s="31">
        <v>25.672948832805947</v>
      </c>
      <c r="AO93" s="31">
        <v>31.609550239445834</v>
      </c>
      <c r="AP93" s="31">
        <v>225.41136070703746</v>
      </c>
      <c r="AQ93" s="31">
        <v>52.731139342921288</v>
      </c>
      <c r="AR93" s="31">
        <v>8.7356073659579554</v>
      </c>
      <c r="AS93" s="31">
        <v>3.5146873313510913</v>
      </c>
      <c r="AT93" s="31">
        <v>5.0500276263834492</v>
      </c>
      <c r="AU93" s="31">
        <v>4.5886693706960857</v>
      </c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>
        <v>4.5452340765881449E-2</v>
      </c>
      <c r="DE93" s="31">
        <v>0.73785036323825581</v>
      </c>
      <c r="DF93" s="31"/>
      <c r="DG93" s="31"/>
      <c r="DH93" s="31"/>
      <c r="DI93" s="31"/>
      <c r="DJ93" s="31">
        <v>5.1686961850733515E-2</v>
      </c>
      <c r="DK93" s="31"/>
      <c r="DL93" s="31"/>
      <c r="DM93" s="31">
        <v>2.1524281667678097E-3</v>
      </c>
      <c r="DN93" s="31">
        <v>1.8527227711613348E-2</v>
      </c>
      <c r="DO93" s="31">
        <v>62.841711153523079</v>
      </c>
      <c r="DP93" s="31"/>
      <c r="DQ93" s="31"/>
      <c r="DR93" s="31"/>
      <c r="DS93" s="31"/>
      <c r="DT93" s="31"/>
      <c r="DU93" s="31">
        <v>30.280015771924152</v>
      </c>
      <c r="DV93" s="31">
        <v>715.10681239389078</v>
      </c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</row>
    <row r="94" spans="1:212" x14ac:dyDescent="0.35">
      <c r="A94" s="32" t="s">
        <v>204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>
        <v>3.8009380260727195E-4</v>
      </c>
      <c r="M94" s="31"/>
      <c r="N94" s="31"/>
      <c r="O94" s="31"/>
      <c r="P94" s="31">
        <v>3.7457663599512054</v>
      </c>
      <c r="Q94" s="31">
        <v>1.4429549472471244</v>
      </c>
      <c r="R94" s="31">
        <v>0.64933494579565709</v>
      </c>
      <c r="S94" s="31">
        <v>15.874025136797057</v>
      </c>
      <c r="T94" s="31">
        <v>0.87447187087995237</v>
      </c>
      <c r="U94" s="31">
        <v>14.870332485638672</v>
      </c>
      <c r="V94" s="31">
        <v>0.96283147355200072</v>
      </c>
      <c r="W94" s="31"/>
      <c r="X94" s="31">
        <v>2.7643075997140016</v>
      </c>
      <c r="Y94" s="31"/>
      <c r="Z94" s="31">
        <v>9.1987263212986708E-3</v>
      </c>
      <c r="AA94" s="31"/>
      <c r="AB94" s="31">
        <v>0.10762551634526887</v>
      </c>
      <c r="AC94" s="31"/>
      <c r="AD94" s="31"/>
      <c r="AE94" s="31">
        <v>5.4461526265751348E-2</v>
      </c>
      <c r="AF94" s="31"/>
      <c r="AG94" s="31"/>
      <c r="AH94" s="31"/>
      <c r="AI94" s="31">
        <v>8.5448907681466377E-3</v>
      </c>
      <c r="AJ94" s="31">
        <v>66.66589536399988</v>
      </c>
      <c r="AK94" s="31"/>
      <c r="AL94" s="31"/>
      <c r="AM94" s="31">
        <v>0.69780035703875098</v>
      </c>
      <c r="AN94" s="31">
        <v>13.740784029391309</v>
      </c>
      <c r="AO94" s="31">
        <v>20.009063033530612</v>
      </c>
      <c r="AP94" s="31"/>
      <c r="AQ94" s="31">
        <v>51.297542877896795</v>
      </c>
      <c r="AR94" s="31">
        <v>13.966134839052188</v>
      </c>
      <c r="AS94" s="31">
        <v>5.0654948310105405</v>
      </c>
      <c r="AT94" s="31">
        <v>6.9755903622660513</v>
      </c>
      <c r="AU94" s="31">
        <v>0.85343101689927792</v>
      </c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>
        <v>27.274212301967907</v>
      </c>
      <c r="DB94" s="31">
        <v>33.200978745094616</v>
      </c>
      <c r="DC94" s="31">
        <v>46.529317448432387</v>
      </c>
      <c r="DD94" s="31">
        <v>55.687398298879373</v>
      </c>
      <c r="DE94" s="31">
        <v>90.095040497242834</v>
      </c>
      <c r="DF94" s="31">
        <v>1.9028313536630848</v>
      </c>
      <c r="DG94" s="31">
        <v>2.1010683943476964</v>
      </c>
      <c r="DH94" s="31">
        <v>2.5249545570916272</v>
      </c>
      <c r="DI94" s="31">
        <v>4.896266692753092</v>
      </c>
      <c r="DJ94" s="31">
        <v>36.692996593301068</v>
      </c>
      <c r="DK94" s="31">
        <v>1.7615527929466825</v>
      </c>
      <c r="DL94" s="31">
        <v>4.2812341904402373</v>
      </c>
      <c r="DM94" s="31">
        <v>12.315122299658364</v>
      </c>
      <c r="DN94" s="31">
        <v>28.237300906742306</v>
      </c>
      <c r="DO94" s="31">
        <v>232.56000849048584</v>
      </c>
      <c r="DP94" s="31"/>
      <c r="DQ94" s="31"/>
      <c r="DR94" s="31"/>
      <c r="DS94" s="31"/>
      <c r="DT94" s="31"/>
      <c r="DU94" s="31"/>
      <c r="DV94" s="31">
        <v>800.69625584721132</v>
      </c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</row>
    <row r="95" spans="1:212" x14ac:dyDescent="0.35">
      <c r="A95" s="32" t="s">
        <v>205</v>
      </c>
      <c r="B95" s="31"/>
      <c r="C95" s="31"/>
      <c r="D95" s="31"/>
      <c r="E95" s="31"/>
      <c r="F95" s="31"/>
      <c r="G95" s="31">
        <v>1.5961440744367659</v>
      </c>
      <c r="H95" s="31">
        <v>0.21033504513540255</v>
      </c>
      <c r="I95" s="31"/>
      <c r="J95" s="31"/>
      <c r="K95" s="31">
        <v>0.47814813799961775</v>
      </c>
      <c r="L95" s="31"/>
      <c r="M95" s="31"/>
      <c r="N95" s="31">
        <v>0.46111485438945088</v>
      </c>
      <c r="O95" s="31">
        <v>0.14564908174819449</v>
      </c>
      <c r="P95" s="31">
        <v>2.3650356931086485</v>
      </c>
      <c r="Q95" s="31">
        <v>0.9124717681041371</v>
      </c>
      <c r="R95" s="31"/>
      <c r="S95" s="31"/>
      <c r="T95" s="31"/>
      <c r="U95" s="31">
        <v>2.1952066614380699</v>
      </c>
      <c r="V95" s="31">
        <v>3.2718430315085474</v>
      </c>
      <c r="W95" s="31">
        <v>32.728178399484179</v>
      </c>
      <c r="X95" s="31">
        <v>0.46109809635557264</v>
      </c>
      <c r="Y95" s="31">
        <v>2.3097969866199528</v>
      </c>
      <c r="Z95" s="31">
        <v>8.2984785733106622E-2</v>
      </c>
      <c r="AA95" s="31"/>
      <c r="AB95" s="31">
        <v>1.3188966002651605</v>
      </c>
      <c r="AC95" s="31">
        <v>0.55673870402720493</v>
      </c>
      <c r="AD95" s="31">
        <v>0.4812581459969365</v>
      </c>
      <c r="AE95" s="31">
        <v>0.13174255966341647</v>
      </c>
      <c r="AF95" s="31">
        <v>0.49750180187649218</v>
      </c>
      <c r="AG95" s="31">
        <v>1.2205707031425315</v>
      </c>
      <c r="AH95" s="31">
        <v>2.2160414417315408</v>
      </c>
      <c r="AI95" s="31">
        <v>16.164410412921324</v>
      </c>
      <c r="AJ95" s="31">
        <v>34.520282185142293</v>
      </c>
      <c r="AK95" s="31">
        <v>10.361850290495374</v>
      </c>
      <c r="AL95" s="31">
        <v>0.72447061495923026</v>
      </c>
      <c r="AM95" s="31">
        <v>0.81335470395309595</v>
      </c>
      <c r="AN95" s="31">
        <v>16.325885726167943</v>
      </c>
      <c r="AO95" s="31">
        <v>9.3043680104416016</v>
      </c>
      <c r="AP95" s="31">
        <v>8.0701143282591499</v>
      </c>
      <c r="AQ95" s="31">
        <v>63.002657980242113</v>
      </c>
      <c r="AR95" s="31">
        <v>28.89063365325196</v>
      </c>
      <c r="AS95" s="31">
        <v>24.590000073668119</v>
      </c>
      <c r="AT95" s="31">
        <v>53.522355890220105</v>
      </c>
      <c r="AU95" s="31">
        <v>1.5069828719944856</v>
      </c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>
        <v>6.5524188724551102</v>
      </c>
      <c r="DB95" s="31">
        <v>8.2543925595613743</v>
      </c>
      <c r="DC95" s="31">
        <v>12.262000446408596</v>
      </c>
      <c r="DD95" s="31">
        <v>14.437756101518175</v>
      </c>
      <c r="DE95" s="31">
        <v>18.039995140490618</v>
      </c>
      <c r="DF95" s="31">
        <v>0.39465940827342183</v>
      </c>
      <c r="DG95" s="31">
        <v>0.42258352384220527</v>
      </c>
      <c r="DH95" s="31">
        <v>0.45331870194975671</v>
      </c>
      <c r="DI95" s="31">
        <v>0.83346446777238481</v>
      </c>
      <c r="DJ95" s="31">
        <v>1.5765647620413266</v>
      </c>
      <c r="DK95" s="31">
        <v>0.25537592143673565</v>
      </c>
      <c r="DL95" s="31">
        <v>0.71889007647632586</v>
      </c>
      <c r="DM95" s="31">
        <v>1.6396805368496437</v>
      </c>
      <c r="DN95" s="31">
        <v>3.6763039421762622</v>
      </c>
      <c r="DO95" s="31">
        <v>15.035977844480366</v>
      </c>
      <c r="DP95" s="31"/>
      <c r="DQ95" s="31"/>
      <c r="DR95" s="31"/>
      <c r="DS95" s="31"/>
      <c r="DT95" s="31"/>
      <c r="DU95" s="31">
        <v>4.0619152171830848</v>
      </c>
      <c r="DV95" s="31">
        <v>410.05342083739708</v>
      </c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</row>
    <row r="96" spans="1:212" x14ac:dyDescent="0.35">
      <c r="A96" s="32" t="s">
        <v>206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>
        <v>9.4289737197376891</v>
      </c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>
        <v>398.13884680531311</v>
      </c>
      <c r="DQ96" s="31"/>
      <c r="DR96" s="31"/>
      <c r="DS96" s="31"/>
      <c r="DT96" s="31"/>
      <c r="DU96" s="31">
        <v>5.2715532606251223</v>
      </c>
      <c r="DV96" s="31">
        <v>412.83937378567595</v>
      </c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</row>
    <row r="97" spans="1:212" x14ac:dyDescent="0.35">
      <c r="A97" s="32" t="s">
        <v>207</v>
      </c>
      <c r="B97" s="31">
        <v>2.8489297552541797E-2</v>
      </c>
      <c r="C97" s="31">
        <v>3.4807642291211065E-3</v>
      </c>
      <c r="D97" s="31">
        <v>2.841923222719229E-3</v>
      </c>
      <c r="E97" s="31">
        <v>6.5624084318022975E-3</v>
      </c>
      <c r="F97" s="31">
        <v>1.0644445370067722E-2</v>
      </c>
      <c r="G97" s="31">
        <v>7.9665474872698452E-3</v>
      </c>
      <c r="H97" s="31">
        <v>1.6980142323658284E-2</v>
      </c>
      <c r="I97" s="31">
        <v>1.2677684069761885E-2</v>
      </c>
      <c r="J97" s="31">
        <v>2.412193510226851E-2</v>
      </c>
      <c r="K97" s="31">
        <v>7.7441456265262205E-4</v>
      </c>
      <c r="L97" s="31"/>
      <c r="M97" s="31">
        <v>1.2398575755552044E-4</v>
      </c>
      <c r="N97" s="31"/>
      <c r="O97" s="31"/>
      <c r="P97" s="31"/>
      <c r="Q97" s="31"/>
      <c r="R97" s="31"/>
      <c r="S97" s="31"/>
      <c r="T97" s="31"/>
      <c r="U97" s="31"/>
      <c r="V97" s="31"/>
      <c r="W97" s="31">
        <v>0.13843233837181829</v>
      </c>
      <c r="X97" s="31">
        <v>1.2381107916758711</v>
      </c>
      <c r="Y97" s="31"/>
      <c r="Z97" s="31"/>
      <c r="AA97" s="31">
        <v>0.11006029739440878</v>
      </c>
      <c r="AB97" s="31"/>
      <c r="AC97" s="31"/>
      <c r="AD97" s="31"/>
      <c r="AE97" s="31">
        <v>8.4522851491520223E-2</v>
      </c>
      <c r="AF97" s="31">
        <v>0.32725107699762096</v>
      </c>
      <c r="AG97" s="31"/>
      <c r="AH97" s="31">
        <v>5.2473455627260829E-2</v>
      </c>
      <c r="AI97" s="31">
        <v>2.4809957234942271E-2</v>
      </c>
      <c r="AJ97" s="31"/>
      <c r="AK97" s="31"/>
      <c r="AL97" s="31"/>
      <c r="AM97" s="31"/>
      <c r="AN97" s="31"/>
      <c r="AO97" s="31">
        <v>0.28226807556363565</v>
      </c>
      <c r="AP97" s="31"/>
      <c r="AQ97" s="31">
        <v>0.17929694698294796</v>
      </c>
      <c r="AR97" s="31">
        <v>9.3046150672663792</v>
      </c>
      <c r="AS97" s="31">
        <v>194.24833335297714</v>
      </c>
      <c r="AT97" s="31">
        <v>53.658453081242676</v>
      </c>
      <c r="AU97" s="31">
        <v>4.9062052803460636</v>
      </c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>
        <v>2.3592900351269712</v>
      </c>
      <c r="DB97" s="31">
        <v>3.2785795522526562</v>
      </c>
      <c r="DC97" s="31">
        <v>5.3708590317957405</v>
      </c>
      <c r="DD97" s="31">
        <v>7.5604533346272591</v>
      </c>
      <c r="DE97" s="31">
        <v>25.238193597262274</v>
      </c>
      <c r="DF97" s="31">
        <v>0.14595437869689487</v>
      </c>
      <c r="DG97" s="31">
        <v>0.13876251132661457</v>
      </c>
      <c r="DH97" s="31">
        <v>0.37270508610244213</v>
      </c>
      <c r="DI97" s="31">
        <v>0.41691597186962343</v>
      </c>
      <c r="DJ97" s="31">
        <v>2.5960128404633158</v>
      </c>
      <c r="DK97" s="31">
        <v>0.15106603727161563</v>
      </c>
      <c r="DL97" s="31">
        <v>0.564163197498735</v>
      </c>
      <c r="DM97" s="31">
        <v>1.6024095008494221</v>
      </c>
      <c r="DN97" s="31">
        <v>5.1552160210192737</v>
      </c>
      <c r="DO97" s="31">
        <v>70.719728156129477</v>
      </c>
      <c r="DP97" s="31">
        <v>268.25070149346226</v>
      </c>
      <c r="DQ97" s="31"/>
      <c r="DR97" s="31"/>
      <c r="DS97" s="31"/>
      <c r="DT97" s="31"/>
      <c r="DU97" s="31">
        <v>1.5077344278322573</v>
      </c>
      <c r="DV97" s="31">
        <v>660.09824129486856</v>
      </c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</row>
    <row r="98" spans="1:212" x14ac:dyDescent="0.35">
      <c r="A98" s="32" t="s">
        <v>208</v>
      </c>
      <c r="B98" s="31">
        <v>1.0465884636767637E-2</v>
      </c>
      <c r="C98" s="31">
        <v>1.2787450190851356E-3</v>
      </c>
      <c r="D98" s="31">
        <v>1.0440558157490719E-3</v>
      </c>
      <c r="E98" s="31">
        <v>2.4108841735768845E-3</v>
      </c>
      <c r="F98" s="31">
        <v>3.9104887825154536E-3</v>
      </c>
      <c r="G98" s="31">
        <v>2.9267163916019429E-3</v>
      </c>
      <c r="H98" s="31">
        <v>6.2406116384450616E-3</v>
      </c>
      <c r="I98" s="31">
        <v>4.6573228883732016E-3</v>
      </c>
      <c r="J98" s="31">
        <v>8.8618083896866776E-3</v>
      </c>
      <c r="K98" s="31">
        <v>2.8450341585242625E-4</v>
      </c>
      <c r="L98" s="31"/>
      <c r="M98" s="31">
        <v>4.5549487676490825E-5</v>
      </c>
      <c r="N98" s="31">
        <v>0.29395716651392317</v>
      </c>
      <c r="O98" s="31">
        <v>9.2741973977115227E-2</v>
      </c>
      <c r="P98" s="31"/>
      <c r="Q98" s="31"/>
      <c r="R98" s="31"/>
      <c r="S98" s="31"/>
      <c r="T98" s="31"/>
      <c r="U98" s="31"/>
      <c r="V98" s="31"/>
      <c r="W98" s="31">
        <v>6.8122275381331088E-2</v>
      </c>
      <c r="X98" s="31">
        <v>0.17413016958896013</v>
      </c>
      <c r="Y98" s="31"/>
      <c r="Z98" s="31"/>
      <c r="AA98" s="31">
        <v>1.5524293331867729E-2</v>
      </c>
      <c r="AB98" s="31"/>
      <c r="AC98" s="31"/>
      <c r="AD98" s="31"/>
      <c r="AE98" s="31">
        <v>1.1921707662809674E-2</v>
      </c>
      <c r="AF98" s="31">
        <v>4.6095479807175668E-2</v>
      </c>
      <c r="AG98" s="31"/>
      <c r="AH98" s="31"/>
      <c r="AI98" s="31"/>
      <c r="AJ98" s="31">
        <v>45.398062416334433</v>
      </c>
      <c r="AK98" s="31"/>
      <c r="AL98" s="31"/>
      <c r="AM98" s="31"/>
      <c r="AN98" s="31"/>
      <c r="AO98" s="31">
        <v>2.1451477554232858</v>
      </c>
      <c r="AP98" s="31"/>
      <c r="AQ98" s="31"/>
      <c r="AR98" s="31">
        <v>1.0433416697927589</v>
      </c>
      <c r="AS98" s="31">
        <v>4.2353553492390574</v>
      </c>
      <c r="AT98" s="31">
        <v>62.039498698842579</v>
      </c>
      <c r="AU98" s="31">
        <v>0.25624076496454951</v>
      </c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>
        <v>29.4024802742085</v>
      </c>
      <c r="DB98" s="31">
        <v>43.601220747021543</v>
      </c>
      <c r="DC98" s="31">
        <v>73.037067806259287</v>
      </c>
      <c r="DD98" s="31">
        <v>94.53073200609056</v>
      </c>
      <c r="DE98" s="31">
        <v>169.70769325366049</v>
      </c>
      <c r="DF98" s="31">
        <v>3.3736463529582856</v>
      </c>
      <c r="DG98" s="31">
        <v>4.8715921179423471</v>
      </c>
      <c r="DH98" s="31">
        <v>3.6156025968785483</v>
      </c>
      <c r="DI98" s="31">
        <v>6.8321807142479924</v>
      </c>
      <c r="DJ98" s="31">
        <v>15.050767845948647</v>
      </c>
      <c r="DK98" s="31">
        <v>1.1395704650342329</v>
      </c>
      <c r="DL98" s="31">
        <v>1.8682050353685098</v>
      </c>
      <c r="DM98" s="31">
        <v>10.352497220662476</v>
      </c>
      <c r="DN98" s="31">
        <v>18.044894402188493</v>
      </c>
      <c r="DO98" s="31">
        <v>271.55239465696371</v>
      </c>
      <c r="DP98" s="31">
        <v>53.764016607061045</v>
      </c>
      <c r="DQ98" s="31"/>
      <c r="DR98" s="31"/>
      <c r="DS98" s="31"/>
      <c r="DT98" s="31"/>
      <c r="DU98" s="31">
        <v>7.9468796521924318E-2</v>
      </c>
      <c r="DV98" s="31">
        <v>916.6862971905158</v>
      </c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</row>
    <row r="99" spans="1:212" x14ac:dyDescent="0.35">
      <c r="A99" s="32" t="s">
        <v>209</v>
      </c>
      <c r="B99" s="31"/>
      <c r="C99" s="31"/>
      <c r="D99" s="31"/>
      <c r="E99" s="31"/>
      <c r="F99" s="31"/>
      <c r="G99" s="31"/>
      <c r="H99" s="31"/>
      <c r="I99" s="31"/>
      <c r="J99" s="31">
        <v>0.28993598131334786</v>
      </c>
      <c r="K99" s="31">
        <v>0.23878247609410441</v>
      </c>
      <c r="L99" s="31">
        <v>8.7416642876097541E-4</v>
      </c>
      <c r="M99" s="31">
        <v>0.1116067824751386</v>
      </c>
      <c r="N99" s="31">
        <v>0.79509865737068219</v>
      </c>
      <c r="O99" s="31">
        <v>0.25136829333136002</v>
      </c>
      <c r="P99" s="31"/>
      <c r="Q99" s="31"/>
      <c r="R99" s="31">
        <v>0.43514174858451232</v>
      </c>
      <c r="S99" s="31">
        <v>10.609771799769225</v>
      </c>
      <c r="T99" s="31">
        <v>0.17519767245353035</v>
      </c>
      <c r="U99" s="31">
        <v>5.4919443377693318</v>
      </c>
      <c r="V99" s="31">
        <v>1.028965355988348</v>
      </c>
      <c r="W99" s="31">
        <v>0.84411445960710818</v>
      </c>
      <c r="X99" s="31">
        <v>0.1633241572359192</v>
      </c>
      <c r="Y99" s="31">
        <v>0.95377024299746216</v>
      </c>
      <c r="Z99" s="31">
        <v>1.9997089231659324E-3</v>
      </c>
      <c r="AA99" s="31"/>
      <c r="AB99" s="31">
        <v>0.54459112354332062</v>
      </c>
      <c r="AC99" s="31"/>
      <c r="AD99" s="31"/>
      <c r="AE99" s="31">
        <v>1.0270717888469942</v>
      </c>
      <c r="AF99" s="31">
        <v>4.5484061807976799</v>
      </c>
      <c r="AG99" s="31">
        <v>1.2288911626920137E-2</v>
      </c>
      <c r="AH99" s="31">
        <v>5.0113196874145692E-2</v>
      </c>
      <c r="AI99" s="31"/>
      <c r="AJ99" s="31">
        <v>1.4609301411232256</v>
      </c>
      <c r="AK99" s="31">
        <v>0.29208449492604432</v>
      </c>
      <c r="AL99" s="31">
        <v>0.32690018473505067</v>
      </c>
      <c r="AM99" s="31"/>
      <c r="AN99" s="31">
        <v>0.50962300767279678</v>
      </c>
      <c r="AO99" s="31">
        <v>4.4200278966239486</v>
      </c>
      <c r="AP99" s="31"/>
      <c r="AQ99" s="31">
        <v>8.8193578993668531E-2</v>
      </c>
      <c r="AR99" s="31">
        <v>0.32682348123553606</v>
      </c>
      <c r="AS99" s="31">
        <v>17.28260963913997</v>
      </c>
      <c r="AT99" s="31">
        <v>5.3287887288380205</v>
      </c>
      <c r="AU99" s="31">
        <v>29.69546526099856</v>
      </c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>
        <v>1.0029048378568557</v>
      </c>
      <c r="DB99" s="31">
        <v>2.3706619873031389</v>
      </c>
      <c r="DC99" s="31">
        <v>4.2996077182482466</v>
      </c>
      <c r="DD99" s="31">
        <v>7.4846752934965215</v>
      </c>
      <c r="DE99" s="31">
        <v>32.448996494272457</v>
      </c>
      <c r="DF99" s="31">
        <v>5.5878229411831251E-2</v>
      </c>
      <c r="DG99" s="31">
        <v>0.18630708962995948</v>
      </c>
      <c r="DH99" s="31">
        <v>0.17847224478363766</v>
      </c>
      <c r="DI99" s="31">
        <v>0.30720758011710897</v>
      </c>
      <c r="DJ99" s="31">
        <v>3.7832820268737977</v>
      </c>
      <c r="DK99" s="31">
        <v>2.9825011992618382E-2</v>
      </c>
      <c r="DL99" s="31">
        <v>0.23672421065086874</v>
      </c>
      <c r="DM99" s="31">
        <v>0.65046211194609349</v>
      </c>
      <c r="DN99" s="31">
        <v>2.6440058341971584</v>
      </c>
      <c r="DO99" s="31">
        <v>94.693619135814288</v>
      </c>
      <c r="DP99" s="31"/>
      <c r="DQ99" s="31"/>
      <c r="DR99" s="31"/>
      <c r="DS99" s="31"/>
      <c r="DT99" s="31"/>
      <c r="DU99" s="31">
        <v>4.5384873375422901</v>
      </c>
      <c r="DV99" s="31">
        <v>242.21693060045473</v>
      </c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</row>
    <row r="100" spans="1:212" x14ac:dyDescent="0.35">
      <c r="A100" s="32" t="s">
        <v>102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>
        <v>137.19793435369485</v>
      </c>
      <c r="AW100" s="31">
        <v>28.766655301809461</v>
      </c>
      <c r="AX100" s="31">
        <v>15.838376264441719</v>
      </c>
      <c r="AY100" s="31">
        <v>49.025304343060611</v>
      </c>
      <c r="AZ100" s="31">
        <v>40.325527012155604</v>
      </c>
      <c r="BA100" s="31">
        <v>28.175722640639083</v>
      </c>
      <c r="BB100" s="31">
        <v>31.289062613195334</v>
      </c>
      <c r="BC100" s="31">
        <v>17.349651798037485</v>
      </c>
      <c r="BD100" s="31">
        <v>25.823819627322347</v>
      </c>
      <c r="BE100" s="31">
        <v>1.0556308553547609</v>
      </c>
      <c r="BF100" s="31">
        <v>4.9011435107057653E-2</v>
      </c>
      <c r="BG100" s="31">
        <v>0.15456675231019704</v>
      </c>
      <c r="BH100" s="31">
        <v>1.2086568924100103</v>
      </c>
      <c r="BI100" s="31">
        <v>1.2354510221605619</v>
      </c>
      <c r="BJ100" s="31">
        <v>63.336452114850431</v>
      </c>
      <c r="BK100" s="31">
        <v>36.846071916361502</v>
      </c>
      <c r="BL100" s="31">
        <v>0.75421896916408904</v>
      </c>
      <c r="BM100" s="31">
        <v>40.546407437918887</v>
      </c>
      <c r="BN100" s="31">
        <v>3.1404270021528946</v>
      </c>
      <c r="BO100" s="31">
        <v>99.115417304288769</v>
      </c>
      <c r="BP100" s="31">
        <v>140.24354989397256</v>
      </c>
      <c r="BQ100" s="31">
        <v>152.53109180571303</v>
      </c>
      <c r="BR100" s="31">
        <v>47.17236735346868</v>
      </c>
      <c r="BS100" s="31">
        <v>37.677406931812953</v>
      </c>
      <c r="BT100" s="31">
        <v>85.92083002170321</v>
      </c>
      <c r="BU100" s="31">
        <v>21.796944914983747</v>
      </c>
      <c r="BV100" s="31">
        <v>56.97716409098625</v>
      </c>
      <c r="BW100" s="31">
        <v>16.118793725090161</v>
      </c>
      <c r="BX100" s="31">
        <v>39.826402160433624</v>
      </c>
      <c r="BY100" s="31">
        <v>257.67492469812987</v>
      </c>
      <c r="BZ100" s="31">
        <v>37.511461275628129</v>
      </c>
      <c r="CA100" s="31">
        <v>23.941052996838874</v>
      </c>
      <c r="CB100" s="31">
        <v>17.009361450100574</v>
      </c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>
        <v>1555.6357169752971</v>
      </c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</row>
    <row r="101" spans="1:212" x14ac:dyDescent="0.35">
      <c r="A101" s="32" t="s">
        <v>552</v>
      </c>
      <c r="B101" s="31">
        <v>155.70648489325566</v>
      </c>
      <c r="C101" s="31">
        <v>15.97871974979099</v>
      </c>
      <c r="D101" s="31">
        <v>13.809091984263803</v>
      </c>
      <c r="E101" s="31">
        <v>50.743437233617364</v>
      </c>
      <c r="F101" s="31">
        <v>61.248916160841439</v>
      </c>
      <c r="G101" s="31">
        <v>10.062788441301329</v>
      </c>
      <c r="H101" s="31">
        <v>18.302742561907628</v>
      </c>
      <c r="I101" s="31">
        <v>20.613653960282367</v>
      </c>
      <c r="J101" s="31">
        <v>12.018307875160716</v>
      </c>
      <c r="K101" s="31">
        <v>1.3929357885372167</v>
      </c>
      <c r="L101" s="31">
        <v>0.75190490958922651</v>
      </c>
      <c r="M101" s="31">
        <v>5.9283709628966941</v>
      </c>
      <c r="N101" s="31">
        <v>2.7436947780895751</v>
      </c>
      <c r="O101" s="31">
        <v>3.6931343902824931</v>
      </c>
      <c r="P101" s="31">
        <v>1.9819532264854665</v>
      </c>
      <c r="Q101" s="31">
        <v>2.0411481092986934</v>
      </c>
      <c r="R101" s="31">
        <v>0.19380071336515733</v>
      </c>
      <c r="S101" s="31">
        <v>6.0878631099979419</v>
      </c>
      <c r="T101" s="31">
        <v>0.66687874953647763</v>
      </c>
      <c r="U101" s="31">
        <v>4.1586529097419733</v>
      </c>
      <c r="V101" s="31">
        <v>13.706673999572864</v>
      </c>
      <c r="W101" s="31">
        <v>11.486123028419666</v>
      </c>
      <c r="X101" s="31">
        <v>1.8031328119804826</v>
      </c>
      <c r="Y101" s="31">
        <v>0.72169411245850568</v>
      </c>
      <c r="Z101" s="31">
        <v>0.13140119943504092</v>
      </c>
      <c r="AA101" s="31">
        <v>0.15114708774083552</v>
      </c>
      <c r="AB101" s="31">
        <v>1.0529857630264183</v>
      </c>
      <c r="AC101" s="31">
        <v>6.6172849448734597E-2</v>
      </c>
      <c r="AD101" s="31">
        <v>0.31859556482459478</v>
      </c>
      <c r="AE101" s="31">
        <v>5.3052214583288695E-2</v>
      </c>
      <c r="AF101" s="31">
        <v>1.8103331930513971</v>
      </c>
      <c r="AG101" s="31">
        <v>0.54435458755249444</v>
      </c>
      <c r="AH101" s="31">
        <v>1.8470631849355081</v>
      </c>
      <c r="AI101" s="31">
        <v>28.339224199875947</v>
      </c>
      <c r="AJ101" s="31">
        <v>123.09826470809733</v>
      </c>
      <c r="AK101" s="31">
        <v>7.1604118838891919</v>
      </c>
      <c r="AL101" s="31">
        <v>3.2105823739896175</v>
      </c>
      <c r="AM101" s="31">
        <v>3.7465248531788138</v>
      </c>
      <c r="AN101" s="31">
        <v>4.5039673998334369</v>
      </c>
      <c r="AO101" s="31">
        <v>3.7134819156250254</v>
      </c>
      <c r="AP101" s="31">
        <v>3.9995128353544556</v>
      </c>
      <c r="AQ101" s="31">
        <v>1.0727378218750299</v>
      </c>
      <c r="AR101" s="31">
        <v>8.4898064744688782</v>
      </c>
      <c r="AS101" s="31">
        <v>6.1094299349988654</v>
      </c>
      <c r="AT101" s="31">
        <v>16.75378722356885</v>
      </c>
      <c r="AU101" s="31">
        <v>14.321901449925678</v>
      </c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>
        <v>0.36721692949747708</v>
      </c>
      <c r="DV101" s="31">
        <v>646.70406010945055</v>
      </c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</row>
    <row r="102" spans="1:212" x14ac:dyDescent="0.35">
      <c r="A102" s="32" t="s">
        <v>553</v>
      </c>
      <c r="B102" s="31">
        <v>60.805696053622853</v>
      </c>
      <c r="C102" s="31">
        <v>53.292839217955397</v>
      </c>
      <c r="D102" s="31">
        <v>46.056613445076152</v>
      </c>
      <c r="E102" s="31">
        <v>38.514416684427893</v>
      </c>
      <c r="F102" s="31">
        <v>66.934810374194612</v>
      </c>
      <c r="G102" s="31">
        <v>23.28067205579087</v>
      </c>
      <c r="H102" s="31">
        <v>40.607926630879305</v>
      </c>
      <c r="I102" s="31">
        <v>21.432862517046651</v>
      </c>
      <c r="J102" s="31">
        <v>12.480053568290755</v>
      </c>
      <c r="K102" s="31">
        <v>1.3567859346599072</v>
      </c>
      <c r="L102" s="31">
        <v>1.1079633683173</v>
      </c>
      <c r="M102" s="31">
        <v>25.957455439717396</v>
      </c>
      <c r="N102" s="31">
        <v>5.9830875390143339</v>
      </c>
      <c r="O102" s="31">
        <v>8.0535001658566738</v>
      </c>
      <c r="P102" s="31">
        <v>6.1067344140853379</v>
      </c>
      <c r="Q102" s="31">
        <v>6.2891238989544114</v>
      </c>
      <c r="R102" s="31">
        <v>0.5971329040291925</v>
      </c>
      <c r="S102" s="31">
        <v>18.757739923050416</v>
      </c>
      <c r="T102" s="31">
        <v>2.0547666591699292</v>
      </c>
      <c r="U102" s="31">
        <v>12.813515728214721</v>
      </c>
      <c r="V102" s="31">
        <v>33.702812449294775</v>
      </c>
      <c r="W102" s="31">
        <v>23.928873728075125</v>
      </c>
      <c r="X102" s="31">
        <v>5.628597860696595</v>
      </c>
      <c r="Y102" s="31">
        <v>3.44759010333531</v>
      </c>
      <c r="Z102" s="31">
        <v>1.1298850946745709</v>
      </c>
      <c r="AA102" s="31">
        <v>1.2996749061355817</v>
      </c>
      <c r="AB102" s="31">
        <v>9.0543535649858544</v>
      </c>
      <c r="AC102" s="31">
        <v>0.56900330123113951</v>
      </c>
      <c r="AD102" s="31">
        <v>2.739521263675317</v>
      </c>
      <c r="AE102" s="31">
        <v>0.45618233893495008</v>
      </c>
      <c r="AF102" s="31">
        <v>5.0833547696823462</v>
      </c>
      <c r="AG102" s="31">
        <v>14.497270486536351</v>
      </c>
      <c r="AH102" s="31">
        <v>49.191051586666596</v>
      </c>
      <c r="AI102" s="31">
        <v>95.269632076050158</v>
      </c>
      <c r="AJ102" s="31">
        <v>397.52235922978633</v>
      </c>
      <c r="AK102" s="31">
        <v>86.795237448220476</v>
      </c>
      <c r="AL102" s="31">
        <v>9.2126864699057389</v>
      </c>
      <c r="AM102" s="31">
        <v>10.750560117588707</v>
      </c>
      <c r="AN102" s="31">
        <v>54.595032557716046</v>
      </c>
      <c r="AO102" s="31">
        <v>18.166543669439548</v>
      </c>
      <c r="AP102" s="31">
        <v>19.565821574149652</v>
      </c>
      <c r="AQ102" s="31">
        <v>5.2478883510792951</v>
      </c>
      <c r="AR102" s="31">
        <v>37.483105584769049</v>
      </c>
      <c r="AS102" s="31">
        <v>91.046098560084914</v>
      </c>
      <c r="AT102" s="31">
        <v>249.67418876079216</v>
      </c>
      <c r="AU102" s="31">
        <v>37.091907597363289</v>
      </c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>
        <v>0.97473857994835067</v>
      </c>
      <c r="DV102" s="31">
        <v>1716.6076685531721</v>
      </c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</row>
    <row r="103" spans="1:212" x14ac:dyDescent="0.35">
      <c r="A103" s="32" t="s">
        <v>554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>
        <v>1.0600710692511262</v>
      </c>
      <c r="Q103" s="31">
        <v>1.0917321507940476</v>
      </c>
      <c r="R103" s="31">
        <v>0.10365659829568125</v>
      </c>
      <c r="S103" s="31">
        <v>3.2561654181485942</v>
      </c>
      <c r="T103" s="31">
        <v>0.35668796802817576</v>
      </c>
      <c r="U103" s="31">
        <v>2.2243045788178737</v>
      </c>
      <c r="V103" s="31">
        <v>4.8089944595264758</v>
      </c>
      <c r="W103" s="31">
        <v>2.6838135334765343</v>
      </c>
      <c r="X103" s="31">
        <v>0.40851569064474857</v>
      </c>
      <c r="Y103" s="31">
        <v>3.8844941158299022</v>
      </c>
      <c r="Z103" s="31">
        <v>0.25290728521279165</v>
      </c>
      <c r="AA103" s="31">
        <v>0.29091210577002169</v>
      </c>
      <c r="AB103" s="31">
        <v>2.0266768632228693</v>
      </c>
      <c r="AC103" s="31">
        <v>0.12736257949568872</v>
      </c>
      <c r="AD103" s="31">
        <v>0.61319942075914702</v>
      </c>
      <c r="AE103" s="31">
        <v>0.10210935381468074</v>
      </c>
      <c r="AF103" s="31">
        <v>1.8614931941809862</v>
      </c>
      <c r="AG103" s="31">
        <v>2.7224425143846815</v>
      </c>
      <c r="AH103" s="31">
        <v>9.2375878818845827</v>
      </c>
      <c r="AI103" s="31">
        <v>4.9607338351179067</v>
      </c>
      <c r="AJ103" s="31">
        <v>9.8904259142200619</v>
      </c>
      <c r="AK103" s="31">
        <v>8.1461727472874585</v>
      </c>
      <c r="AL103" s="31">
        <v>5.5538158277164946</v>
      </c>
      <c r="AM103" s="31">
        <v>6.4809142406962597</v>
      </c>
      <c r="AN103" s="31">
        <v>5.1240203890709699</v>
      </c>
      <c r="AO103" s="31">
        <v>8.4603025899521551</v>
      </c>
      <c r="AP103" s="31">
        <v>9.1119573403930207</v>
      </c>
      <c r="AQ103" s="31">
        <v>2.4439829731125533</v>
      </c>
      <c r="AR103" s="31">
        <v>98.713340566535919</v>
      </c>
      <c r="AS103" s="31">
        <v>25.119150568118691</v>
      </c>
      <c r="AT103" s="31">
        <v>68.883825223069252</v>
      </c>
      <c r="AU103" s="31">
        <v>3.6816203358437729</v>
      </c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>
        <v>0.16685651392633047</v>
      </c>
      <c r="DV103" s="31">
        <v>293.85024584659948</v>
      </c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</row>
    <row r="104" spans="1:212" x14ac:dyDescent="0.35">
      <c r="A104" s="32" t="s">
        <v>555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>
        <v>9.3553536767055495E-2</v>
      </c>
      <c r="Q104" s="31">
        <v>9.6347694859024668E-2</v>
      </c>
      <c r="R104" s="31">
        <v>9.1479162681550701E-3</v>
      </c>
      <c r="S104" s="31">
        <v>0.28736355514501322</v>
      </c>
      <c r="T104" s="31">
        <v>3.1478475263798739E-2</v>
      </c>
      <c r="U104" s="31">
        <v>0.19629963144128768</v>
      </c>
      <c r="V104" s="31">
        <v>1.2309180847607766</v>
      </c>
      <c r="W104" s="31">
        <v>2.6012926123311497</v>
      </c>
      <c r="X104" s="31">
        <v>5.0673116176858581</v>
      </c>
      <c r="Y104" s="31">
        <v>2.6749650479412597</v>
      </c>
      <c r="Z104" s="31">
        <v>0.12292728570074615</v>
      </c>
      <c r="AA104" s="31">
        <v>0.14139978415294935</v>
      </c>
      <c r="AB104" s="31">
        <v>0.98507991012940943</v>
      </c>
      <c r="AC104" s="31">
        <v>6.190543773413866E-2</v>
      </c>
      <c r="AD104" s="31">
        <v>0.2980496996113387</v>
      </c>
      <c r="AE104" s="31">
        <v>4.9630937671624534E-2</v>
      </c>
      <c r="AF104" s="31">
        <v>0.87327228023372849</v>
      </c>
      <c r="AG104" s="31">
        <v>2.4143512642377241</v>
      </c>
      <c r="AH104" s="31">
        <v>8.1921957445540148</v>
      </c>
      <c r="AI104" s="31">
        <v>40.766605589018241</v>
      </c>
      <c r="AJ104" s="31">
        <v>48.666289491555787</v>
      </c>
      <c r="AK104" s="31">
        <v>27.565645721945685</v>
      </c>
      <c r="AL104" s="31">
        <v>2.8848221473673004</v>
      </c>
      <c r="AM104" s="31">
        <v>3.3663854756299791</v>
      </c>
      <c r="AN104" s="31">
        <v>17.339054191330469</v>
      </c>
      <c r="AO104" s="31">
        <v>49.079709126916818</v>
      </c>
      <c r="AP104" s="31">
        <v>52.860073394359894</v>
      </c>
      <c r="AQ104" s="31">
        <v>14.17797675155964</v>
      </c>
      <c r="AR104" s="31">
        <v>42.7713830478543</v>
      </c>
      <c r="AS104" s="31">
        <v>65.655417159397928</v>
      </c>
      <c r="AT104" s="31">
        <v>180.04574909056691</v>
      </c>
      <c r="AU104" s="31">
        <v>27.134153702951959</v>
      </c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>
        <v>0.33960701320399134</v>
      </c>
      <c r="DV104" s="31">
        <v>598.08036242014805</v>
      </c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</row>
    <row r="105" spans="1:212" x14ac:dyDescent="0.35">
      <c r="A105" s="32" t="s">
        <v>216</v>
      </c>
      <c r="B105" s="31">
        <v>221.6710850203136</v>
      </c>
      <c r="C105" s="31">
        <v>82.614443221637771</v>
      </c>
      <c r="D105" s="31">
        <v>62.615867861691314</v>
      </c>
      <c r="E105" s="31">
        <v>72.689745530530487</v>
      </c>
      <c r="F105" s="31">
        <v>120.44717791338965</v>
      </c>
      <c r="G105" s="31">
        <v>17.261053725456676</v>
      </c>
      <c r="H105" s="31">
        <v>42.068923451332608</v>
      </c>
      <c r="I105" s="31">
        <v>43.790632830993189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>
        <v>663.15892955534537</v>
      </c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</row>
    <row r="106" spans="1:212" x14ac:dyDescent="0.35">
      <c r="A106" s="32" t="s">
        <v>557</v>
      </c>
      <c r="B106" s="31">
        <v>70.018285379905194</v>
      </c>
      <c r="C106" s="31">
        <v>18.780847811719443</v>
      </c>
      <c r="D106" s="31">
        <v>17.712468449388336</v>
      </c>
      <c r="E106" s="31">
        <v>24.541988296617738</v>
      </c>
      <c r="F106" s="31">
        <v>51.04209662627288</v>
      </c>
      <c r="G106" s="31">
        <v>29.398294477232291</v>
      </c>
      <c r="H106" s="31">
        <v>37.186726655105296</v>
      </c>
      <c r="I106" s="31">
        <v>13.042362764885752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>
        <v>261.72307046112695</v>
      </c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</row>
    <row r="107" spans="1:212" x14ac:dyDescent="0.35">
      <c r="A107" s="32" t="s">
        <v>558</v>
      </c>
      <c r="B107" s="31"/>
      <c r="C107" s="31"/>
      <c r="D107" s="31"/>
      <c r="E107" s="31"/>
      <c r="F107" s="31"/>
      <c r="G107" s="31"/>
      <c r="H107" s="31"/>
      <c r="I107" s="31"/>
      <c r="J107" s="31">
        <v>105.40751429637794</v>
      </c>
      <c r="K107" s="31">
        <v>11.283758000925333</v>
      </c>
      <c r="L107" s="31"/>
      <c r="M107" s="31">
        <v>80.91207686622316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>
        <v>197.60334916352645</v>
      </c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</row>
    <row r="108" spans="1:212" x14ac:dyDescent="0.35">
      <c r="A108" s="32" t="s">
        <v>559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>
        <v>17.492513535226678</v>
      </c>
      <c r="O108" s="31">
        <v>22.24539352943362</v>
      </c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>
        <v>39.737907064660298</v>
      </c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</row>
    <row r="109" spans="1:212" x14ac:dyDescent="0.35">
      <c r="A109" s="32" t="s">
        <v>560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>
        <v>8.8993320074687094</v>
      </c>
      <c r="M109" s="31"/>
      <c r="N109" s="31"/>
      <c r="O109" s="31"/>
      <c r="P109" s="31">
        <v>54.921605539292067</v>
      </c>
      <c r="Q109" s="31">
        <v>58.085397471967298</v>
      </c>
      <c r="R109" s="31">
        <v>1.7526489505877474</v>
      </c>
      <c r="S109" s="31">
        <v>56.305567710424157</v>
      </c>
      <c r="T109" s="31">
        <v>5.8409395691322397</v>
      </c>
      <c r="U109" s="31">
        <v>67.140541678653378</v>
      </c>
      <c r="V109" s="31">
        <v>125.83347842888158</v>
      </c>
      <c r="W109" s="31">
        <v>91.430507381086571</v>
      </c>
      <c r="X109" s="31">
        <v>21.662044158049333</v>
      </c>
      <c r="Y109" s="31">
        <v>21.472629293641667</v>
      </c>
      <c r="Z109" s="31">
        <v>2.8244504489769815</v>
      </c>
      <c r="AA109" s="31">
        <v>48.049939923631747</v>
      </c>
      <c r="AB109" s="31">
        <v>125.31517786749983</v>
      </c>
      <c r="AC109" s="31">
        <v>8.3308580340879974</v>
      </c>
      <c r="AD109" s="31">
        <v>18.027259944463527</v>
      </c>
      <c r="AE109" s="31">
        <v>3.9944965908258845</v>
      </c>
      <c r="AF109" s="31">
        <v>16.618501522627977</v>
      </c>
      <c r="AG109" s="31">
        <v>100.42541296545646</v>
      </c>
      <c r="AH109" s="31">
        <v>62.48103136455174</v>
      </c>
      <c r="AI109" s="31">
        <v>93.797914670603916</v>
      </c>
      <c r="AJ109" s="31">
        <v>459.37596450697578</v>
      </c>
      <c r="AK109" s="31">
        <v>248.75054382950739</v>
      </c>
      <c r="AL109" s="31">
        <v>37.429305760230818</v>
      </c>
      <c r="AM109" s="31">
        <v>34.155206601420055</v>
      </c>
      <c r="AN109" s="31">
        <v>384.02325707194484</v>
      </c>
      <c r="AO109" s="31">
        <v>361.54277520322677</v>
      </c>
      <c r="AP109" s="31">
        <v>463.85745928988422</v>
      </c>
      <c r="AQ109" s="31">
        <v>94.318686332943216</v>
      </c>
      <c r="AR109" s="31">
        <v>38.051032996627917</v>
      </c>
      <c r="AS109" s="31">
        <v>48.159078290490186</v>
      </c>
      <c r="AT109" s="31">
        <v>72.675597099377924</v>
      </c>
      <c r="AU109" s="31">
        <v>72.232562064467317</v>
      </c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>
        <v>6.4189635325641747</v>
      </c>
      <c r="DV109" s="31">
        <v>3314.2001681015722</v>
      </c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</row>
    <row r="110" spans="1:212" x14ac:dyDescent="0.35">
      <c r="A110" s="32" t="s">
        <v>104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>
        <v>18.19813475256915</v>
      </c>
      <c r="CY110" s="31">
        <v>3134.5552841839485</v>
      </c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>
        <v>187.91283111736917</v>
      </c>
      <c r="DQ110" s="31"/>
      <c r="DR110" s="31"/>
      <c r="DS110" s="31"/>
      <c r="DT110" s="31"/>
      <c r="DU110" s="31"/>
      <c r="DV110" s="31">
        <v>3340.6662500538869</v>
      </c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</row>
    <row r="111" spans="1:212" x14ac:dyDescent="0.35">
      <c r="A111" s="32" t="s">
        <v>217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>
        <v>117.35895843181066</v>
      </c>
      <c r="CR111" s="31">
        <v>35.12909482064623</v>
      </c>
      <c r="CS111" s="31">
        <v>1.1905845304171647</v>
      </c>
      <c r="CT111" s="31">
        <v>0.72691546671733531</v>
      </c>
      <c r="CU111" s="31">
        <v>54.180561058359018</v>
      </c>
      <c r="CV111" s="31">
        <v>21.008792896135002</v>
      </c>
      <c r="CW111" s="31">
        <v>12.828192226681026</v>
      </c>
      <c r="CX111" s="31"/>
      <c r="CY111" s="31"/>
      <c r="CZ111" s="31">
        <v>21.235476044721363</v>
      </c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>
        <v>4.5669133921113977E-3</v>
      </c>
      <c r="DQ111" s="31"/>
      <c r="DR111" s="31"/>
      <c r="DS111" s="31"/>
      <c r="DT111" s="31"/>
      <c r="DU111" s="31">
        <v>5.7070013860571409</v>
      </c>
      <c r="DV111" s="31">
        <v>269.37014377493705</v>
      </c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</row>
    <row r="112" spans="1:212" x14ac:dyDescent="0.35">
      <c r="A112" s="32" t="s">
        <v>218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>
        <v>109.33815062276507</v>
      </c>
      <c r="CR112" s="31">
        <v>72.742684487074143</v>
      </c>
      <c r="CS112" s="31">
        <v>3.4254823445552605</v>
      </c>
      <c r="CT112" s="31">
        <v>2.0932642298505315</v>
      </c>
      <c r="CU112" s="31">
        <v>60.988081737496572</v>
      </c>
      <c r="CV112" s="31">
        <v>23.501752345591608</v>
      </c>
      <c r="CW112" s="31">
        <v>40.809170991203523</v>
      </c>
      <c r="CX112" s="31"/>
      <c r="CY112" s="31"/>
      <c r="CZ112" s="31">
        <v>56.001029701075993</v>
      </c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>
        <v>7.4504181120894726E-3</v>
      </c>
      <c r="DQ112" s="31"/>
      <c r="DR112" s="31"/>
      <c r="DS112" s="31"/>
      <c r="DT112" s="31"/>
      <c r="DU112" s="31">
        <v>20.272610230008986</v>
      </c>
      <c r="DV112" s="31">
        <v>389.17967710773377</v>
      </c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</row>
    <row r="113" spans="1:212" x14ac:dyDescent="0.35">
      <c r="A113" s="32" t="s">
        <v>219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>
        <v>137.9830948100994</v>
      </c>
      <c r="CR113" s="31">
        <v>122.65008770859636</v>
      </c>
      <c r="CS113" s="31">
        <v>5.7601023640819822</v>
      </c>
      <c r="CT113" s="31">
        <v>3.2292250535381659</v>
      </c>
      <c r="CU113" s="31">
        <v>126.65559284943869</v>
      </c>
      <c r="CV113" s="31">
        <v>48.903159195035656</v>
      </c>
      <c r="CW113" s="31">
        <v>43.04501602723424</v>
      </c>
      <c r="CX113" s="31"/>
      <c r="CY113" s="31"/>
      <c r="CZ113" s="31">
        <v>91.366127033316559</v>
      </c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>
        <v>1.0663602835774497</v>
      </c>
      <c r="DQ113" s="31"/>
      <c r="DR113" s="31"/>
      <c r="DS113" s="31"/>
      <c r="DT113" s="31"/>
      <c r="DU113" s="31">
        <v>30.626011129090131</v>
      </c>
      <c r="DV113" s="31">
        <v>611.28477645400858</v>
      </c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</row>
    <row r="114" spans="1:212" x14ac:dyDescent="0.35">
      <c r="A114" s="32" t="s">
        <v>220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>
        <v>97.780774248863935</v>
      </c>
      <c r="CR114" s="31">
        <v>238.10859276749542</v>
      </c>
      <c r="CS114" s="31">
        <v>8.9205679082857365</v>
      </c>
      <c r="CT114" s="31">
        <v>4.9970319534868226</v>
      </c>
      <c r="CU114" s="31">
        <v>134.66399885390643</v>
      </c>
      <c r="CV114" s="31">
        <v>52.885338147556368</v>
      </c>
      <c r="CW114" s="31">
        <v>46.189117978784395</v>
      </c>
      <c r="CX114" s="31"/>
      <c r="CY114" s="31"/>
      <c r="CZ114" s="31">
        <v>224.04814051736861</v>
      </c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>
        <v>2.3113108927527657</v>
      </c>
      <c r="DQ114" s="31"/>
      <c r="DR114" s="31"/>
      <c r="DS114" s="31"/>
      <c r="DT114" s="31"/>
      <c r="DU114" s="31">
        <v>63.805134389806234</v>
      </c>
      <c r="DV114" s="31">
        <v>873.71000765830672</v>
      </c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</row>
    <row r="115" spans="1:212" x14ac:dyDescent="0.35">
      <c r="A115" s="32" t="s">
        <v>221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>
        <v>62.027878990006791</v>
      </c>
      <c r="CR115" s="31">
        <v>339.89451857694257</v>
      </c>
      <c r="CS115" s="31">
        <v>33.54179955906249</v>
      </c>
      <c r="CT115" s="31">
        <v>63.475265109131378</v>
      </c>
      <c r="CU115" s="31">
        <v>212.99376429053839</v>
      </c>
      <c r="CV115" s="31">
        <v>86.118736501769163</v>
      </c>
      <c r="CW115" s="31">
        <v>48.813538171949666</v>
      </c>
      <c r="CX115" s="31"/>
      <c r="CY115" s="31"/>
      <c r="CZ115" s="31">
        <v>727.67362321704263</v>
      </c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>
        <v>26.908073248149194</v>
      </c>
      <c r="DQ115" s="31"/>
      <c r="DR115" s="31"/>
      <c r="DS115" s="31"/>
      <c r="DT115" s="31"/>
      <c r="DU115" s="31">
        <v>128.95113138084906</v>
      </c>
      <c r="DV115" s="31">
        <v>1730.3983290454412</v>
      </c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</row>
    <row r="116" spans="1:212" x14ac:dyDescent="0.35">
      <c r="A116" s="32" t="s">
        <v>595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>
        <v>6.6432704096126045</v>
      </c>
      <c r="CR116" s="31">
        <v>5.1922493950685267</v>
      </c>
      <c r="CS116" s="31">
        <v>0.72357040773649139</v>
      </c>
      <c r="CT116" s="31">
        <v>0.40639996695119401</v>
      </c>
      <c r="CU116" s="31"/>
      <c r="CV116" s="31"/>
      <c r="CW116" s="31"/>
      <c r="CX116" s="31"/>
      <c r="CY116" s="31"/>
      <c r="CZ116" s="31">
        <v>4.2088582820163882</v>
      </c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>
        <v>3.3939815370817231E-4</v>
      </c>
      <c r="DQ116" s="31"/>
      <c r="DR116" s="31"/>
      <c r="DS116" s="31"/>
      <c r="DT116" s="31"/>
      <c r="DU116" s="31">
        <v>0.57268944880819539</v>
      </c>
      <c r="DV116" s="31">
        <v>17.747377308347108</v>
      </c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</row>
    <row r="117" spans="1:212" x14ac:dyDescent="0.35">
      <c r="A117" s="32" t="s">
        <v>596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>
        <v>6.6466308491192754</v>
      </c>
      <c r="CR117" s="31">
        <v>7.6589067618228768</v>
      </c>
      <c r="CS117" s="31">
        <v>1.0771744087236468</v>
      </c>
      <c r="CT117" s="31">
        <v>0.60566670473333217</v>
      </c>
      <c r="CU117" s="31"/>
      <c r="CV117" s="31"/>
      <c r="CW117" s="31"/>
      <c r="CX117" s="31"/>
      <c r="CY117" s="31"/>
      <c r="CZ117" s="31">
        <v>6.1035172705560727</v>
      </c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>
        <v>4.3267780446010152E-4</v>
      </c>
      <c r="DQ117" s="31"/>
      <c r="DR117" s="31"/>
      <c r="DS117" s="31"/>
      <c r="DT117" s="31"/>
      <c r="DU117" s="31">
        <v>1.166841473724624</v>
      </c>
      <c r="DV117" s="31">
        <v>23.259170146484291</v>
      </c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</row>
    <row r="118" spans="1:212" x14ac:dyDescent="0.35">
      <c r="A118" s="32" t="s">
        <v>597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>
        <v>5.5755518510115447</v>
      </c>
      <c r="CR118" s="31">
        <v>10.396664619365339</v>
      </c>
      <c r="CS118" s="31">
        <v>1.4243218507505164</v>
      </c>
      <c r="CT118" s="31">
        <v>0.79911072270487093</v>
      </c>
      <c r="CU118" s="31"/>
      <c r="CV118" s="31"/>
      <c r="CW118" s="31"/>
      <c r="CX118" s="31"/>
      <c r="CY118" s="31"/>
      <c r="CZ118" s="31">
        <v>8.3313669223916964</v>
      </c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>
        <v>5.6226728982432549E-2</v>
      </c>
      <c r="DQ118" s="31"/>
      <c r="DR118" s="31"/>
      <c r="DS118" s="31"/>
      <c r="DT118" s="31"/>
      <c r="DU118" s="31">
        <v>2.3204205914481024</v>
      </c>
      <c r="DV118" s="31">
        <v>28.903663286654506</v>
      </c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</row>
    <row r="119" spans="1:212" x14ac:dyDescent="0.35">
      <c r="A119" s="32" t="s">
        <v>598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>
        <v>8.5209055879400992</v>
      </c>
      <c r="CR119" s="31">
        <v>10.795626267428805</v>
      </c>
      <c r="CS119" s="31">
        <v>3.7696641286709318</v>
      </c>
      <c r="CT119" s="31">
        <v>3.1904809060575583</v>
      </c>
      <c r="CU119" s="31"/>
      <c r="CV119" s="31"/>
      <c r="CW119" s="31"/>
      <c r="CX119" s="31"/>
      <c r="CY119" s="31"/>
      <c r="CZ119" s="31">
        <v>29.028752543831459</v>
      </c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>
        <v>0.1550286645056741</v>
      </c>
      <c r="DQ119" s="31"/>
      <c r="DR119" s="31"/>
      <c r="DS119" s="31"/>
      <c r="DT119" s="31"/>
      <c r="DU119" s="31">
        <v>4.5908059992881389</v>
      </c>
      <c r="DV119" s="31">
        <v>60.051264097722658</v>
      </c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</row>
    <row r="120" spans="1:212" x14ac:dyDescent="0.35">
      <c r="A120" s="32" t="s">
        <v>599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>
        <v>9.5711705858390683</v>
      </c>
      <c r="CR120" s="31">
        <v>35.878855264580054</v>
      </c>
      <c r="CS120" s="31">
        <v>17.575124593278403</v>
      </c>
      <c r="CT120" s="31">
        <v>25.783367433191188</v>
      </c>
      <c r="CU120" s="31"/>
      <c r="CV120" s="31"/>
      <c r="CW120" s="31"/>
      <c r="CX120" s="31"/>
      <c r="CY120" s="31"/>
      <c r="CZ120" s="31">
        <v>161.62923105533793</v>
      </c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>
        <v>4.2400287380435193</v>
      </c>
      <c r="DQ120" s="31"/>
      <c r="DR120" s="31"/>
      <c r="DS120" s="31"/>
      <c r="DT120" s="31"/>
      <c r="DU120" s="31">
        <v>21.699840021610445</v>
      </c>
      <c r="DV120" s="31">
        <v>276.37761769188063</v>
      </c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</row>
    <row r="121" spans="1:212" x14ac:dyDescent="0.35">
      <c r="A121" s="32" t="s">
        <v>222</v>
      </c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>
        <v>4.6153358643667275</v>
      </c>
      <c r="CR121" s="31">
        <v>3.7957152033636055</v>
      </c>
      <c r="CS121" s="31">
        <v>0.11346049684915709</v>
      </c>
      <c r="CT121" s="31">
        <v>0.17774067381003522</v>
      </c>
      <c r="CU121" s="31">
        <v>0.3417701341575769</v>
      </c>
      <c r="CV121" s="31">
        <v>0.13487511904058022</v>
      </c>
      <c r="CW121" s="31">
        <v>4.9283952938563191E-2</v>
      </c>
      <c r="CX121" s="31"/>
      <c r="CY121" s="31"/>
      <c r="CZ121" s="31">
        <v>2.7984823794092097</v>
      </c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>
        <v>1.7642330616776807E-4</v>
      </c>
      <c r="DQ121" s="31"/>
      <c r="DR121" s="31"/>
      <c r="DS121" s="31"/>
      <c r="DT121" s="31"/>
      <c r="DU121" s="31">
        <v>0.23487865212434444</v>
      </c>
      <c r="DV121" s="31">
        <v>12.261718899365968</v>
      </c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</row>
    <row r="122" spans="1:212" x14ac:dyDescent="0.35">
      <c r="A122" s="32" t="s">
        <v>223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>
        <v>7.8027058793666528</v>
      </c>
      <c r="CR122" s="31">
        <v>13.656365338752797</v>
      </c>
      <c r="CS122" s="31">
        <v>0.87501920574408576</v>
      </c>
      <c r="CT122" s="31">
        <v>1.2187112898085168</v>
      </c>
      <c r="CU122" s="31">
        <v>1.2176073151148894</v>
      </c>
      <c r="CV122" s="31">
        <v>0.48032987530935378</v>
      </c>
      <c r="CW122" s="31">
        <v>0.21542617164199668</v>
      </c>
      <c r="CX122" s="31"/>
      <c r="CY122" s="31"/>
      <c r="CZ122" s="31">
        <v>10.929986498176518</v>
      </c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>
        <v>6.2437907862232555E-4</v>
      </c>
      <c r="DQ122" s="31"/>
      <c r="DR122" s="31"/>
      <c r="DS122" s="31"/>
      <c r="DT122" s="31"/>
      <c r="DU122" s="31">
        <v>1.5711461929439963</v>
      </c>
      <c r="DV122" s="31">
        <v>37.967922145937436</v>
      </c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</row>
    <row r="123" spans="1:212" x14ac:dyDescent="0.35">
      <c r="A123" s="32" t="s">
        <v>224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>
        <v>16.182656158483283</v>
      </c>
      <c r="CR123" s="31">
        <v>41.341508943381079</v>
      </c>
      <c r="CS123" s="31">
        <v>4.4302327174895222</v>
      </c>
      <c r="CT123" s="31">
        <v>6.5441279600183222</v>
      </c>
      <c r="CU123" s="31">
        <v>5.0141263148344297</v>
      </c>
      <c r="CV123" s="31">
        <v>1.9855394430849738</v>
      </c>
      <c r="CW123" s="31">
        <v>0.19930814968173913</v>
      </c>
      <c r="CX123" s="31"/>
      <c r="CY123" s="31"/>
      <c r="CZ123" s="31">
        <v>30.446765810463294</v>
      </c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>
        <v>0.11587762490696488</v>
      </c>
      <c r="DQ123" s="31"/>
      <c r="DR123" s="31"/>
      <c r="DS123" s="31"/>
      <c r="DT123" s="31"/>
      <c r="DU123" s="31">
        <v>2.1502056462168122</v>
      </c>
      <c r="DV123" s="31">
        <v>108.41034876856044</v>
      </c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</row>
    <row r="124" spans="1:212" x14ac:dyDescent="0.35">
      <c r="A124" s="32" t="s">
        <v>225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>
        <v>21.439643219925294</v>
      </c>
      <c r="CR124" s="31">
        <v>86.37903237971048</v>
      </c>
      <c r="CS124" s="31">
        <v>12.444478177414606</v>
      </c>
      <c r="CT124" s="31">
        <v>19.974954570037379</v>
      </c>
      <c r="CU124" s="31">
        <v>6.0476870460979919</v>
      </c>
      <c r="CV124" s="31">
        <v>2.3893946705074018</v>
      </c>
      <c r="CW124" s="31">
        <v>1.2600278001339706</v>
      </c>
      <c r="CX124" s="31"/>
      <c r="CY124" s="31"/>
      <c r="CZ124" s="31">
        <v>111.51303114576974</v>
      </c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>
        <v>0.51810731453089442</v>
      </c>
      <c r="DQ124" s="31"/>
      <c r="DR124" s="31"/>
      <c r="DS124" s="31"/>
      <c r="DT124" s="31"/>
      <c r="DU124" s="31">
        <v>13.6134602046046</v>
      </c>
      <c r="DV124" s="31">
        <v>275.57981652873241</v>
      </c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</row>
    <row r="125" spans="1:212" x14ac:dyDescent="0.35">
      <c r="A125" s="32" t="s">
        <v>226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>
        <v>33.283088043488441</v>
      </c>
      <c r="CR125" s="31">
        <v>687.85351800074625</v>
      </c>
      <c r="CS125" s="31">
        <v>197.69977855455798</v>
      </c>
      <c r="CT125" s="31">
        <v>463.06928574778084</v>
      </c>
      <c r="CU125" s="31">
        <v>61.055739955401144</v>
      </c>
      <c r="CV125" s="31">
        <v>24.315152267096757</v>
      </c>
      <c r="CW125" s="31">
        <v>4.1942676932773306</v>
      </c>
      <c r="CX125" s="31"/>
      <c r="CY125" s="31"/>
      <c r="CZ125" s="31">
        <v>1240.4086495585784</v>
      </c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>
        <v>34.233188004092654</v>
      </c>
      <c r="DQ125" s="31"/>
      <c r="DR125" s="31"/>
      <c r="DS125" s="31"/>
      <c r="DT125" s="31"/>
      <c r="DU125" s="31">
        <v>179.10440041582316</v>
      </c>
      <c r="DV125" s="31">
        <v>2925.2170682408432</v>
      </c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</row>
    <row r="126" spans="1:212" x14ac:dyDescent="0.35">
      <c r="A126" s="32" t="s">
        <v>106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>
        <v>7.5755754237492958</v>
      </c>
      <c r="DA126" s="31"/>
      <c r="DB126" s="31">
        <v>0.10900308537567131</v>
      </c>
      <c r="DC126" s="31">
        <v>0.26037192314131219</v>
      </c>
      <c r="DD126" s="31">
        <v>0.95986992216126976</v>
      </c>
      <c r="DE126" s="31">
        <v>9.8467509560299558</v>
      </c>
      <c r="DF126" s="31"/>
      <c r="DG126" s="31">
        <v>6.522414440662181E-3</v>
      </c>
      <c r="DH126" s="31">
        <v>1.2345973399998511E-2</v>
      </c>
      <c r="DI126" s="31">
        <v>6.661691462444369E-2</v>
      </c>
      <c r="DJ126" s="31">
        <v>1.7065299958996749</v>
      </c>
      <c r="DK126" s="31"/>
      <c r="DL126" s="31">
        <v>1.0646583960968266E-2</v>
      </c>
      <c r="DM126" s="31">
        <v>4.6290702202804387E-2</v>
      </c>
      <c r="DN126" s="31">
        <v>0.30502330782283521</v>
      </c>
      <c r="DO126" s="31">
        <v>15.842339182821686</v>
      </c>
      <c r="DP126" s="31"/>
      <c r="DQ126" s="31">
        <v>464.27755396395878</v>
      </c>
      <c r="DR126" s="31">
        <v>83.975878598515067</v>
      </c>
      <c r="DS126" s="31">
        <v>411.6445259392774</v>
      </c>
      <c r="DT126" s="31"/>
      <c r="DU126" s="31">
        <v>118.97832992908879</v>
      </c>
      <c r="DV126" s="31">
        <v>1115.6241748164707</v>
      </c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</row>
    <row r="127" spans="1:212" x14ac:dyDescent="0.35">
      <c r="A127" s="32" t="s">
        <v>110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>
        <v>160.07735030410842</v>
      </c>
      <c r="DA127" s="31"/>
      <c r="DB127" s="31">
        <v>0.55384902752660703</v>
      </c>
      <c r="DC127" s="31">
        <v>1.9164855620213312</v>
      </c>
      <c r="DD127" s="31">
        <v>9.7727574013553706</v>
      </c>
      <c r="DE127" s="31">
        <v>97.230089454334347</v>
      </c>
      <c r="DF127" s="31"/>
      <c r="DG127" s="31">
        <v>3.3166615331807071E-2</v>
      </c>
      <c r="DH127" s="31">
        <v>9.1176211465155962E-2</v>
      </c>
      <c r="DI127" s="31">
        <v>0.68960119006881782</v>
      </c>
      <c r="DJ127" s="31">
        <v>17.945146322794901</v>
      </c>
      <c r="DK127" s="31"/>
      <c r="DL127" s="31">
        <v>5.4136612368874799E-2</v>
      </c>
      <c r="DM127" s="31">
        <v>0.34179424500799666</v>
      </c>
      <c r="DN127" s="31">
        <v>3.153321550130769</v>
      </c>
      <c r="DO127" s="31">
        <v>172.41867946744435</v>
      </c>
      <c r="DP127" s="31"/>
      <c r="DQ127" s="31"/>
      <c r="DR127" s="31"/>
      <c r="DS127" s="31"/>
      <c r="DT127" s="31"/>
      <c r="DU127" s="31"/>
      <c r="DV127" s="31">
        <v>464.27755396395878</v>
      </c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</row>
    <row r="128" spans="1:212" x14ac:dyDescent="0.35">
      <c r="A128" s="32" t="s">
        <v>116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>
        <v>1.9284298179607885E-3</v>
      </c>
      <c r="AW128" s="31">
        <v>1.3960091020992637E-2</v>
      </c>
      <c r="AX128" s="31">
        <v>3.3009698741340728E-3</v>
      </c>
      <c r="AY128" s="31">
        <v>3.0288687155712399E-3</v>
      </c>
      <c r="AZ128" s="31">
        <v>1.7369934084713911E-3</v>
      </c>
      <c r="BA128" s="31">
        <v>1.5377260510530868E-3</v>
      </c>
      <c r="BB128" s="31">
        <v>0.12456600626695871</v>
      </c>
      <c r="BC128" s="31">
        <v>3.8332145732895104E-2</v>
      </c>
      <c r="BD128" s="31">
        <v>3.3300905601350682E-4</v>
      </c>
      <c r="BE128" s="31"/>
      <c r="BF128" s="31">
        <v>3.9189885796476147E-4</v>
      </c>
      <c r="BG128" s="31">
        <v>7.2490344772789235E-4</v>
      </c>
      <c r="BH128" s="31"/>
      <c r="BI128" s="31">
        <v>2.2326322886575031E-2</v>
      </c>
      <c r="BJ128" s="31">
        <v>8.0032381449379967E-3</v>
      </c>
      <c r="BK128" s="31">
        <v>0.38661885584990102</v>
      </c>
      <c r="BL128" s="31">
        <v>4.8841548877000575E-2</v>
      </c>
      <c r="BM128" s="31">
        <v>1.8649728903238387</v>
      </c>
      <c r="BN128" s="31">
        <v>0.54064164756773891</v>
      </c>
      <c r="BO128" s="31">
        <v>0.95176593944184285</v>
      </c>
      <c r="BP128" s="31">
        <v>6.0888769747445309E-2</v>
      </c>
      <c r="BQ128" s="31">
        <v>0.20417853307443018</v>
      </c>
      <c r="BR128" s="31">
        <v>8.2260233919260468</v>
      </c>
      <c r="BS128" s="31">
        <v>11.588121563737751</v>
      </c>
      <c r="BT128" s="31">
        <v>8.4232734443041419</v>
      </c>
      <c r="BU128" s="31"/>
      <c r="BV128" s="31">
        <v>5.5110910080781981</v>
      </c>
      <c r="BW128" s="31">
        <v>5.5853984601377755</v>
      </c>
      <c r="BX128" s="31">
        <v>12.388828041932619</v>
      </c>
      <c r="BY128" s="31">
        <v>24.272952079998102</v>
      </c>
      <c r="BZ128" s="31">
        <v>3.7021118202369911</v>
      </c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>
        <v>83.975878598515081</v>
      </c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</row>
    <row r="129" spans="1:212" x14ac:dyDescent="0.35">
      <c r="A129" s="32" t="s">
        <v>118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>
        <v>0.10189967957185715</v>
      </c>
      <c r="BG129" s="31"/>
      <c r="BH129" s="31">
        <v>1.1714134206599127</v>
      </c>
      <c r="BI129" s="31">
        <v>0.78337956308741941</v>
      </c>
      <c r="BJ129" s="31"/>
      <c r="BK129" s="31"/>
      <c r="BL129" s="31">
        <v>0.66268950898362378</v>
      </c>
      <c r="BM129" s="31">
        <v>27.128642649684242</v>
      </c>
      <c r="BN129" s="31"/>
      <c r="BO129" s="31"/>
      <c r="BP129" s="31">
        <v>74.734374841298759</v>
      </c>
      <c r="BQ129" s="31">
        <v>16.713022623203948</v>
      </c>
      <c r="BR129" s="31">
        <v>6.8815310421503186</v>
      </c>
      <c r="BS129" s="31">
        <v>4.0128097627121733</v>
      </c>
      <c r="BT129" s="31">
        <v>61.369762961923996</v>
      </c>
      <c r="BU129" s="31"/>
      <c r="BV129" s="31">
        <v>21.944568708324191</v>
      </c>
      <c r="BW129" s="31">
        <v>14.04773834537119</v>
      </c>
      <c r="BX129" s="31">
        <v>25.256337008384335</v>
      </c>
      <c r="BY129" s="31">
        <v>39.661015101060954</v>
      </c>
      <c r="BZ129" s="31">
        <v>34.56556841760532</v>
      </c>
      <c r="CA129" s="31">
        <v>53.332590031953544</v>
      </c>
      <c r="CB129" s="31">
        <v>27.934103744077227</v>
      </c>
      <c r="CC129" s="31"/>
      <c r="CD129" s="31"/>
      <c r="CE129" s="31"/>
      <c r="CF129" s="31"/>
      <c r="CG129" s="31"/>
      <c r="CH129" s="31">
        <v>1.3430785292248915</v>
      </c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>
        <v>411.64452593927797</v>
      </c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</row>
    <row r="130" spans="1:212" x14ac:dyDescent="0.35">
      <c r="A130" s="32" t="s">
        <v>120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>
        <v>443.53533570823737</v>
      </c>
      <c r="DA130" s="31">
        <v>6.7901777042466014</v>
      </c>
      <c r="DB130" s="31">
        <v>14.292116305874329</v>
      </c>
      <c r="DC130" s="31">
        <v>25.409582858321087</v>
      </c>
      <c r="DD130" s="31">
        <v>62.810545577386797</v>
      </c>
      <c r="DE130" s="31">
        <v>189.87322036266994</v>
      </c>
      <c r="DF130" s="31">
        <v>0.45667262128291958</v>
      </c>
      <c r="DG130" s="31">
        <v>0.89184433304065303</v>
      </c>
      <c r="DH130" s="31">
        <v>1.2848569553487785</v>
      </c>
      <c r="DI130" s="31">
        <v>4.9707568635042874</v>
      </c>
      <c r="DJ130" s="31">
        <v>36.204045144982992</v>
      </c>
      <c r="DK130" s="31">
        <v>0.31560490337674479</v>
      </c>
      <c r="DL130" s="31">
        <v>1.4534184545503883</v>
      </c>
      <c r="DM130" s="31">
        <v>4.793559534602335</v>
      </c>
      <c r="DN130" s="31">
        <v>22.487253385542758</v>
      </c>
      <c r="DO130" s="31">
        <v>388.41644199256046</v>
      </c>
      <c r="DP130" s="31">
        <v>136.78292939557059</v>
      </c>
      <c r="DQ130" s="31"/>
      <c r="DR130" s="31"/>
      <c r="DS130" s="31"/>
      <c r="DT130" s="31"/>
      <c r="DU130" s="31">
        <v>1128.0909546709847</v>
      </c>
      <c r="DV130" s="31">
        <v>2468.8593167720837</v>
      </c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</row>
    <row r="131" spans="1:212" x14ac:dyDescent="0.35">
      <c r="A131" s="32" t="s">
        <v>124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>
        <v>35.939495011586821</v>
      </c>
      <c r="AW131" s="31">
        <v>0.31969442741619308</v>
      </c>
      <c r="AX131" s="31">
        <v>1.0258632241919801</v>
      </c>
      <c r="AY131" s="31">
        <v>0.34887650186735558</v>
      </c>
      <c r="AZ131" s="31">
        <v>1.0394696624093969</v>
      </c>
      <c r="BA131" s="31">
        <v>0.43063041278678882</v>
      </c>
      <c r="BB131" s="31">
        <v>18.841733982389577</v>
      </c>
      <c r="BC131" s="31">
        <v>2.0387217260746762</v>
      </c>
      <c r="BD131" s="31">
        <v>1.1853673957936457</v>
      </c>
      <c r="BE131" s="31"/>
      <c r="BF131" s="31">
        <v>7.8992234201323439E-2</v>
      </c>
      <c r="BG131" s="31">
        <v>2.3042953129051189</v>
      </c>
      <c r="BH131" s="31">
        <v>2.0167273575099505</v>
      </c>
      <c r="BI131" s="31">
        <v>7.1276167875812337</v>
      </c>
      <c r="BJ131" s="31">
        <v>1.4052720848969833</v>
      </c>
      <c r="BK131" s="31">
        <v>11.449232138990919</v>
      </c>
      <c r="BL131" s="31">
        <v>4.3854103632926309</v>
      </c>
      <c r="BM131" s="31">
        <v>29.256785599525585</v>
      </c>
      <c r="BN131" s="31">
        <v>7.8596264535581541</v>
      </c>
      <c r="BO131" s="31">
        <v>16.21004588092158</v>
      </c>
      <c r="BP131" s="31">
        <v>5.9317647528664743</v>
      </c>
      <c r="BQ131" s="31">
        <v>14.074768975095637</v>
      </c>
      <c r="BR131" s="31">
        <v>52.576602285849191</v>
      </c>
      <c r="BS131" s="31">
        <v>149.0577728732238</v>
      </c>
      <c r="BT131" s="31">
        <v>324.36642801029683</v>
      </c>
      <c r="BU131" s="31">
        <v>64.661595852569164</v>
      </c>
      <c r="BV131" s="31">
        <v>294.17414350537865</v>
      </c>
      <c r="BW131" s="31">
        <v>92.327313798305553</v>
      </c>
      <c r="BX131" s="31">
        <v>269.80791630279987</v>
      </c>
      <c r="BY131" s="31">
        <v>794.69184888994982</v>
      </c>
      <c r="BZ131" s="31">
        <v>60.70182704093709</v>
      </c>
      <c r="CA131" s="31"/>
      <c r="CB131" s="31"/>
      <c r="CC131" s="31"/>
      <c r="CD131" s="31"/>
      <c r="CE131" s="31">
        <v>79.438355372269783</v>
      </c>
      <c r="CF131" s="31">
        <v>45.694016980709407</v>
      </c>
      <c r="CG131" s="31">
        <v>7.6259967928571069</v>
      </c>
      <c r="CH131" s="31">
        <v>18.920106047838051</v>
      </c>
      <c r="CI131" s="31">
        <v>27.144449333353453</v>
      </c>
      <c r="CJ131" s="31">
        <v>4.5974283130464997</v>
      </c>
      <c r="CK131" s="31">
        <v>49.781618363127258</v>
      </c>
      <c r="CL131" s="31">
        <v>21.628934132579413</v>
      </c>
      <c r="CM131" s="31">
        <v>31.410074141959484</v>
      </c>
      <c r="CN131" s="31">
        <v>3.3256008223927664</v>
      </c>
      <c r="CO131" s="31">
        <v>20.075647743197834</v>
      </c>
      <c r="CP131" s="31"/>
      <c r="CQ131" s="31">
        <v>1.934244556751858</v>
      </c>
      <c r="CR131" s="31">
        <v>5.1342480181978818</v>
      </c>
      <c r="CS131" s="31">
        <v>0.87888459898146554</v>
      </c>
      <c r="CT131" s="31">
        <v>1.7888146323305325</v>
      </c>
      <c r="CU131" s="31"/>
      <c r="CV131" s="31"/>
      <c r="CW131" s="31"/>
      <c r="CX131" s="31">
        <v>21.539772312091149</v>
      </c>
      <c r="CY131" s="31">
        <v>179.64488391762345</v>
      </c>
      <c r="CZ131" s="31">
        <v>3.7549506377357793</v>
      </c>
      <c r="DA131" s="31">
        <v>0.15449145444831913</v>
      </c>
      <c r="DB131" s="31">
        <v>0.39146610015808142</v>
      </c>
      <c r="DC131" s="31">
        <v>0.79679570037261027</v>
      </c>
      <c r="DD131" s="31">
        <v>1.5217242962670321</v>
      </c>
      <c r="DE131" s="31">
        <v>3.6976615374057502</v>
      </c>
      <c r="DF131" s="31">
        <v>1.0197960647029325E-2</v>
      </c>
      <c r="DG131" s="31">
        <v>2.3508884480906198E-2</v>
      </c>
      <c r="DH131" s="31">
        <v>3.803837310033864E-2</v>
      </c>
      <c r="DI131" s="31">
        <v>0.10640830648840124</v>
      </c>
      <c r="DJ131" s="31">
        <v>0.61098717715974671</v>
      </c>
      <c r="DK131" s="31">
        <v>7.0460672820960258E-3</v>
      </c>
      <c r="DL131" s="31">
        <v>3.8368218126857902E-2</v>
      </c>
      <c r="DM131" s="31">
        <v>0.14250211178707164</v>
      </c>
      <c r="DN131" s="31">
        <v>0.48632975403276424</v>
      </c>
      <c r="DO131" s="31">
        <v>6.1192108226221684</v>
      </c>
      <c r="DP131" s="31">
        <v>1.15705768830623</v>
      </c>
      <c r="DQ131" s="31"/>
      <c r="DR131" s="31"/>
      <c r="DS131" s="31"/>
      <c r="DT131" s="31"/>
      <c r="DU131" s="31"/>
      <c r="DV131" s="31">
        <v>2805.2556600149014</v>
      </c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</row>
    <row r="132" spans="1:212" x14ac:dyDescent="0.35">
      <c r="A132" s="32" t="s">
        <v>126</v>
      </c>
      <c r="B132" s="31">
        <v>759.0927195506365</v>
      </c>
      <c r="C132" s="31">
        <v>192.03927694784704</v>
      </c>
      <c r="D132" s="31">
        <v>158.71322382902684</v>
      </c>
      <c r="E132" s="31">
        <v>204.99655384086677</v>
      </c>
      <c r="F132" s="31">
        <v>307.64742106932368</v>
      </c>
      <c r="G132" s="31">
        <v>156.31975866657388</v>
      </c>
      <c r="H132" s="31">
        <v>223.25242428548401</v>
      </c>
      <c r="I132" s="31">
        <v>108.25655658826597</v>
      </c>
      <c r="J132" s="31">
        <v>428.94401393814866</v>
      </c>
      <c r="K132" s="31">
        <v>28.336087722660636</v>
      </c>
      <c r="L132" s="31">
        <v>21.159682762174462</v>
      </c>
      <c r="M132" s="31">
        <v>191.94907610889152</v>
      </c>
      <c r="N132" s="31">
        <v>57.02228203183882</v>
      </c>
      <c r="O132" s="31">
        <v>42.533047452411907</v>
      </c>
      <c r="P132" s="31">
        <v>301.35166882744539</v>
      </c>
      <c r="Q132" s="31">
        <v>158.54630003904251</v>
      </c>
      <c r="R132" s="31">
        <v>7.4439942592094805</v>
      </c>
      <c r="S132" s="31">
        <v>202.85396080440879</v>
      </c>
      <c r="T132" s="31">
        <v>16.655968705150119</v>
      </c>
      <c r="U132" s="31">
        <v>584.51890467335306</v>
      </c>
      <c r="V132" s="31">
        <v>388.03765838150917</v>
      </c>
      <c r="W132" s="31">
        <v>380.49203703222116</v>
      </c>
      <c r="X132" s="31">
        <v>117.31781335151263</v>
      </c>
      <c r="Y132" s="31">
        <v>62.909419045733472</v>
      </c>
      <c r="Z132" s="31">
        <v>13.263282308203458</v>
      </c>
      <c r="AA132" s="31">
        <v>72.536657426567487</v>
      </c>
      <c r="AB132" s="31">
        <v>251.36521136015679</v>
      </c>
      <c r="AC132" s="31">
        <v>19.776890075674853</v>
      </c>
      <c r="AD132" s="31">
        <v>36.543367340308308</v>
      </c>
      <c r="AE132" s="31">
        <v>15.15013848181397</v>
      </c>
      <c r="AF132" s="31">
        <v>80.2044789022613</v>
      </c>
      <c r="AG132" s="31">
        <v>247.64856120168668</v>
      </c>
      <c r="AH132" s="31">
        <v>169.23692584358608</v>
      </c>
      <c r="AI132" s="31">
        <v>1630.8608792914824</v>
      </c>
      <c r="AJ132" s="31">
        <v>1701.6616256002276</v>
      </c>
      <c r="AK132" s="31">
        <v>906.1805721962246</v>
      </c>
      <c r="AL132" s="31">
        <v>107.88205228486953</v>
      </c>
      <c r="AM132" s="31">
        <v>172.78032148328782</v>
      </c>
      <c r="AN132" s="31">
        <v>680.75717859778308</v>
      </c>
      <c r="AO132" s="31">
        <v>687.96236306053902</v>
      </c>
      <c r="AP132" s="31">
        <v>796.09882753416355</v>
      </c>
      <c r="AQ132" s="31">
        <v>360.27180247426929</v>
      </c>
      <c r="AR132" s="31">
        <v>391.21043965309627</v>
      </c>
      <c r="AS132" s="31">
        <v>628.68816715290927</v>
      </c>
      <c r="AT132" s="31">
        <v>913.36069636812442</v>
      </c>
      <c r="AU132" s="31">
        <v>222.14128285725695</v>
      </c>
      <c r="AV132" s="31">
        <v>797.38215528501155</v>
      </c>
      <c r="AW132" s="31">
        <v>190.75053896043025</v>
      </c>
      <c r="AX132" s="31">
        <v>142.83545975203631</v>
      </c>
      <c r="AY132" s="31">
        <v>191.90117014581693</v>
      </c>
      <c r="AZ132" s="31">
        <v>264.70385532484926</v>
      </c>
      <c r="BA132" s="31">
        <v>175.25771127395888</v>
      </c>
      <c r="BB132" s="31">
        <v>273.45617996585764</v>
      </c>
      <c r="BC132" s="31">
        <v>102.07124326919788</v>
      </c>
      <c r="BD132" s="31">
        <v>279.19359319588762</v>
      </c>
      <c r="BE132" s="31">
        <v>26.048157140910821</v>
      </c>
      <c r="BF132" s="31">
        <v>21.323480581260036</v>
      </c>
      <c r="BG132" s="31">
        <v>190.64699249328493</v>
      </c>
      <c r="BH132" s="31">
        <v>61.419079702418657</v>
      </c>
      <c r="BI132" s="31">
        <v>51.701821148127728</v>
      </c>
      <c r="BJ132" s="31">
        <v>366.10139626533783</v>
      </c>
      <c r="BK132" s="31">
        <v>207.22822295024483</v>
      </c>
      <c r="BL132" s="31">
        <v>13.295154649526822</v>
      </c>
      <c r="BM132" s="31">
        <v>301.65076938186166</v>
      </c>
      <c r="BN132" s="31">
        <v>28.196663808428927</v>
      </c>
      <c r="BO132" s="31">
        <v>700.79613379800549</v>
      </c>
      <c r="BP132" s="31">
        <v>555.31253603646576</v>
      </c>
      <c r="BQ132" s="31">
        <v>564.01509896930861</v>
      </c>
      <c r="BR132" s="31">
        <v>232.17433742490687</v>
      </c>
      <c r="BS132" s="31">
        <v>265.24553017722019</v>
      </c>
      <c r="BT132" s="31">
        <v>493.34357674643167</v>
      </c>
      <c r="BU132" s="31">
        <v>158.99519819412029</v>
      </c>
      <c r="BV132" s="31">
        <v>629.97217867292397</v>
      </c>
      <c r="BW132" s="31">
        <v>147.85613440457954</v>
      </c>
      <c r="BX132" s="31">
        <v>383.82285085385871</v>
      </c>
      <c r="BY132" s="31">
        <v>1131.4508792509528</v>
      </c>
      <c r="BZ132" s="31">
        <v>216.68544745666901</v>
      </c>
      <c r="CA132" s="31">
        <v>324.92220423047917</v>
      </c>
      <c r="CB132" s="31">
        <v>214.180391037764</v>
      </c>
      <c r="CC132" s="31">
        <v>1630.8608792914836</v>
      </c>
      <c r="CD132" s="31">
        <v>1701.6616256002294</v>
      </c>
      <c r="CE132" s="31">
        <v>985.61892756849409</v>
      </c>
      <c r="CF132" s="31">
        <v>153.57606926557887</v>
      </c>
      <c r="CG132" s="31">
        <v>180.40631827614519</v>
      </c>
      <c r="CH132" s="31">
        <v>701.02036317484601</v>
      </c>
      <c r="CI132" s="31">
        <v>715.10681239389089</v>
      </c>
      <c r="CJ132" s="31">
        <v>800.69625584721121</v>
      </c>
      <c r="CK132" s="31">
        <v>410.05342083739708</v>
      </c>
      <c r="CL132" s="31">
        <v>412.83937378567583</v>
      </c>
      <c r="CM132" s="31">
        <v>660.09824129486844</v>
      </c>
      <c r="CN132" s="31">
        <v>916.68629719051569</v>
      </c>
      <c r="CO132" s="31">
        <v>242.21693060045476</v>
      </c>
      <c r="CP132" s="31">
        <v>1555.6357169752973</v>
      </c>
      <c r="CQ132" s="31">
        <v>646.70406010945067</v>
      </c>
      <c r="CR132" s="31">
        <v>1716.6076685531725</v>
      </c>
      <c r="CS132" s="31">
        <v>293.85024584659942</v>
      </c>
      <c r="CT132" s="31">
        <v>598.08036242014794</v>
      </c>
      <c r="CU132" s="31">
        <v>663.15892955534514</v>
      </c>
      <c r="CV132" s="31">
        <v>261.72307046112684</v>
      </c>
      <c r="CW132" s="31">
        <v>197.60334916352647</v>
      </c>
      <c r="CX132" s="31">
        <v>39.737907064660298</v>
      </c>
      <c r="CY132" s="31">
        <v>3314.2001681015718</v>
      </c>
      <c r="CZ132" s="31">
        <v>3340.6662500538864</v>
      </c>
      <c r="DA132" s="31">
        <v>269.37014377493722</v>
      </c>
      <c r="DB132" s="31">
        <v>389.17967710773371</v>
      </c>
      <c r="DC132" s="31">
        <v>611.28477645400847</v>
      </c>
      <c r="DD132" s="31">
        <v>873.71000765830661</v>
      </c>
      <c r="DE132" s="31">
        <v>1730.398329045441</v>
      </c>
      <c r="DF132" s="31">
        <v>17.747377308347108</v>
      </c>
      <c r="DG132" s="31">
        <v>23.259170146484291</v>
      </c>
      <c r="DH132" s="31">
        <v>28.903663286654506</v>
      </c>
      <c r="DI132" s="31">
        <v>60.051264097722672</v>
      </c>
      <c r="DJ132" s="31">
        <v>276.37761769188052</v>
      </c>
      <c r="DK132" s="31">
        <v>12.261718899365967</v>
      </c>
      <c r="DL132" s="31">
        <v>37.967922145937429</v>
      </c>
      <c r="DM132" s="31">
        <v>108.41034876856043</v>
      </c>
      <c r="DN132" s="31">
        <v>275.57981652873235</v>
      </c>
      <c r="DO132" s="31">
        <v>2925.2170682408437</v>
      </c>
      <c r="DP132" s="31">
        <v>1115.6241748164709</v>
      </c>
      <c r="DQ132" s="31">
        <v>464.27755396395878</v>
      </c>
      <c r="DR132" s="31">
        <v>83.975878598515067</v>
      </c>
      <c r="DS132" s="31">
        <v>411.6445259392774</v>
      </c>
      <c r="DT132" s="31">
        <v>2468.8593167720846</v>
      </c>
      <c r="DU132" s="31">
        <v>2805.2556600149014</v>
      </c>
      <c r="DV132" s="31">
        <v>62038.072968648128</v>
      </c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</row>
    <row r="133" spans="1:212" x14ac:dyDescent="0.35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</row>
    <row r="134" spans="1:212" x14ac:dyDescent="0.35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</row>
    <row r="135" spans="1:212" x14ac:dyDescent="0.35">
      <c r="A135" s="32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</row>
    <row r="136" spans="1:212" x14ac:dyDescent="0.35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</row>
    <row r="137" spans="1:212" x14ac:dyDescent="0.35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</row>
    <row r="138" spans="1:212" x14ac:dyDescent="0.35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</row>
    <row r="139" spans="1:212" x14ac:dyDescent="0.35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</row>
    <row r="140" spans="1:212" x14ac:dyDescent="0.35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</row>
    <row r="141" spans="1:212" x14ac:dyDescent="0.35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</row>
    <row r="142" spans="1:212" x14ac:dyDescent="0.35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</row>
    <row r="143" spans="1:212" x14ac:dyDescent="0.35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</row>
    <row r="144" spans="1:212" x14ac:dyDescent="0.35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</row>
    <row r="145" spans="1:212" x14ac:dyDescent="0.3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</row>
    <row r="146" spans="1:212" x14ac:dyDescent="0.35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</row>
    <row r="147" spans="1:212" x14ac:dyDescent="0.35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</row>
    <row r="148" spans="1:212" x14ac:dyDescent="0.35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</row>
    <row r="149" spans="1:212" x14ac:dyDescent="0.35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</row>
    <row r="150" spans="1:212" x14ac:dyDescent="0.35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</row>
    <row r="151" spans="1:212" x14ac:dyDescent="0.35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</row>
    <row r="152" spans="1:212" x14ac:dyDescent="0.35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</row>
    <row r="153" spans="1:212" x14ac:dyDescent="0.35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</row>
    <row r="154" spans="1:212" x14ac:dyDescent="0.35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</row>
    <row r="155" spans="1:212" x14ac:dyDescent="0.3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</row>
    <row r="156" spans="1:212" x14ac:dyDescent="0.35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</row>
    <row r="157" spans="1:212" x14ac:dyDescent="0.35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</row>
    <row r="158" spans="1:212" x14ac:dyDescent="0.35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</row>
    <row r="159" spans="1:212" x14ac:dyDescent="0.35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</row>
    <row r="160" spans="1:212" x14ac:dyDescent="0.35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</row>
    <row r="161" spans="1:212" x14ac:dyDescent="0.35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</row>
    <row r="162" spans="1:212" x14ac:dyDescent="0.35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</row>
    <row r="163" spans="1:212" x14ac:dyDescent="0.35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</row>
    <row r="164" spans="1:212" x14ac:dyDescent="0.35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</row>
    <row r="165" spans="1:212" x14ac:dyDescent="0.3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</row>
    <row r="166" spans="1:212" x14ac:dyDescent="0.35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</row>
    <row r="167" spans="1:212" x14ac:dyDescent="0.35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</row>
    <row r="168" spans="1:212" x14ac:dyDescent="0.35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</row>
    <row r="169" spans="1:212" x14ac:dyDescent="0.35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</row>
    <row r="170" spans="1:212" x14ac:dyDescent="0.35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</row>
    <row r="171" spans="1:212" x14ac:dyDescent="0.35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</row>
    <row r="172" spans="1:212" x14ac:dyDescent="0.35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</row>
    <row r="173" spans="1:212" x14ac:dyDescent="0.35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</row>
    <row r="174" spans="1:212" x14ac:dyDescent="0.35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</row>
    <row r="175" spans="1:212" x14ac:dyDescent="0.3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</row>
    <row r="176" spans="1:212" x14ac:dyDescent="0.35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</row>
    <row r="177" spans="1:212" x14ac:dyDescent="0.35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</row>
    <row r="178" spans="1:212" x14ac:dyDescent="0.35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</row>
    <row r="179" spans="1:212" x14ac:dyDescent="0.35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</row>
    <row r="180" spans="1:212" x14ac:dyDescent="0.35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</row>
    <row r="181" spans="1:212" x14ac:dyDescent="0.35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</row>
    <row r="182" spans="1:212" x14ac:dyDescent="0.35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</row>
    <row r="183" spans="1:212" x14ac:dyDescent="0.35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</row>
    <row r="184" spans="1:212" x14ac:dyDescent="0.35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</row>
    <row r="185" spans="1:212" x14ac:dyDescent="0.3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</row>
    <row r="186" spans="1:212" x14ac:dyDescent="0.35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</row>
    <row r="187" spans="1:212" x14ac:dyDescent="0.35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</row>
    <row r="188" spans="1:212" x14ac:dyDescent="0.35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</row>
    <row r="189" spans="1:212" x14ac:dyDescent="0.35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</row>
    <row r="190" spans="1:212" x14ac:dyDescent="0.35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</row>
    <row r="191" spans="1:212" x14ac:dyDescent="0.35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</row>
    <row r="192" spans="1:212" x14ac:dyDescent="0.35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</row>
    <row r="193" spans="1:212" x14ac:dyDescent="0.35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</row>
    <row r="194" spans="1:212" x14ac:dyDescent="0.35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</row>
    <row r="195" spans="1:212" x14ac:dyDescent="0.3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</row>
    <row r="196" spans="1:212" x14ac:dyDescent="0.35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</row>
    <row r="197" spans="1:212" x14ac:dyDescent="0.35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</row>
    <row r="198" spans="1:212" x14ac:dyDescent="0.35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</row>
    <row r="199" spans="1:212" x14ac:dyDescent="0.35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</row>
    <row r="200" spans="1:212" x14ac:dyDescent="0.35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</row>
    <row r="201" spans="1:212" x14ac:dyDescent="0.35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</row>
    <row r="202" spans="1:212" x14ac:dyDescent="0.35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</row>
    <row r="203" spans="1:212" x14ac:dyDescent="0.35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</row>
    <row r="204" spans="1:212" x14ac:dyDescent="0.35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</row>
    <row r="205" spans="1:212" x14ac:dyDescent="0.3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</row>
    <row r="206" spans="1:212" x14ac:dyDescent="0.35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</row>
    <row r="207" spans="1:212" x14ac:dyDescent="0.35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</row>
    <row r="208" spans="1:212" x14ac:dyDescent="0.35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</row>
    <row r="209" spans="1:212" x14ac:dyDescent="0.35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</row>
    <row r="210" spans="1:212" x14ac:dyDescent="0.35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</row>
    <row r="211" spans="1:212" x14ac:dyDescent="0.35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</row>
    <row r="212" spans="1:212" x14ac:dyDescent="0.35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</row>
    <row r="213" spans="1:212" x14ac:dyDescent="0.35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</row>
    <row r="214" spans="1:212" x14ac:dyDescent="0.35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</row>
    <row r="215" spans="1:212" x14ac:dyDescent="0.3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</row>
    <row r="216" spans="1:212" x14ac:dyDescent="0.35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</row>
    <row r="217" spans="1:212" x14ac:dyDescent="0.3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</row>
    <row r="218" spans="1:212" x14ac:dyDescent="0.3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6309-C94F-4879-96E7-02538FBBA318}">
  <sheetPr>
    <tabColor rgb="FFFFFF00"/>
  </sheetPr>
  <dimension ref="A1:BX242"/>
  <sheetViews>
    <sheetView showZeros="0" topLeftCell="A166" zoomScale="70" zoomScaleNormal="70" workbookViewId="0">
      <selection activeCell="A188" sqref="A188"/>
    </sheetView>
  </sheetViews>
  <sheetFormatPr defaultColWidth="8.7265625" defaultRowHeight="14.5" x14ac:dyDescent="0.35"/>
  <cols>
    <col min="1" max="1" width="34.81640625" customWidth="1"/>
    <col min="2" max="2" width="15.7265625" customWidth="1"/>
    <col min="3" max="3" width="16" customWidth="1"/>
    <col min="4" max="17" width="9.1796875"/>
    <col min="18" max="18" width="22" customWidth="1"/>
    <col min="19" max="19" width="16.26953125" customWidth="1"/>
    <col min="20" max="20" width="14.26953125" customWidth="1"/>
    <col min="21" max="70" width="9.1796875" customWidth="1"/>
  </cols>
  <sheetData>
    <row r="1" spans="1:70" ht="18.5" x14ac:dyDescent="0.45">
      <c r="A1" s="5" t="s">
        <v>664</v>
      </c>
      <c r="R1" s="32" t="s">
        <v>724</v>
      </c>
      <c r="S1" s="32" t="s">
        <v>725</v>
      </c>
      <c r="T1" s="5"/>
      <c r="AL1" s="5"/>
    </row>
    <row r="2" spans="1:70" x14ac:dyDescent="0.35">
      <c r="A2" s="3" t="s">
        <v>669</v>
      </c>
      <c r="C2" s="4"/>
      <c r="R2" s="32" t="s">
        <v>148</v>
      </c>
      <c r="S2" s="32" t="s">
        <v>182</v>
      </c>
      <c r="T2" s="3"/>
      <c r="U2" s="4"/>
      <c r="AL2" s="3"/>
      <c r="AM2" s="4"/>
    </row>
    <row r="3" spans="1:70" s="34" customFormat="1" x14ac:dyDescent="0.35"/>
    <row r="4" spans="1:70" x14ac:dyDescent="0.35">
      <c r="A4" t="s">
        <v>665</v>
      </c>
      <c r="C4" s="4"/>
      <c r="T4" s="3"/>
      <c r="U4" s="4"/>
      <c r="AL4" s="3"/>
      <c r="AM4" s="4"/>
    </row>
    <row r="5" spans="1:70" x14ac:dyDescent="0.35">
      <c r="A5" s="3"/>
      <c r="C5" s="4"/>
      <c r="T5" s="3"/>
      <c r="U5" s="4"/>
      <c r="AL5" s="3"/>
      <c r="AM5" s="4"/>
    </row>
    <row r="6" spans="1:70" x14ac:dyDescent="0.35">
      <c r="A6" s="75" t="s">
        <v>666</v>
      </c>
      <c r="B6" t="s">
        <v>694</v>
      </c>
      <c r="C6" t="s">
        <v>35</v>
      </c>
      <c r="D6" t="s">
        <v>26</v>
      </c>
      <c r="E6" t="s">
        <v>24</v>
      </c>
      <c r="F6" t="s">
        <v>27</v>
      </c>
      <c r="G6" t="s">
        <v>28</v>
      </c>
      <c r="H6" t="s">
        <v>33</v>
      </c>
      <c r="I6" t="s">
        <v>700</v>
      </c>
      <c r="J6" t="s">
        <v>31</v>
      </c>
      <c r="K6" t="s">
        <v>32</v>
      </c>
      <c r="L6" t="s">
        <v>498</v>
      </c>
      <c r="M6" t="s">
        <v>496</v>
      </c>
      <c r="N6" t="s">
        <v>500</v>
      </c>
      <c r="O6" t="s">
        <v>25</v>
      </c>
      <c r="P6" t="s">
        <v>34</v>
      </c>
      <c r="Q6" t="s">
        <v>707</v>
      </c>
      <c r="R6" t="s">
        <v>36</v>
      </c>
      <c r="S6" t="s">
        <v>44</v>
      </c>
      <c r="T6" t="s">
        <v>45</v>
      </c>
      <c r="U6" t="s">
        <v>52</v>
      </c>
      <c r="V6" t="s">
        <v>55</v>
      </c>
      <c r="W6" t="s">
        <v>56</v>
      </c>
      <c r="X6" t="s">
        <v>54</v>
      </c>
      <c r="Y6" t="s">
        <v>726</v>
      </c>
      <c r="Z6" t="s">
        <v>29</v>
      </c>
      <c r="AA6" t="s">
        <v>30</v>
      </c>
      <c r="AB6" t="s">
        <v>709</v>
      </c>
      <c r="AC6" t="s">
        <v>702</v>
      </c>
      <c r="AD6" t="s">
        <v>704</v>
      </c>
      <c r="AE6" t="s">
        <v>37</v>
      </c>
      <c r="AF6" t="s">
        <v>38</v>
      </c>
      <c r="AG6" t="s">
        <v>502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46</v>
      </c>
      <c r="AN6" t="s">
        <v>49</v>
      </c>
      <c r="AO6" t="s">
        <v>550</v>
      </c>
      <c r="AP6" t="s">
        <v>47</v>
      </c>
      <c r="AQ6" t="s">
        <v>48</v>
      </c>
      <c r="AR6" t="s">
        <v>50</v>
      </c>
      <c r="AS6" t="s">
        <v>51</v>
      </c>
      <c r="AT6" t="s">
        <v>53</v>
      </c>
      <c r="AU6" t="s">
        <v>57</v>
      </c>
    </row>
    <row r="7" spans="1:70" x14ac:dyDescent="0.35">
      <c r="A7" s="75" t="s">
        <v>667</v>
      </c>
      <c r="B7" t="str">
        <f>"c"&amp;B6</f>
        <v>ccere</v>
      </c>
      <c r="C7" t="str">
        <f t="shared" ref="C7:X7" si="0">"c"&amp;C6</f>
        <v>cgmll</v>
      </c>
      <c r="D7" t="str">
        <f t="shared" si="0"/>
        <v>croot</v>
      </c>
      <c r="E7" t="str">
        <f t="shared" si="0"/>
        <v>cpuls</v>
      </c>
      <c r="F7" t="str">
        <f t="shared" si="0"/>
        <v>cvege</v>
      </c>
      <c r="G7" t="str">
        <f t="shared" si="0"/>
        <v>cfrui</v>
      </c>
      <c r="H7" t="str">
        <f t="shared" si="0"/>
        <v>cfveg</v>
      </c>
      <c r="I7" t="str">
        <f t="shared" si="0"/>
        <v>clive</v>
      </c>
      <c r="J7" t="str">
        <f t="shared" si="0"/>
        <v>cfish</v>
      </c>
      <c r="K7" t="str">
        <f t="shared" si="0"/>
        <v>cmeat</v>
      </c>
      <c r="L7" t="str">
        <f t="shared" si="0"/>
        <v>cfsea</v>
      </c>
      <c r="M7" t="str">
        <f t="shared" si="0"/>
        <v>cmilk</v>
      </c>
      <c r="N7" t="str">
        <f t="shared" si="0"/>
        <v>cdair</v>
      </c>
      <c r="O7" t="str">
        <f t="shared" si="0"/>
        <v>coils</v>
      </c>
      <c r="P7" t="str">
        <f t="shared" si="0"/>
        <v>cfoil</v>
      </c>
      <c r="Q7" t="str">
        <f t="shared" si="0"/>
        <v>cfobe</v>
      </c>
      <c r="R7" t="str">
        <f t="shared" si="0"/>
        <v>ctext</v>
      </c>
      <c r="S7" t="str">
        <f t="shared" si="0"/>
        <v>celec</v>
      </c>
      <c r="T7" t="str">
        <f t="shared" si="0"/>
        <v>cwatr</v>
      </c>
      <c r="U7" t="str">
        <f t="shared" si="0"/>
        <v>creal</v>
      </c>
      <c r="V7" t="str">
        <f t="shared" si="0"/>
        <v>ceduc</v>
      </c>
      <c r="W7" t="str">
        <f t="shared" si="0"/>
        <v>cheal</v>
      </c>
      <c r="X7" t="str">
        <f t="shared" si="0"/>
        <v>cpadm</v>
      </c>
      <c r="Y7" t="s">
        <v>725</v>
      </c>
      <c r="Z7" t="str">
        <f t="shared" ref="Z7:AU7" si="1">"c"&amp;Z6</f>
        <v>cocrp</v>
      </c>
      <c r="AA7" t="str">
        <f t="shared" si="1"/>
        <v>cfore</v>
      </c>
      <c r="AB7" t="str">
        <f t="shared" si="1"/>
        <v>coapr</v>
      </c>
      <c r="AC7" t="str">
        <f t="shared" si="1"/>
        <v>cmine</v>
      </c>
      <c r="AD7" t="str">
        <f t="shared" si="1"/>
        <v>cmino</v>
      </c>
      <c r="AE7" t="str">
        <f t="shared" si="1"/>
        <v>cwood</v>
      </c>
      <c r="AF7" t="str">
        <f t="shared" si="1"/>
        <v>cpetr</v>
      </c>
      <c r="AG7" t="str">
        <f t="shared" si="1"/>
        <v>cfert</v>
      </c>
      <c r="AH7" t="str">
        <f t="shared" si="1"/>
        <v>cchem</v>
      </c>
      <c r="AI7" t="str">
        <f t="shared" si="1"/>
        <v>cnmet</v>
      </c>
      <c r="AJ7" t="str">
        <f t="shared" si="1"/>
        <v>cmetl</v>
      </c>
      <c r="AK7" t="str">
        <f t="shared" si="1"/>
        <v>cmach</v>
      </c>
      <c r="AL7" t="str">
        <f t="shared" si="1"/>
        <v>coman</v>
      </c>
      <c r="AM7" t="str">
        <f t="shared" si="1"/>
        <v>ccons</v>
      </c>
      <c r="AN7" t="str">
        <f t="shared" si="1"/>
        <v>chotl</v>
      </c>
      <c r="AO7" t="str">
        <f t="shared" si="1"/>
        <v>crest</v>
      </c>
      <c r="AP7" t="str">
        <f t="shared" si="1"/>
        <v>ctrad</v>
      </c>
      <c r="AQ7" t="str">
        <f t="shared" si="1"/>
        <v>ctran</v>
      </c>
      <c r="AR7" t="str">
        <f t="shared" si="1"/>
        <v>ccomm</v>
      </c>
      <c r="AS7" t="str">
        <f t="shared" si="1"/>
        <v>cfsrv</v>
      </c>
      <c r="AT7" t="str">
        <f t="shared" si="1"/>
        <v>cbsrv</v>
      </c>
      <c r="AU7" t="str">
        <f t="shared" si="1"/>
        <v>cosrv</v>
      </c>
    </row>
    <row r="8" spans="1:70" x14ac:dyDescent="0.35">
      <c r="A8" s="76" t="s">
        <v>668</v>
      </c>
      <c r="B8" s="26" t="str">
        <f>"a"&amp;B6</f>
        <v>acere</v>
      </c>
      <c r="C8" s="26" t="str">
        <f t="shared" ref="C8:X8" si="2">"a"&amp;C6</f>
        <v>agmll</v>
      </c>
      <c r="D8" s="26" t="str">
        <f t="shared" si="2"/>
        <v>aroot</v>
      </c>
      <c r="E8" s="26" t="str">
        <f t="shared" si="2"/>
        <v>apuls</v>
      </c>
      <c r="F8" s="26" t="str">
        <f t="shared" si="2"/>
        <v>avege</v>
      </c>
      <c r="G8" s="26" t="str">
        <f t="shared" si="2"/>
        <v>afrui</v>
      </c>
      <c r="H8" s="26" t="str">
        <f t="shared" si="2"/>
        <v>afveg</v>
      </c>
      <c r="I8" s="26" t="str">
        <f t="shared" si="2"/>
        <v>alive</v>
      </c>
      <c r="J8" s="26" t="str">
        <f t="shared" si="2"/>
        <v>afish</v>
      </c>
      <c r="K8" s="26" t="str">
        <f t="shared" si="2"/>
        <v>ameat</v>
      </c>
      <c r="L8" s="26" t="str">
        <f t="shared" si="2"/>
        <v>afsea</v>
      </c>
      <c r="M8" s="26" t="str">
        <f t="shared" si="2"/>
        <v>amilk</v>
      </c>
      <c r="N8" s="26" t="str">
        <f t="shared" si="2"/>
        <v>adair</v>
      </c>
      <c r="O8" s="26" t="str">
        <f t="shared" si="2"/>
        <v>aoils</v>
      </c>
      <c r="P8" s="26" t="str">
        <f t="shared" si="2"/>
        <v>afoil</v>
      </c>
      <c r="Q8" s="26" t="str">
        <f t="shared" si="2"/>
        <v>afobe</v>
      </c>
      <c r="R8" s="26" t="str">
        <f t="shared" si="2"/>
        <v>atext</v>
      </c>
      <c r="S8" s="26" t="str">
        <f t="shared" si="2"/>
        <v>aelec</v>
      </c>
      <c r="T8" s="26" t="str">
        <f t="shared" si="2"/>
        <v>awatr</v>
      </c>
      <c r="U8" s="26" t="str">
        <f t="shared" si="2"/>
        <v>areal</v>
      </c>
      <c r="V8" s="26" t="str">
        <f t="shared" si="2"/>
        <v>aeduc</v>
      </c>
      <c r="W8" s="26" t="str">
        <f t="shared" si="2"/>
        <v>aheal</v>
      </c>
      <c r="X8" s="26" t="str">
        <f t="shared" si="2"/>
        <v>apadm</v>
      </c>
      <c r="Y8" t="s">
        <v>724</v>
      </c>
      <c r="Z8" s="26" t="str">
        <f t="shared" ref="Z8:AU8" si="3">"a"&amp;Z6</f>
        <v>aocrp</v>
      </c>
      <c r="AA8" s="26" t="str">
        <f t="shared" si="3"/>
        <v>afore</v>
      </c>
      <c r="AB8" s="26" t="str">
        <f t="shared" si="3"/>
        <v>aoapr</v>
      </c>
      <c r="AC8" s="26" t="str">
        <f t="shared" si="3"/>
        <v>amine</v>
      </c>
      <c r="AD8" s="26" t="str">
        <f t="shared" si="3"/>
        <v>amino</v>
      </c>
      <c r="AE8" s="26" t="str">
        <f t="shared" si="3"/>
        <v>awood</v>
      </c>
      <c r="AF8" s="26" t="str">
        <f t="shared" si="3"/>
        <v>apetr</v>
      </c>
      <c r="AG8" s="26" t="str">
        <f t="shared" si="3"/>
        <v>afert</v>
      </c>
      <c r="AH8" s="26" t="str">
        <f t="shared" si="3"/>
        <v>achem</v>
      </c>
      <c r="AI8" s="26" t="str">
        <f t="shared" si="3"/>
        <v>anmet</v>
      </c>
      <c r="AJ8" s="26" t="str">
        <f t="shared" si="3"/>
        <v>ametl</v>
      </c>
      <c r="AK8" s="26" t="str">
        <f t="shared" si="3"/>
        <v>amach</v>
      </c>
      <c r="AL8" s="26" t="str">
        <f t="shared" si="3"/>
        <v>aoman</v>
      </c>
      <c r="AM8" s="26" t="str">
        <f t="shared" si="3"/>
        <v>acons</v>
      </c>
      <c r="AN8" s="26" t="str">
        <f t="shared" si="3"/>
        <v>ahotl</v>
      </c>
      <c r="AO8" s="26" t="str">
        <f t="shared" si="3"/>
        <v>arest</v>
      </c>
      <c r="AP8" s="26" t="str">
        <f t="shared" si="3"/>
        <v>atrad</v>
      </c>
      <c r="AQ8" s="26" t="str">
        <f t="shared" si="3"/>
        <v>atran</v>
      </c>
      <c r="AR8" s="26" t="str">
        <f t="shared" si="3"/>
        <v>acomm</v>
      </c>
      <c r="AS8" s="26" t="str">
        <f t="shared" si="3"/>
        <v>afsrv</v>
      </c>
      <c r="AT8" s="26" t="str">
        <f t="shared" si="3"/>
        <v>absrv</v>
      </c>
      <c r="AU8" s="26" t="str">
        <f t="shared" si="3"/>
        <v>aosrv</v>
      </c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spans="1:70" x14ac:dyDescent="0.35">
      <c r="A9" s="77" t="s">
        <v>656</v>
      </c>
      <c r="B9" s="47" t="s">
        <v>616</v>
      </c>
      <c r="C9" s="47" t="s">
        <v>616</v>
      </c>
      <c r="D9" s="50" t="s">
        <v>618</v>
      </c>
      <c r="E9" s="50" t="s">
        <v>617</v>
      </c>
      <c r="F9" s="50" t="s">
        <v>723</v>
      </c>
      <c r="G9" s="50" t="s">
        <v>620</v>
      </c>
      <c r="H9" s="50" t="s">
        <v>620</v>
      </c>
      <c r="I9" s="47" t="s">
        <v>621</v>
      </c>
      <c r="J9" s="47" t="s">
        <v>621</v>
      </c>
      <c r="K9" s="47" t="s">
        <v>621</v>
      </c>
      <c r="L9" s="47" t="s">
        <v>621</v>
      </c>
      <c r="M9" s="50" t="s">
        <v>622</v>
      </c>
      <c r="N9" s="50" t="s">
        <v>622</v>
      </c>
      <c r="O9" s="50" t="s">
        <v>623</v>
      </c>
      <c r="P9" s="50" t="s">
        <v>623</v>
      </c>
      <c r="Q9" s="53" t="s">
        <v>624</v>
      </c>
      <c r="R9" s="73" t="s">
        <v>626</v>
      </c>
      <c r="S9" s="53" t="s">
        <v>629</v>
      </c>
      <c r="T9" s="53" t="s">
        <v>629</v>
      </c>
      <c r="U9" s="50" t="s">
        <v>633</v>
      </c>
      <c r="V9" s="50" t="s">
        <v>634</v>
      </c>
      <c r="W9" s="50" t="s">
        <v>634</v>
      </c>
      <c r="X9" s="50" t="s">
        <v>634</v>
      </c>
      <c r="Y9" s="56" t="s">
        <v>625</v>
      </c>
      <c r="Z9" s="56" t="s">
        <v>625</v>
      </c>
      <c r="AA9" s="56" t="s">
        <v>625</v>
      </c>
      <c r="AB9" s="56" t="s">
        <v>625</v>
      </c>
      <c r="AC9" s="50" t="s">
        <v>627</v>
      </c>
      <c r="AD9" s="50" t="s">
        <v>627</v>
      </c>
      <c r="AE9" s="50" t="s">
        <v>628</v>
      </c>
      <c r="AF9" s="50" t="s">
        <v>628</v>
      </c>
      <c r="AG9" s="50" t="s">
        <v>628</v>
      </c>
      <c r="AH9" s="50" t="s">
        <v>628</v>
      </c>
      <c r="AI9" s="50" t="s">
        <v>628</v>
      </c>
      <c r="AJ9" s="50" t="s">
        <v>628</v>
      </c>
      <c r="AK9" s="50" t="s">
        <v>628</v>
      </c>
      <c r="AL9" s="50" t="s">
        <v>628</v>
      </c>
      <c r="AM9" s="47" t="s">
        <v>630</v>
      </c>
      <c r="AN9" s="47" t="s">
        <v>631</v>
      </c>
      <c r="AO9" s="47" t="s">
        <v>631</v>
      </c>
      <c r="AP9" s="47" t="s">
        <v>632</v>
      </c>
      <c r="AQ9" s="47" t="s">
        <v>632</v>
      </c>
      <c r="AR9" s="47" t="s">
        <v>635</v>
      </c>
      <c r="AS9" s="47" t="s">
        <v>635</v>
      </c>
      <c r="AT9" s="47" t="s">
        <v>635</v>
      </c>
      <c r="AU9" s="47" t="s">
        <v>635</v>
      </c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</row>
    <row r="10" spans="1:70" x14ac:dyDescent="0.35">
      <c r="A10" s="75" t="s">
        <v>659</v>
      </c>
      <c r="B10" t="str">
        <f t="shared" ref="B10:X10" si="4">VLOOKUP(B9,$R$102:$S$122,2,FALSE)</f>
        <v>given</v>
      </c>
      <c r="C10" t="str">
        <f t="shared" si="4"/>
        <v>given</v>
      </c>
      <c r="D10" t="str">
        <f t="shared" si="4"/>
        <v>given</v>
      </c>
      <c r="E10" t="str">
        <f t="shared" si="4"/>
        <v>given</v>
      </c>
      <c r="F10" t="str">
        <f t="shared" si="4"/>
        <v>given</v>
      </c>
      <c r="G10" t="str">
        <f t="shared" si="4"/>
        <v>given</v>
      </c>
      <c r="H10" t="str">
        <f t="shared" si="4"/>
        <v>given</v>
      </c>
      <c r="I10" t="str">
        <f t="shared" si="4"/>
        <v>given</v>
      </c>
      <c r="J10" t="str">
        <f t="shared" si="4"/>
        <v>given</v>
      </c>
      <c r="K10" t="str">
        <f t="shared" si="4"/>
        <v>given</v>
      </c>
      <c r="L10" t="str">
        <f t="shared" si="4"/>
        <v>given</v>
      </c>
      <c r="M10" t="str">
        <f t="shared" si="4"/>
        <v>given</v>
      </c>
      <c r="N10" t="str">
        <f t="shared" si="4"/>
        <v>given</v>
      </c>
      <c r="O10" t="str">
        <f t="shared" si="4"/>
        <v>given</v>
      </c>
      <c r="P10" t="str">
        <f t="shared" si="4"/>
        <v>given</v>
      </c>
      <c r="Q10" t="str">
        <f t="shared" si="4"/>
        <v>given</v>
      </c>
      <c r="R10" t="str">
        <f t="shared" si="4"/>
        <v>given</v>
      </c>
      <c r="S10" t="str">
        <f t="shared" si="4"/>
        <v>given</v>
      </c>
      <c r="T10" t="str">
        <f t="shared" si="4"/>
        <v>given</v>
      </c>
      <c r="U10" t="str">
        <f t="shared" si="4"/>
        <v>given</v>
      </c>
      <c r="V10" t="str">
        <f t="shared" si="4"/>
        <v>given</v>
      </c>
      <c r="W10" t="str">
        <f t="shared" si="4"/>
        <v>given</v>
      </c>
      <c r="X10" t="str">
        <f t="shared" si="4"/>
        <v>given</v>
      </c>
      <c r="Y10" t="str">
        <f t="shared" ref="Y10:AU10" si="5">VLOOKUP(Y9,$R$102:$S$122,2,FALSE)</f>
        <v>residual</v>
      </c>
      <c r="Z10" t="str">
        <f t="shared" si="5"/>
        <v>residual</v>
      </c>
      <c r="AA10" t="str">
        <f t="shared" si="5"/>
        <v>residual</v>
      </c>
      <c r="AB10" t="str">
        <f t="shared" si="5"/>
        <v>residual</v>
      </c>
      <c r="AC10" t="str">
        <f t="shared" si="5"/>
        <v>residual</v>
      </c>
      <c r="AD10" t="str">
        <f t="shared" si="5"/>
        <v>residual</v>
      </c>
      <c r="AE10" t="str">
        <f t="shared" si="5"/>
        <v>residual</v>
      </c>
      <c r="AF10" t="str">
        <f t="shared" si="5"/>
        <v>residual</v>
      </c>
      <c r="AG10" t="str">
        <f t="shared" si="5"/>
        <v>residual</v>
      </c>
      <c r="AH10" t="str">
        <f t="shared" si="5"/>
        <v>residual</v>
      </c>
      <c r="AI10" t="str">
        <f t="shared" si="5"/>
        <v>residual</v>
      </c>
      <c r="AJ10" t="str">
        <f t="shared" si="5"/>
        <v>residual</v>
      </c>
      <c r="AK10" t="str">
        <f t="shared" si="5"/>
        <v>residual</v>
      </c>
      <c r="AL10" t="str">
        <f t="shared" si="5"/>
        <v>residual</v>
      </c>
      <c r="AM10" t="str">
        <f t="shared" si="5"/>
        <v>residual</v>
      </c>
      <c r="AN10" t="str">
        <f t="shared" si="5"/>
        <v>residual</v>
      </c>
      <c r="AO10" t="str">
        <f t="shared" si="5"/>
        <v>residual</v>
      </c>
      <c r="AP10" t="str">
        <f t="shared" si="5"/>
        <v>residual</v>
      </c>
      <c r="AQ10" t="str">
        <f t="shared" si="5"/>
        <v>residual</v>
      </c>
      <c r="AR10" t="str">
        <f t="shared" si="5"/>
        <v>residual</v>
      </c>
      <c r="AS10" t="str">
        <f t="shared" si="5"/>
        <v>residual</v>
      </c>
      <c r="AT10" t="str">
        <f t="shared" si="5"/>
        <v>residual</v>
      </c>
      <c r="AU10" t="str">
        <f t="shared" si="5"/>
        <v>residual</v>
      </c>
    </row>
    <row r="11" spans="1:70" x14ac:dyDescent="0.35">
      <c r="A11" s="3"/>
      <c r="C11" s="4"/>
      <c r="T11" s="3"/>
      <c r="U11" s="4"/>
      <c r="AL11" s="3"/>
      <c r="AM11" s="4"/>
    </row>
    <row r="12" spans="1:70" x14ac:dyDescent="0.35">
      <c r="A12" s="74" t="s">
        <v>661</v>
      </c>
      <c r="C12" s="4"/>
      <c r="T12" s="3"/>
      <c r="U12" s="4"/>
      <c r="AL12" s="3"/>
      <c r="AM12" s="4"/>
    </row>
    <row r="13" spans="1:70" x14ac:dyDescent="0.35">
      <c r="A13" s="74" t="s">
        <v>663</v>
      </c>
      <c r="C13" s="4"/>
      <c r="D13" s="43"/>
      <c r="T13" s="3"/>
      <c r="U13" s="4"/>
      <c r="AL13" s="3"/>
      <c r="AM13" s="4"/>
    </row>
    <row r="14" spans="1:70" s="34" customFormat="1" x14ac:dyDescent="0.35"/>
    <row r="15" spans="1:70" x14ac:dyDescent="0.35">
      <c r="A15" t="s">
        <v>649</v>
      </c>
    </row>
    <row r="16" spans="1:70" x14ac:dyDescent="0.35">
      <c r="A16" t="s">
        <v>637</v>
      </c>
      <c r="U16" t="s">
        <v>641</v>
      </c>
    </row>
    <row r="17" spans="1:36" x14ac:dyDescent="0.35">
      <c r="A17" s="169" t="s">
        <v>659</v>
      </c>
      <c r="B17" s="167" t="s">
        <v>655</v>
      </c>
      <c r="C17" s="182" t="s">
        <v>606</v>
      </c>
      <c r="D17" s="182"/>
      <c r="E17" s="182"/>
      <c r="F17" s="182"/>
      <c r="G17" s="182"/>
      <c r="H17" s="181" t="s">
        <v>607</v>
      </c>
      <c r="I17" s="182"/>
      <c r="J17" s="182"/>
      <c r="K17" s="182"/>
      <c r="L17" s="183"/>
      <c r="M17" s="181" t="s">
        <v>468</v>
      </c>
      <c r="N17" s="182"/>
      <c r="O17" s="182"/>
      <c r="P17" s="182"/>
      <c r="Q17" s="183"/>
      <c r="R17" s="184" t="s">
        <v>670</v>
      </c>
      <c r="U17" s="182" t="s">
        <v>606</v>
      </c>
      <c r="V17" s="182"/>
      <c r="W17" s="182"/>
      <c r="X17" s="182"/>
      <c r="Y17" s="182"/>
      <c r="Z17" s="181" t="s">
        <v>607</v>
      </c>
      <c r="AA17" s="182"/>
      <c r="AB17" s="182"/>
      <c r="AC17" s="182"/>
      <c r="AD17" s="183"/>
      <c r="AE17" s="181" t="s">
        <v>468</v>
      </c>
      <c r="AF17" s="182"/>
      <c r="AG17" s="182"/>
      <c r="AH17" s="182"/>
      <c r="AI17" s="183"/>
      <c r="AJ17" s="184" t="s">
        <v>126</v>
      </c>
    </row>
    <row r="18" spans="1:36" x14ac:dyDescent="0.35">
      <c r="A18" s="170"/>
      <c r="B18" s="168"/>
      <c r="C18" s="35" t="s">
        <v>217</v>
      </c>
      <c r="D18" s="35" t="s">
        <v>218</v>
      </c>
      <c r="E18" s="35" t="s">
        <v>219</v>
      </c>
      <c r="F18" s="35" t="s">
        <v>220</v>
      </c>
      <c r="G18" s="35" t="s">
        <v>221</v>
      </c>
      <c r="H18" s="37" t="s">
        <v>595</v>
      </c>
      <c r="I18" s="35" t="s">
        <v>596</v>
      </c>
      <c r="J18" s="35" t="s">
        <v>597</v>
      </c>
      <c r="K18" s="35" t="s">
        <v>598</v>
      </c>
      <c r="L18" s="36" t="s">
        <v>599</v>
      </c>
      <c r="M18" s="37" t="s">
        <v>222</v>
      </c>
      <c r="N18" s="35" t="s">
        <v>223</v>
      </c>
      <c r="O18" s="35" t="s">
        <v>224</v>
      </c>
      <c r="P18" s="35" t="s">
        <v>225</v>
      </c>
      <c r="Q18" s="36" t="s">
        <v>226</v>
      </c>
      <c r="R18" s="185"/>
      <c r="T18" s="39"/>
      <c r="U18" s="35" t="s">
        <v>217</v>
      </c>
      <c r="V18" s="35" t="s">
        <v>218</v>
      </c>
      <c r="W18" s="35" t="s">
        <v>219</v>
      </c>
      <c r="X18" s="35" t="s">
        <v>220</v>
      </c>
      <c r="Y18" s="35" t="s">
        <v>221</v>
      </c>
      <c r="Z18" s="37" t="s">
        <v>595</v>
      </c>
      <c r="AA18" s="35" t="s">
        <v>596</v>
      </c>
      <c r="AB18" s="35" t="s">
        <v>597</v>
      </c>
      <c r="AC18" s="35" t="s">
        <v>598</v>
      </c>
      <c r="AD18" s="36" t="s">
        <v>599</v>
      </c>
      <c r="AE18" s="37" t="s">
        <v>222</v>
      </c>
      <c r="AF18" s="35" t="s">
        <v>223</v>
      </c>
      <c r="AG18" s="35" t="s">
        <v>224</v>
      </c>
      <c r="AH18" s="35" t="s">
        <v>225</v>
      </c>
      <c r="AI18" s="36" t="s">
        <v>226</v>
      </c>
      <c r="AJ18" s="185"/>
    </row>
    <row r="19" spans="1:36" x14ac:dyDescent="0.35">
      <c r="A19" s="86" t="str">
        <f t="shared" ref="A19:A28" si="6">S102</f>
        <v>given</v>
      </c>
      <c r="B19" s="50" t="s">
        <v>616</v>
      </c>
      <c r="C19" s="43">
        <f t="shared" ref="C19:R19" si="7">SUM(C49:C50)</f>
        <v>27.395785902587349</v>
      </c>
      <c r="D19" s="43">
        <f t="shared" si="7"/>
        <v>23.713124300321937</v>
      </c>
      <c r="E19" s="43">
        <f t="shared" si="7"/>
        <v>20.370575111712977</v>
      </c>
      <c r="F19" s="43">
        <f t="shared" si="7"/>
        <v>16.654798172134512</v>
      </c>
      <c r="G19" s="43">
        <f t="shared" si="7"/>
        <v>11.19199892190386</v>
      </c>
      <c r="H19" s="51">
        <f t="shared" si="7"/>
        <v>22.377672790328646</v>
      </c>
      <c r="I19" s="43">
        <f t="shared" si="7"/>
        <v>18.222094273116223</v>
      </c>
      <c r="J19" s="43">
        <f t="shared" si="7"/>
        <v>19.661902874632439</v>
      </c>
      <c r="K19" s="43">
        <f t="shared" si="7"/>
        <v>15.288663082775972</v>
      </c>
      <c r="L19" s="50">
        <f t="shared" si="7"/>
        <v>8.0675936707731601</v>
      </c>
      <c r="M19" s="51">
        <f t="shared" si="7"/>
        <v>19.071593946199901</v>
      </c>
      <c r="N19" s="43">
        <f t="shared" si="7"/>
        <v>19.352573027358481</v>
      </c>
      <c r="O19" s="43">
        <f t="shared" si="7"/>
        <v>16.432290216275689</v>
      </c>
      <c r="P19" s="43">
        <f t="shared" si="7"/>
        <v>13.118669039714586</v>
      </c>
      <c r="Q19" s="50">
        <f t="shared" si="7"/>
        <v>6.3429143260841983</v>
      </c>
      <c r="R19" s="43">
        <f t="shared" si="7"/>
        <v>12.541841209363653</v>
      </c>
      <c r="T19" s="40" t="s">
        <v>616</v>
      </c>
      <c r="U19" s="43">
        <f t="shared" ref="U19:AJ19" si="8">SUM(U49:U50)</f>
        <v>71.89352117971444</v>
      </c>
      <c r="V19" s="43">
        <f t="shared" si="8"/>
        <v>88.647541491005967</v>
      </c>
      <c r="W19" s="43">
        <f t="shared" si="8"/>
        <v>118.74039611658199</v>
      </c>
      <c r="X19" s="43">
        <f t="shared" si="8"/>
        <v>133.01273125892294</v>
      </c>
      <c r="Y19" s="43">
        <f t="shared" si="8"/>
        <v>160.01767249169518</v>
      </c>
      <c r="Z19" s="51">
        <f t="shared" si="8"/>
        <v>3.8669752517483635</v>
      </c>
      <c r="AA19" s="43">
        <f t="shared" si="8"/>
        <v>4.0642792125868663</v>
      </c>
      <c r="AB19" s="43">
        <f t="shared" si="8"/>
        <v>5.4025493765782047</v>
      </c>
      <c r="AC19" s="43">
        <f t="shared" si="8"/>
        <v>8.2891891296550906</v>
      </c>
      <c r="AD19" s="50">
        <f t="shared" si="8"/>
        <v>17.74151857994169</v>
      </c>
      <c r="AE19" s="51">
        <f t="shared" si="8"/>
        <v>2.2769705563240024</v>
      </c>
      <c r="AF19" s="43">
        <f t="shared" si="8"/>
        <v>7.0465335396416995</v>
      </c>
      <c r="AG19" s="43">
        <f t="shared" si="8"/>
        <v>16.939423914326159</v>
      </c>
      <c r="AH19" s="43">
        <f t="shared" si="8"/>
        <v>32.684886915845574</v>
      </c>
      <c r="AI19" s="50">
        <f t="shared" si="8"/>
        <v>148.57771892418484</v>
      </c>
      <c r="AJ19" s="43">
        <f t="shared" si="8"/>
        <v>819.20190793875304</v>
      </c>
    </row>
    <row r="20" spans="1:36" x14ac:dyDescent="0.35">
      <c r="A20" s="86" t="str">
        <f t="shared" si="6"/>
        <v>given</v>
      </c>
      <c r="B20" s="50" t="s">
        <v>618</v>
      </c>
      <c r="C20" s="43">
        <f t="shared" ref="C20:R20" si="9">SUM(C51:C51)</f>
        <v>4.4549955619024431</v>
      </c>
      <c r="D20" s="43">
        <f t="shared" si="9"/>
        <v>4.5106083918282351</v>
      </c>
      <c r="E20" s="43">
        <f t="shared" si="9"/>
        <v>4.7593821450735598</v>
      </c>
      <c r="F20" s="43">
        <f t="shared" si="9"/>
        <v>4.9215352420013918</v>
      </c>
      <c r="G20" s="43">
        <f t="shared" si="9"/>
        <v>3.7079648862842776</v>
      </c>
      <c r="H20" s="51">
        <f t="shared" si="9"/>
        <v>2.3900327591451971</v>
      </c>
      <c r="I20" s="43">
        <f t="shared" si="9"/>
        <v>3.2232009357619944</v>
      </c>
      <c r="J20" s="43">
        <f t="shared" si="9"/>
        <v>4.0713656835206935</v>
      </c>
      <c r="K20" s="43">
        <f t="shared" si="9"/>
        <v>3.0860785763225858</v>
      </c>
      <c r="L20" s="50">
        <f t="shared" si="9"/>
        <v>2.0839350193962884</v>
      </c>
      <c r="M20" s="51">
        <f t="shared" si="9"/>
        <v>3.6282522479683892</v>
      </c>
      <c r="N20" s="43">
        <f t="shared" si="9"/>
        <v>3.5714862186409646</v>
      </c>
      <c r="O20" s="43">
        <f t="shared" si="9"/>
        <v>3.9619702486468467</v>
      </c>
      <c r="P20" s="43">
        <f t="shared" si="9"/>
        <v>3.6213451398053276</v>
      </c>
      <c r="Q20" s="50">
        <f t="shared" si="9"/>
        <v>1.5471075977021553</v>
      </c>
      <c r="R20" s="43">
        <f t="shared" si="9"/>
        <v>3.1875477833189469</v>
      </c>
      <c r="T20" s="40" t="s">
        <v>618</v>
      </c>
      <c r="U20" s="43">
        <f t="shared" ref="U20:AJ20" si="10">SUM(U51:U51)</f>
        <v>11.691043247455013</v>
      </c>
      <c r="V20" s="43">
        <f t="shared" si="10"/>
        <v>16.862153611653973</v>
      </c>
      <c r="W20" s="43">
        <f t="shared" si="10"/>
        <v>27.742511837639515</v>
      </c>
      <c r="X20" s="43">
        <f t="shared" si="10"/>
        <v>39.305600569865753</v>
      </c>
      <c r="Y20" s="43">
        <f t="shared" si="10"/>
        <v>53.014650459170241</v>
      </c>
      <c r="Z20" s="51">
        <f t="shared" si="10"/>
        <v>0.4130097717076594</v>
      </c>
      <c r="AA20" s="43">
        <f t="shared" si="10"/>
        <v>0.71890685916025243</v>
      </c>
      <c r="AB20" s="43">
        <f t="shared" si="10"/>
        <v>1.1186991551924146</v>
      </c>
      <c r="AC20" s="43">
        <f t="shared" si="10"/>
        <v>1.6732064046158479</v>
      </c>
      <c r="AD20" s="50">
        <f t="shared" si="10"/>
        <v>4.5828004451874138</v>
      </c>
      <c r="AE20" s="51">
        <f t="shared" si="10"/>
        <v>0.43317950050978932</v>
      </c>
      <c r="AF20" s="43">
        <f t="shared" si="10"/>
        <v>1.3004264285913802</v>
      </c>
      <c r="AG20" s="43">
        <f t="shared" si="10"/>
        <v>4.0842446606318612</v>
      </c>
      <c r="AH20" s="43">
        <f t="shared" si="10"/>
        <v>9.0225049522523264</v>
      </c>
      <c r="AI20" s="50">
        <f t="shared" si="10"/>
        <v>36.239763928637103</v>
      </c>
      <c r="AJ20" s="43">
        <f t="shared" si="10"/>
        <v>208.20270183227058</v>
      </c>
    </row>
    <row r="21" spans="1:36" x14ac:dyDescent="0.35">
      <c r="A21" s="86" t="str">
        <f t="shared" si="6"/>
        <v>given</v>
      </c>
      <c r="B21" s="50" t="s">
        <v>617</v>
      </c>
      <c r="C21" s="43">
        <f>C52</f>
        <v>2.9322489046922855</v>
      </c>
      <c r="D21" s="43">
        <f t="shared" ref="D21:Q21" si="11">D52</f>
        <v>3.1664244362741925</v>
      </c>
      <c r="E21" s="43">
        <f t="shared" si="11"/>
        <v>3.1118736231261668</v>
      </c>
      <c r="F21" s="43">
        <f t="shared" si="11"/>
        <v>2.7947240861004055</v>
      </c>
      <c r="G21" s="43">
        <f t="shared" si="11"/>
        <v>2.1223303113237559</v>
      </c>
      <c r="H21" s="51">
        <f t="shared" si="11"/>
        <v>1.6435541141523731</v>
      </c>
      <c r="I21" s="43">
        <f t="shared" si="11"/>
        <v>2.2440818536186486</v>
      </c>
      <c r="J21" s="43">
        <f t="shared" si="11"/>
        <v>1.9466824854159159</v>
      </c>
      <c r="K21" s="43">
        <f t="shared" si="11"/>
        <v>2.0101015304789716</v>
      </c>
      <c r="L21" s="50">
        <f t="shared" si="11"/>
        <v>1.092094875925548</v>
      </c>
      <c r="M21" s="51">
        <f t="shared" si="11"/>
        <v>1.9660748340838152</v>
      </c>
      <c r="N21" s="43">
        <f t="shared" si="11"/>
        <v>2.514779282668171</v>
      </c>
      <c r="O21" s="43">
        <f t="shared" si="11"/>
        <v>2.23213919453605</v>
      </c>
      <c r="P21" s="43">
        <f t="shared" si="11"/>
        <v>2.1298912198098172</v>
      </c>
      <c r="Q21" s="50">
        <f t="shared" si="11"/>
        <v>0.881626744192474</v>
      </c>
      <c r="R21" s="43">
        <f t="shared" ref="R21" si="12">R52</f>
        <v>1.9069240612108618</v>
      </c>
      <c r="T21" s="40" t="s">
        <v>617</v>
      </c>
      <c r="U21" s="43">
        <f>U52</f>
        <v>7.6949681050682948</v>
      </c>
      <c r="V21" s="43">
        <f t="shared" ref="V21:AJ21" si="13">V52</f>
        <v>11.837147144247915</v>
      </c>
      <c r="W21" s="43">
        <f t="shared" si="13"/>
        <v>18.139159284819637</v>
      </c>
      <c r="X21" s="43">
        <f t="shared" si="13"/>
        <v>22.319927264520555</v>
      </c>
      <c r="Y21" s="43">
        <f t="shared" si="13"/>
        <v>30.344030503072236</v>
      </c>
      <c r="Z21" s="51">
        <f t="shared" si="13"/>
        <v>0.28401447924840678</v>
      </c>
      <c r="AA21" s="43">
        <f t="shared" si="13"/>
        <v>0.50052288679362289</v>
      </c>
      <c r="AB21" s="43">
        <f t="shared" si="13"/>
        <v>0.5348947309442994</v>
      </c>
      <c r="AC21" s="43">
        <f t="shared" si="13"/>
        <v>1.0898344522171259</v>
      </c>
      <c r="AD21" s="50">
        <f t="shared" si="13"/>
        <v>2.4016357693477359</v>
      </c>
      <c r="AE21" s="51">
        <f t="shared" si="13"/>
        <v>0.2347310099704826</v>
      </c>
      <c r="AF21" s="43">
        <f t="shared" si="13"/>
        <v>0.91566514359956974</v>
      </c>
      <c r="AG21" s="43">
        <f t="shared" si="13"/>
        <v>2.3010275229059607</v>
      </c>
      <c r="AH21" s="43">
        <f t="shared" si="13"/>
        <v>5.3065790021676502</v>
      </c>
      <c r="AI21" s="50">
        <f t="shared" si="13"/>
        <v>20.651404679391344</v>
      </c>
      <c r="AJ21" s="43">
        <f t="shared" si="13"/>
        <v>124.55554197831485</v>
      </c>
    </row>
    <row r="22" spans="1:36" x14ac:dyDescent="0.35">
      <c r="A22" s="86" t="str">
        <f t="shared" si="6"/>
        <v>given</v>
      </c>
      <c r="B22" s="50" t="s">
        <v>723</v>
      </c>
      <c r="C22" s="43">
        <f t="shared" ref="C22:R22" si="14">SUM(C53:C53)</f>
        <v>11.354008690494489</v>
      </c>
      <c r="D22" s="43">
        <f t="shared" si="14"/>
        <v>9.8373390490691222</v>
      </c>
      <c r="E22" s="43">
        <f t="shared" si="14"/>
        <v>8.1848848968197778</v>
      </c>
      <c r="F22" s="43">
        <f t="shared" si="14"/>
        <v>7.1705287088395764</v>
      </c>
      <c r="G22" s="43">
        <f t="shared" si="14"/>
        <v>4.6493467424869026</v>
      </c>
      <c r="H22" s="51">
        <f t="shared" si="14"/>
        <v>9.1680143409877477</v>
      </c>
      <c r="I22" s="43">
        <f t="shared" si="14"/>
        <v>7.6729356167154856</v>
      </c>
      <c r="J22" s="43">
        <f t="shared" si="14"/>
        <v>6.232677297616771</v>
      </c>
      <c r="K22" s="43">
        <f t="shared" si="14"/>
        <v>6.5513071567315757</v>
      </c>
      <c r="L22" s="50">
        <f t="shared" si="14"/>
        <v>3.4096717956817191</v>
      </c>
      <c r="M22" s="51">
        <f t="shared" si="14"/>
        <v>9.2551897272057886</v>
      </c>
      <c r="N22" s="43">
        <f t="shared" si="14"/>
        <v>8.2543017457834083</v>
      </c>
      <c r="O22" s="43">
        <f t="shared" si="14"/>
        <v>6.7858404398478536</v>
      </c>
      <c r="P22" s="43">
        <f t="shared" si="14"/>
        <v>5.826578037752804</v>
      </c>
      <c r="Q22" s="50">
        <f t="shared" si="14"/>
        <v>2.7121482924529916</v>
      </c>
      <c r="R22" s="43">
        <f t="shared" si="14"/>
        <v>5.2548374450280511</v>
      </c>
      <c r="T22" s="50" t="s">
        <v>723</v>
      </c>
      <c r="U22" s="43">
        <f t="shared" ref="U22:AJ22" si="15">SUM(U53:U53)</f>
        <v>29.795811193999555</v>
      </c>
      <c r="V22" s="43">
        <f t="shared" si="15"/>
        <v>36.775243551589227</v>
      </c>
      <c r="W22" s="43">
        <f t="shared" si="15"/>
        <v>47.709820144360364</v>
      </c>
      <c r="X22" s="43">
        <f t="shared" si="15"/>
        <v>57.267076927359305</v>
      </c>
      <c r="Y22" s="43">
        <f t="shared" si="15"/>
        <v>66.474063259920484</v>
      </c>
      <c r="Z22" s="51">
        <f t="shared" si="15"/>
        <v>1.5842793348732775</v>
      </c>
      <c r="AA22" s="43">
        <f t="shared" si="15"/>
        <v>1.7113813735747447</v>
      </c>
      <c r="AB22" s="43">
        <f t="shared" si="15"/>
        <v>1.7125680593253407</v>
      </c>
      <c r="AC22" s="43">
        <f t="shared" si="15"/>
        <v>3.5519799065878015</v>
      </c>
      <c r="AD22" s="50">
        <f t="shared" si="15"/>
        <v>7.4982402415406995</v>
      </c>
      <c r="AE22" s="51">
        <f t="shared" si="15"/>
        <v>1.1049833884618228</v>
      </c>
      <c r="AF22" s="43">
        <f t="shared" si="15"/>
        <v>3.0055028866580082</v>
      </c>
      <c r="AG22" s="43">
        <f t="shared" si="15"/>
        <v>6.9952651950917666</v>
      </c>
      <c r="AH22" s="43">
        <f t="shared" si="15"/>
        <v>14.516796154683929</v>
      </c>
      <c r="AI22" s="50">
        <f t="shared" si="15"/>
        <v>63.529914793214459</v>
      </c>
      <c r="AJ22" s="43">
        <f t="shared" si="15"/>
        <v>343.23292641124078</v>
      </c>
    </row>
    <row r="23" spans="1:36" x14ac:dyDescent="0.35">
      <c r="A23" s="86" t="str">
        <f t="shared" si="6"/>
        <v>given</v>
      </c>
      <c r="B23" s="50" t="s">
        <v>620</v>
      </c>
      <c r="C23" s="43">
        <f t="shared" ref="C23:R23" si="16">SUM(C54:C55)</f>
        <v>1.9732792189977049</v>
      </c>
      <c r="D23" s="43">
        <f t="shared" si="16"/>
        <v>1.8538833397199568</v>
      </c>
      <c r="E23" s="43">
        <f t="shared" si="16"/>
        <v>2.154829396280741</v>
      </c>
      <c r="F23" s="43">
        <f t="shared" si="16"/>
        <v>2.1070057997976774</v>
      </c>
      <c r="G23" s="43">
        <f t="shared" si="16"/>
        <v>2.2628934733274426</v>
      </c>
      <c r="H23" s="51">
        <f t="shared" si="16"/>
        <v>1.4406040817792045</v>
      </c>
      <c r="I23" s="43">
        <f t="shared" si="16"/>
        <v>1.7757437156071103</v>
      </c>
      <c r="J23" s="43">
        <f t="shared" si="16"/>
        <v>1.6520126291183022</v>
      </c>
      <c r="K23" s="43">
        <f t="shared" si="16"/>
        <v>1.7307196830725924</v>
      </c>
      <c r="L23" s="50">
        <f t="shared" si="16"/>
        <v>1.6409706927459518</v>
      </c>
      <c r="M23" s="51">
        <f t="shared" si="16"/>
        <v>0.96498579837336074</v>
      </c>
      <c r="N23" s="43">
        <f t="shared" si="16"/>
        <v>1.6465455184912601</v>
      </c>
      <c r="O23" s="43">
        <f t="shared" si="16"/>
        <v>1.5620877299873803</v>
      </c>
      <c r="P23" s="43">
        <f t="shared" si="16"/>
        <v>1.5471462044398512</v>
      </c>
      <c r="Q23" s="50">
        <f t="shared" si="16"/>
        <v>1.2236883553662978</v>
      </c>
      <c r="R23" s="43">
        <f t="shared" si="16"/>
        <v>1.7505288940228638</v>
      </c>
      <c r="T23" s="40" t="s">
        <v>620</v>
      </c>
      <c r="U23" s="43">
        <f t="shared" ref="U23:AJ23" si="17">SUM(U54:U55)</f>
        <v>5.1783873559584048</v>
      </c>
      <c r="V23" s="43">
        <f t="shared" si="17"/>
        <v>6.9304322026886362</v>
      </c>
      <c r="W23" s="43">
        <f t="shared" si="17"/>
        <v>12.56053374413122</v>
      </c>
      <c r="X23" s="43">
        <f t="shared" si="17"/>
        <v>16.827498797216702</v>
      </c>
      <c r="Y23" s="43">
        <f t="shared" si="17"/>
        <v>32.353733164665854</v>
      </c>
      <c r="Z23" s="51">
        <f t="shared" si="17"/>
        <v>0.24894368525289556</v>
      </c>
      <c r="AA23" s="43">
        <f t="shared" si="17"/>
        <v>0.39606414949084323</v>
      </c>
      <c r="AB23" s="43">
        <f t="shared" si="17"/>
        <v>0.45392757030945557</v>
      </c>
      <c r="AC23" s="43">
        <f t="shared" si="17"/>
        <v>0.93835953514913695</v>
      </c>
      <c r="AD23" s="50">
        <f t="shared" si="17"/>
        <v>3.6086735676788253</v>
      </c>
      <c r="AE23" s="51">
        <f t="shared" si="17"/>
        <v>0.11521030997017231</v>
      </c>
      <c r="AF23" s="43">
        <f t="shared" si="17"/>
        <v>0.59952948913786197</v>
      </c>
      <c r="AG23" s="43">
        <f t="shared" si="17"/>
        <v>1.6102969154850371</v>
      </c>
      <c r="AH23" s="43">
        <f t="shared" si="17"/>
        <v>3.8546821008525427</v>
      </c>
      <c r="AI23" s="50">
        <f t="shared" si="17"/>
        <v>28.663925629065535</v>
      </c>
      <c r="AJ23" s="43">
        <f t="shared" si="17"/>
        <v>114.34019821705313</v>
      </c>
    </row>
    <row r="24" spans="1:36" x14ac:dyDescent="0.35">
      <c r="A24" s="86" t="str">
        <f t="shared" si="6"/>
        <v>given</v>
      </c>
      <c r="B24" s="50" t="s">
        <v>621</v>
      </c>
      <c r="C24" s="43">
        <f t="shared" ref="C24:R24" si="18">SUM(C56:C59)</f>
        <v>8.0372656700189253</v>
      </c>
      <c r="D24" s="43">
        <f t="shared" si="18"/>
        <v>11.599026482224167</v>
      </c>
      <c r="E24" s="43">
        <f t="shared" si="18"/>
        <v>13.40559037333815</v>
      </c>
      <c r="F24" s="43">
        <f t="shared" si="18"/>
        <v>16.058804821407506</v>
      </c>
      <c r="G24" s="43">
        <f t="shared" si="18"/>
        <v>18.790411447864606</v>
      </c>
      <c r="H24" s="51">
        <f t="shared" si="18"/>
        <v>8.5863810063991224</v>
      </c>
      <c r="I24" s="43">
        <f t="shared" si="18"/>
        <v>12.241585868832097</v>
      </c>
      <c r="J24" s="43">
        <f t="shared" si="18"/>
        <v>14.8963852959854</v>
      </c>
      <c r="K24" s="43">
        <f t="shared" si="18"/>
        <v>13.913415173706383</v>
      </c>
      <c r="L24" s="50">
        <f t="shared" si="18"/>
        <v>12.703863035888395</v>
      </c>
      <c r="M24" s="51">
        <f t="shared" si="18"/>
        <v>9.4565242104489116</v>
      </c>
      <c r="N24" s="43">
        <f t="shared" si="18"/>
        <v>12.023230531123907</v>
      </c>
      <c r="O24" s="43">
        <f t="shared" si="18"/>
        <v>10.589147865778919</v>
      </c>
      <c r="P24" s="43">
        <f t="shared" si="18"/>
        <v>13.923346778476052</v>
      </c>
      <c r="Q24" s="50">
        <f t="shared" si="18"/>
        <v>10.260402662220503</v>
      </c>
      <c r="R24" s="43">
        <f t="shared" si="18"/>
        <v>13.392202729530926</v>
      </c>
      <c r="T24" s="40" t="s">
        <v>621</v>
      </c>
      <c r="U24" s="43">
        <f t="shared" ref="U24:AJ24" si="19">SUM(U56:U59)</f>
        <v>21.091832580715469</v>
      </c>
      <c r="V24" s="43">
        <f t="shared" si="19"/>
        <v>43.361016807232112</v>
      </c>
      <c r="W24" s="43">
        <f t="shared" si="19"/>
        <v>78.141392787263129</v>
      </c>
      <c r="X24" s="43">
        <f t="shared" si="19"/>
        <v>128.25285950466821</v>
      </c>
      <c r="Y24" s="43">
        <f t="shared" si="19"/>
        <v>268.65602168384726</v>
      </c>
      <c r="Z24" s="51">
        <f t="shared" si="19"/>
        <v>1.4837701473666054</v>
      </c>
      <c r="AA24" s="43">
        <f t="shared" si="19"/>
        <v>2.7303789690735121</v>
      </c>
      <c r="AB24" s="43">
        <f t="shared" si="19"/>
        <v>4.0931163991216248</v>
      </c>
      <c r="AC24" s="43">
        <f t="shared" si="19"/>
        <v>7.5435588572944337</v>
      </c>
      <c r="AD24" s="50">
        <f t="shared" si="19"/>
        <v>27.937180686821634</v>
      </c>
      <c r="AE24" s="51">
        <f t="shared" si="19"/>
        <v>1.1290208491801306</v>
      </c>
      <c r="AF24" s="43">
        <f t="shared" si="19"/>
        <v>4.3778208237549698</v>
      </c>
      <c r="AG24" s="43">
        <f t="shared" si="19"/>
        <v>10.915950377522339</v>
      </c>
      <c r="AH24" s="43">
        <f t="shared" si="19"/>
        <v>34.6897245114504</v>
      </c>
      <c r="AI24" s="50">
        <f t="shared" si="19"/>
        <v>240.34176475113864</v>
      </c>
      <c r="AJ24" s="43">
        <f t="shared" si="19"/>
        <v>874.74540973645048</v>
      </c>
    </row>
    <row r="25" spans="1:36" x14ac:dyDescent="0.35">
      <c r="A25" s="86" t="str">
        <f t="shared" si="6"/>
        <v>given</v>
      </c>
      <c r="B25" s="50" t="s">
        <v>622</v>
      </c>
      <c r="C25" s="43">
        <f>SUM(C60:C61)</f>
        <v>4.3847645440524753E-2</v>
      </c>
      <c r="D25" s="43">
        <f t="shared" ref="D25:Q25" si="20">SUM(D60:D61)</f>
        <v>0.21708899551151695</v>
      </c>
      <c r="E25" s="43">
        <f t="shared" si="20"/>
        <v>0.28331334771656591</v>
      </c>
      <c r="F25" s="43">
        <f t="shared" si="20"/>
        <v>0.62149633522657743</v>
      </c>
      <c r="G25" s="43">
        <f t="shared" si="20"/>
        <v>0.93523285380694654</v>
      </c>
      <c r="H25" s="51">
        <f t="shared" si="20"/>
        <v>0.16777877052779791</v>
      </c>
      <c r="I25" s="43">
        <f t="shared" si="20"/>
        <v>8.1452677019522676E-2</v>
      </c>
      <c r="J25" s="43">
        <f t="shared" si="20"/>
        <v>0.35656961102453061</v>
      </c>
      <c r="K25" s="43">
        <f t="shared" si="20"/>
        <v>0.81559863024655144</v>
      </c>
      <c r="L25" s="50">
        <f t="shared" si="20"/>
        <v>1.0873414188365045</v>
      </c>
      <c r="M25" s="51">
        <f t="shared" si="20"/>
        <v>1.0016036383969771</v>
      </c>
      <c r="N25" s="43">
        <f t="shared" si="20"/>
        <v>0.42278217360092957</v>
      </c>
      <c r="O25" s="43">
        <f t="shared" si="20"/>
        <v>0.67345377632018733</v>
      </c>
      <c r="P25" s="43">
        <f t="shared" si="20"/>
        <v>0.76581081306529397</v>
      </c>
      <c r="Q25" s="50">
        <f t="shared" si="20"/>
        <v>0.91306453038204594</v>
      </c>
      <c r="R25" s="43">
        <f t="shared" ref="R25" si="21">SUM(R60:R61)</f>
        <v>0.7372477927387916</v>
      </c>
      <c r="T25" s="40" t="s">
        <v>622</v>
      </c>
      <c r="U25" s="43">
        <f>SUM(U60:U61)</f>
        <v>0.11506739165534419</v>
      </c>
      <c r="V25" s="43">
        <f t="shared" ref="V25:AJ25" si="22">SUM(V60:V61)</f>
        <v>0.81155083122415639</v>
      </c>
      <c r="W25" s="43">
        <f t="shared" si="22"/>
        <v>1.6514378680274331</v>
      </c>
      <c r="X25" s="43">
        <f t="shared" si="22"/>
        <v>4.9635500929822109</v>
      </c>
      <c r="Y25" s="43">
        <f t="shared" si="22"/>
        <v>13.371497401689881</v>
      </c>
      <c r="Z25" s="51">
        <f t="shared" si="22"/>
        <v>2.8993021726556125E-2</v>
      </c>
      <c r="AA25" s="43">
        <f t="shared" si="22"/>
        <v>1.8167309259748694E-2</v>
      </c>
      <c r="AB25" s="43">
        <f t="shared" si="22"/>
        <v>9.7975508374253562E-2</v>
      </c>
      <c r="AC25" s="43">
        <f t="shared" si="22"/>
        <v>0.44220029334139516</v>
      </c>
      <c r="AD25" s="50">
        <f t="shared" si="22"/>
        <v>2.391182398651869</v>
      </c>
      <c r="AE25" s="51">
        <f t="shared" si="22"/>
        <v>0.11958213876461718</v>
      </c>
      <c r="AF25" s="43">
        <f t="shared" si="22"/>
        <v>0.15394070659389766</v>
      </c>
      <c r="AG25" s="43">
        <f t="shared" si="22"/>
        <v>0.69423792141233243</v>
      </c>
      <c r="AH25" s="43">
        <f t="shared" si="22"/>
        <v>1.9080014708958206</v>
      </c>
      <c r="AI25" s="50">
        <f t="shared" si="22"/>
        <v>21.387809795390513</v>
      </c>
      <c r="AJ25" s="43">
        <f t="shared" si="22"/>
        <v>48.155194149990031</v>
      </c>
    </row>
    <row r="26" spans="1:36" x14ac:dyDescent="0.35">
      <c r="A26" s="86" t="str">
        <f t="shared" si="6"/>
        <v>given</v>
      </c>
      <c r="B26" s="50" t="s">
        <v>623</v>
      </c>
      <c r="C26" s="43">
        <f>SUM(C62:C63)</f>
        <v>2.0175182269341669</v>
      </c>
      <c r="D26" s="43">
        <f t="shared" ref="D26:Q26" si="23">SUM(D62:D63)</f>
        <v>2.6745588767519708</v>
      </c>
      <c r="E26" s="43">
        <f t="shared" si="23"/>
        <v>3.1645925868723479</v>
      </c>
      <c r="F26" s="43">
        <f t="shared" si="23"/>
        <v>3.9300724299244383</v>
      </c>
      <c r="G26" s="43">
        <f t="shared" si="23"/>
        <v>4.1479601306296106</v>
      </c>
      <c r="H26" s="51">
        <f t="shared" si="23"/>
        <v>2.3829687068746233</v>
      </c>
      <c r="I26" s="43">
        <f t="shared" si="23"/>
        <v>2.8820099859090895</v>
      </c>
      <c r="J26" s="43">
        <f t="shared" si="23"/>
        <v>3.1303228289899478</v>
      </c>
      <c r="K26" s="43">
        <f t="shared" si="23"/>
        <v>3.2189564915487932</v>
      </c>
      <c r="L26" s="50">
        <f t="shared" si="23"/>
        <v>11.153381687187377</v>
      </c>
      <c r="M26" s="51">
        <f t="shared" si="23"/>
        <v>2.2213323236622577</v>
      </c>
      <c r="N26" s="43">
        <f t="shared" si="23"/>
        <v>2.9104111520210583</v>
      </c>
      <c r="O26" s="43">
        <f t="shared" si="23"/>
        <v>3.1788872664105594</v>
      </c>
      <c r="P26" s="43">
        <f t="shared" si="23"/>
        <v>3.3726805843014658</v>
      </c>
      <c r="Q26" s="50">
        <f t="shared" si="23"/>
        <v>7.5586414299029512</v>
      </c>
      <c r="R26" s="43">
        <f t="shared" ref="R26" si="24">SUM(R62:R63)</f>
        <v>5.2463671037040474</v>
      </c>
      <c r="T26" s="40" t="s">
        <v>623</v>
      </c>
      <c r="U26" s="43">
        <f>SUM(U62:U63)</f>
        <v>5.2944817825011832</v>
      </c>
      <c r="V26" s="43">
        <f t="shared" ref="V26:AJ26" si="25">SUM(V62:V63)</f>
        <v>9.9983901739084544</v>
      </c>
      <c r="W26" s="43">
        <f t="shared" si="25"/>
        <v>18.446458936584396</v>
      </c>
      <c r="X26" s="43">
        <f t="shared" si="25"/>
        <v>31.387331299172679</v>
      </c>
      <c r="Y26" s="43">
        <f t="shared" si="25"/>
        <v>59.305485134802794</v>
      </c>
      <c r="Z26" s="51">
        <f t="shared" si="25"/>
        <v>0.41178906767988527</v>
      </c>
      <c r="AA26" s="43">
        <f t="shared" si="25"/>
        <v>0.64280719332459857</v>
      </c>
      <c r="AB26" s="43">
        <f t="shared" si="25"/>
        <v>0.86012649722054491</v>
      </c>
      <c r="AC26" s="43">
        <f t="shared" si="25"/>
        <v>1.7452499943333286</v>
      </c>
      <c r="AD26" s="50">
        <f t="shared" si="25"/>
        <v>24.527503058226348</v>
      </c>
      <c r="AE26" s="51">
        <f t="shared" si="25"/>
        <v>0.26520637504436534</v>
      </c>
      <c r="AF26" s="43">
        <f t="shared" si="25"/>
        <v>1.0597200572694543</v>
      </c>
      <c r="AG26" s="43">
        <f t="shared" si="25"/>
        <v>3.2769941543660548</v>
      </c>
      <c r="AH26" s="43">
        <f t="shared" si="25"/>
        <v>8.4029624626889525</v>
      </c>
      <c r="AI26" s="50">
        <f t="shared" si="25"/>
        <v>177.05515857316206</v>
      </c>
      <c r="AJ26" s="43">
        <f t="shared" si="25"/>
        <v>342.67966476028505</v>
      </c>
    </row>
    <row r="27" spans="1:36" x14ac:dyDescent="0.35">
      <c r="A27" s="87" t="str">
        <f t="shared" si="6"/>
        <v>given</v>
      </c>
      <c r="B27" s="53" t="s">
        <v>624</v>
      </c>
      <c r="C27" s="52">
        <f t="shared" ref="C27:R27" si="26">SUM(C64:C64)</f>
        <v>3.8361330078250853</v>
      </c>
      <c r="D27" s="52">
        <f t="shared" si="26"/>
        <v>5.0076941460135149</v>
      </c>
      <c r="E27" s="52">
        <f t="shared" si="26"/>
        <v>5.7914939641940819</v>
      </c>
      <c r="F27" s="52">
        <f t="shared" si="26"/>
        <v>7.0764406351981899</v>
      </c>
      <c r="G27" s="52">
        <f t="shared" si="26"/>
        <v>7.2534208562262181</v>
      </c>
      <c r="H27" s="54">
        <f t="shared" si="26"/>
        <v>4.7669588685001614</v>
      </c>
      <c r="I27" s="52">
        <f t="shared" si="26"/>
        <v>4.1139951679535258</v>
      </c>
      <c r="J27" s="52">
        <f t="shared" si="26"/>
        <v>5.9117649377918244</v>
      </c>
      <c r="K27" s="52">
        <f t="shared" si="26"/>
        <v>6.9848224849410103</v>
      </c>
      <c r="L27" s="53">
        <f t="shared" si="26"/>
        <v>6.887534205503516</v>
      </c>
      <c r="M27" s="54">
        <f t="shared" si="26"/>
        <v>4.5780598721498578</v>
      </c>
      <c r="N27" s="52">
        <f t="shared" si="26"/>
        <v>6.7911495474831369</v>
      </c>
      <c r="O27" s="52">
        <f t="shared" si="26"/>
        <v>6.9703656842855972</v>
      </c>
      <c r="P27" s="52">
        <f t="shared" si="26"/>
        <v>7.8916292893342055</v>
      </c>
      <c r="Q27" s="53">
        <f t="shared" si="26"/>
        <v>6.7295780997079362</v>
      </c>
      <c r="R27" s="52">
        <f t="shared" si="26"/>
        <v>6.6225489901541854</v>
      </c>
      <c r="T27" s="39" t="s">
        <v>624</v>
      </c>
      <c r="U27" s="52">
        <f t="shared" ref="U27:AJ27" si="27">SUM(U64:U64)</f>
        <v>10.066990252695309</v>
      </c>
      <c r="V27" s="52">
        <f t="shared" si="27"/>
        <v>18.720425404971792</v>
      </c>
      <c r="W27" s="52">
        <f t="shared" si="27"/>
        <v>33.758707530048284</v>
      </c>
      <c r="X27" s="52">
        <f t="shared" si="27"/>
        <v>56.515647127695303</v>
      </c>
      <c r="Y27" s="52">
        <f t="shared" si="27"/>
        <v>103.70582870093745</v>
      </c>
      <c r="Z27" s="54">
        <f t="shared" si="27"/>
        <v>0.82375464791670971</v>
      </c>
      <c r="AA27" s="52">
        <f t="shared" si="27"/>
        <v>0.91759074402686158</v>
      </c>
      <c r="AB27" s="52">
        <f t="shared" si="27"/>
        <v>1.6243901814992143</v>
      </c>
      <c r="AC27" s="52">
        <f t="shared" si="27"/>
        <v>3.7870227305859889</v>
      </c>
      <c r="AD27" s="53">
        <f t="shared" si="27"/>
        <v>15.146439082524335</v>
      </c>
      <c r="AE27" s="54">
        <f t="shared" si="27"/>
        <v>0.54657767795285406</v>
      </c>
      <c r="AF27" s="52">
        <f t="shared" si="27"/>
        <v>2.472749385387246</v>
      </c>
      <c r="AG27" s="52">
        <f t="shared" si="27"/>
        <v>7.1854852616366989</v>
      </c>
      <c r="AH27" s="52">
        <f t="shared" si="27"/>
        <v>19.661827745086178</v>
      </c>
      <c r="AI27" s="53">
        <f t="shared" si="27"/>
        <v>157.63501002448871</v>
      </c>
      <c r="AJ27" s="52">
        <f t="shared" si="27"/>
        <v>432.5684464974529</v>
      </c>
    </row>
    <row r="28" spans="1:36" x14ac:dyDescent="0.35">
      <c r="A28" s="89" t="str">
        <f t="shared" si="6"/>
        <v>given</v>
      </c>
      <c r="B28" s="73" t="s">
        <v>626</v>
      </c>
      <c r="C28" s="58">
        <f t="shared" ref="C28:R28" si="28">SUM(C65:C65)</f>
        <v>1.8503207275366613</v>
      </c>
      <c r="D28" s="58">
        <f t="shared" si="28"/>
        <v>1.920017708154387</v>
      </c>
      <c r="E28" s="58">
        <f t="shared" si="28"/>
        <v>2.1531963245409047</v>
      </c>
      <c r="F28" s="58">
        <f t="shared" si="28"/>
        <v>2.2573789270531477</v>
      </c>
      <c r="G28" s="58">
        <f t="shared" si="28"/>
        <v>2.3057149747576107</v>
      </c>
      <c r="H28" s="72">
        <f t="shared" si="28"/>
        <v>1.7677367693318882</v>
      </c>
      <c r="I28" s="58">
        <f t="shared" si="28"/>
        <v>1.8204844075528164</v>
      </c>
      <c r="J28" s="58">
        <f t="shared" si="28"/>
        <v>1.7634530889534381</v>
      </c>
      <c r="K28" s="58">
        <f t="shared" si="28"/>
        <v>2.3486486044249197</v>
      </c>
      <c r="L28" s="73">
        <f t="shared" si="28"/>
        <v>2.5516734260962832</v>
      </c>
      <c r="M28" s="72">
        <f t="shared" si="28"/>
        <v>1.1311953818896616</v>
      </c>
      <c r="N28" s="58">
        <f t="shared" si="28"/>
        <v>2.2499355178989973</v>
      </c>
      <c r="O28" s="58">
        <f t="shared" si="28"/>
        <v>1.8643615597131582</v>
      </c>
      <c r="P28" s="58">
        <f t="shared" si="28"/>
        <v>2.3969472572295478</v>
      </c>
      <c r="Q28" s="73">
        <f t="shared" si="28"/>
        <v>2.125287878539639</v>
      </c>
      <c r="R28" s="58">
        <f t="shared" si="28"/>
        <v>2.1784505744831737</v>
      </c>
      <c r="T28" s="71" t="s">
        <v>626</v>
      </c>
      <c r="U28" s="58">
        <f t="shared" ref="U28:AJ28" si="29">SUM(U65:U65)</f>
        <v>4.8557129511607897</v>
      </c>
      <c r="V28" s="58">
        <f t="shared" si="29"/>
        <v>7.1776644566726899</v>
      </c>
      <c r="W28" s="58">
        <f t="shared" si="29"/>
        <v>12.55101454380371</v>
      </c>
      <c r="X28" s="58">
        <f t="shared" si="29"/>
        <v>18.028446425490017</v>
      </c>
      <c r="Y28" s="58">
        <f t="shared" si="29"/>
        <v>32.965973841176712</v>
      </c>
      <c r="Z28" s="72">
        <f t="shared" si="29"/>
        <v>0.30547387132974629</v>
      </c>
      <c r="AA28" s="58">
        <f t="shared" si="29"/>
        <v>0.40604317064539625</v>
      </c>
      <c r="AB28" s="58">
        <f t="shared" si="29"/>
        <v>0.48454833934929636</v>
      </c>
      <c r="AC28" s="58">
        <f t="shared" si="29"/>
        <v>1.2733875012990181</v>
      </c>
      <c r="AD28" s="73">
        <f t="shared" si="29"/>
        <v>5.6114082273422374</v>
      </c>
      <c r="AE28" s="72">
        <f t="shared" si="29"/>
        <v>0.13505418505020469</v>
      </c>
      <c r="AF28" s="58">
        <f t="shared" si="29"/>
        <v>0.81923194742598116</v>
      </c>
      <c r="AG28" s="58">
        <f t="shared" si="29"/>
        <v>1.9218995267181476</v>
      </c>
      <c r="AH28" s="58">
        <f t="shared" si="29"/>
        <v>5.9719434805940086</v>
      </c>
      <c r="AI28" s="73">
        <f t="shared" si="29"/>
        <v>49.783176757107576</v>
      </c>
      <c r="AJ28" s="58">
        <f t="shared" si="29"/>
        <v>142.29097922516553</v>
      </c>
    </row>
    <row r="29" spans="1:36" x14ac:dyDescent="0.35">
      <c r="A29" s="87" t="str">
        <f t="shared" ref="A29:A31" si="30">S112</f>
        <v>given</v>
      </c>
      <c r="B29" s="53" t="s">
        <v>629</v>
      </c>
      <c r="C29" s="52">
        <f t="shared" ref="C29:R29" si="31">SUM(C66:C67)</f>
        <v>0.35008960605469552</v>
      </c>
      <c r="D29" s="52">
        <f t="shared" si="31"/>
        <v>0.49399900388459028</v>
      </c>
      <c r="E29" s="52">
        <f t="shared" si="31"/>
        <v>0.50787983832664896</v>
      </c>
      <c r="F29" s="52">
        <f t="shared" si="31"/>
        <v>0.63626062181152176</v>
      </c>
      <c r="G29" s="52">
        <f t="shared" si="31"/>
        <v>1.4296235888229787</v>
      </c>
      <c r="H29" s="54">
        <f t="shared" si="31"/>
        <v>0.6222615225885233</v>
      </c>
      <c r="I29" s="52">
        <f t="shared" si="31"/>
        <v>1.1888797172730894</v>
      </c>
      <c r="J29" s="52">
        <f t="shared" si="31"/>
        <v>1.1889695347672773</v>
      </c>
      <c r="K29" s="52">
        <f t="shared" si="31"/>
        <v>1.9332576299982385</v>
      </c>
      <c r="L29" s="53">
        <f t="shared" si="31"/>
        <v>3.1911115256434144</v>
      </c>
      <c r="M29" s="54">
        <f t="shared" si="31"/>
        <v>2.1304302858830648</v>
      </c>
      <c r="N29" s="52">
        <f t="shared" si="31"/>
        <v>4.7045066886884124</v>
      </c>
      <c r="O29" s="52">
        <f t="shared" si="31"/>
        <v>4.1861756473483629</v>
      </c>
      <c r="P29" s="52">
        <f t="shared" si="31"/>
        <v>5.2065663379984759</v>
      </c>
      <c r="Q29" s="53">
        <f t="shared" si="31"/>
        <v>5.2062290187612188</v>
      </c>
      <c r="R29" s="52">
        <f t="shared" si="31"/>
        <v>2.7744334430321098</v>
      </c>
      <c r="T29" s="39" t="s">
        <v>629</v>
      </c>
      <c r="U29" s="52">
        <f t="shared" ref="U29:AJ29" si="32">SUM(U66:U67)</f>
        <v>0.91872431027116741</v>
      </c>
      <c r="V29" s="52">
        <f t="shared" si="32"/>
        <v>1.8467324945781316</v>
      </c>
      <c r="W29" s="52">
        <f t="shared" si="32"/>
        <v>2.9604394010386264</v>
      </c>
      <c r="X29" s="52">
        <f t="shared" si="32"/>
        <v>5.0814643458873388</v>
      </c>
      <c r="Y29" s="52">
        <f t="shared" si="32"/>
        <v>20.440051935223234</v>
      </c>
      <c r="Z29" s="54">
        <f t="shared" si="32"/>
        <v>0.10752994426681561</v>
      </c>
      <c r="AA29" s="52">
        <f t="shared" si="32"/>
        <v>0.26516925270812142</v>
      </c>
      <c r="AB29" s="52">
        <f t="shared" si="32"/>
        <v>0.32669608123814475</v>
      </c>
      <c r="AC29" s="52">
        <f t="shared" si="32"/>
        <v>1.0481713178347092</v>
      </c>
      <c r="AD29" s="53">
        <f t="shared" si="32"/>
        <v>7.0176023648750485</v>
      </c>
      <c r="AE29" s="54">
        <f t="shared" si="32"/>
        <v>0.25435351900532854</v>
      </c>
      <c r="AF29" s="52">
        <f t="shared" si="32"/>
        <v>1.7129745033100885</v>
      </c>
      <c r="AG29" s="52">
        <f t="shared" si="32"/>
        <v>4.315369491224482</v>
      </c>
      <c r="AH29" s="52">
        <f t="shared" si="32"/>
        <v>12.972050096099597</v>
      </c>
      <c r="AI29" s="53">
        <f t="shared" si="32"/>
        <v>121.95177043830228</v>
      </c>
      <c r="AJ29" s="52">
        <f t="shared" si="32"/>
        <v>181.21909949586313</v>
      </c>
    </row>
    <row r="30" spans="1:36" x14ac:dyDescent="0.35">
      <c r="A30" s="86" t="str">
        <f t="shared" si="30"/>
        <v>given</v>
      </c>
      <c r="B30" s="50" t="s">
        <v>633</v>
      </c>
      <c r="C30" s="43">
        <f t="shared" ref="C30:R30" si="33">C68</f>
        <v>10.393126788415774</v>
      </c>
      <c r="D30" s="43">
        <f t="shared" si="33"/>
        <v>8.8812269650439575</v>
      </c>
      <c r="E30" s="43">
        <f t="shared" si="33"/>
        <v>7.9823630961229846</v>
      </c>
      <c r="F30" s="43">
        <f t="shared" si="33"/>
        <v>6.972733892620413</v>
      </c>
      <c r="G30" s="43">
        <f t="shared" si="33"/>
        <v>6.3014514610338344</v>
      </c>
      <c r="H30" s="51">
        <f t="shared" si="33"/>
        <v>11.011432614728694</v>
      </c>
      <c r="I30" s="43">
        <f t="shared" si="33"/>
        <v>9.4200876350963476</v>
      </c>
      <c r="J30" s="43">
        <f t="shared" si="33"/>
        <v>9.1892563684147017</v>
      </c>
      <c r="K30" s="43">
        <f t="shared" si="33"/>
        <v>9.030723109105196</v>
      </c>
      <c r="L30" s="50">
        <f t="shared" si="33"/>
        <v>16.685391712324872</v>
      </c>
      <c r="M30" s="51">
        <f t="shared" si="33"/>
        <v>14.754525256624786</v>
      </c>
      <c r="N30" s="43">
        <f t="shared" si="33"/>
        <v>11.75796536717138</v>
      </c>
      <c r="O30" s="43">
        <f t="shared" si="33"/>
        <v>11.946431277734789</v>
      </c>
      <c r="P30" s="43">
        <f t="shared" si="33"/>
        <v>11.333550154973866</v>
      </c>
      <c r="Q30" s="50">
        <f t="shared" si="33"/>
        <v>9.9281925998693854</v>
      </c>
      <c r="R30" s="43">
        <f t="shared" si="33"/>
        <v>8.8806238093504319</v>
      </c>
      <c r="T30" s="40" t="s">
        <v>633</v>
      </c>
      <c r="U30" s="43">
        <f t="shared" ref="U30:AJ30" si="34">U68</f>
        <v>27.274212301967907</v>
      </c>
      <c r="V30" s="43">
        <f t="shared" si="34"/>
        <v>33.200978745094616</v>
      </c>
      <c r="W30" s="43">
        <f t="shared" si="34"/>
        <v>46.529317448432387</v>
      </c>
      <c r="X30" s="43">
        <f t="shared" si="34"/>
        <v>55.687398298879373</v>
      </c>
      <c r="Y30" s="43">
        <f t="shared" si="34"/>
        <v>90.095040497242834</v>
      </c>
      <c r="Z30" s="51">
        <f t="shared" si="34"/>
        <v>1.9028313536630848</v>
      </c>
      <c r="AA30" s="43">
        <f t="shared" si="34"/>
        <v>2.1010683943476964</v>
      </c>
      <c r="AB30" s="43">
        <f t="shared" si="34"/>
        <v>2.5249545570916272</v>
      </c>
      <c r="AC30" s="43">
        <f t="shared" si="34"/>
        <v>4.896266692753092</v>
      </c>
      <c r="AD30" s="50">
        <f t="shared" si="34"/>
        <v>36.692996593301068</v>
      </c>
      <c r="AE30" s="51">
        <f t="shared" si="34"/>
        <v>1.7615527929466825</v>
      </c>
      <c r="AF30" s="43">
        <f t="shared" si="34"/>
        <v>4.2812341904402373</v>
      </c>
      <c r="AG30" s="43">
        <f t="shared" si="34"/>
        <v>12.315122299658364</v>
      </c>
      <c r="AH30" s="43">
        <f t="shared" si="34"/>
        <v>28.237300906742306</v>
      </c>
      <c r="AI30" s="50">
        <f t="shared" si="34"/>
        <v>232.56000849048584</v>
      </c>
      <c r="AJ30" s="43">
        <f t="shared" si="34"/>
        <v>580.06028356304716</v>
      </c>
    </row>
    <row r="31" spans="1:36" x14ac:dyDescent="0.35">
      <c r="A31" s="86" t="str">
        <f t="shared" si="30"/>
        <v>given</v>
      </c>
      <c r="B31" s="50" t="s">
        <v>634</v>
      </c>
      <c r="C31" s="43">
        <f t="shared" ref="C31:R31" si="35">SUM(C69:C71)</f>
        <v>12.103158184540689</v>
      </c>
      <c r="D31" s="43">
        <f t="shared" si="35"/>
        <v>12.540297372869009</v>
      </c>
      <c r="E31" s="43">
        <f t="shared" si="35"/>
        <v>13.451315771593977</v>
      </c>
      <c r="F31" s="43">
        <f t="shared" si="35"/>
        <v>12.783047689576486</v>
      </c>
      <c r="G31" s="43">
        <f t="shared" si="35"/>
        <v>13.634957448705268</v>
      </c>
      <c r="H31" s="51">
        <f t="shared" si="35"/>
        <v>20.367462525127667</v>
      </c>
      <c r="I31" s="43">
        <f t="shared" si="35"/>
        <v>22.46379975901618</v>
      </c>
      <c r="J31" s="43">
        <f t="shared" si="35"/>
        <v>14.51494707977843</v>
      </c>
      <c r="K31" s="43">
        <f t="shared" si="35"/>
        <v>13.370306209086534</v>
      </c>
      <c r="L31" s="50">
        <f t="shared" si="35"/>
        <v>8.0245135462179302</v>
      </c>
      <c r="M31" s="51">
        <f t="shared" si="35"/>
        <v>10.810194815983518</v>
      </c>
      <c r="N31" s="43">
        <f t="shared" si="35"/>
        <v>6.680246903129591</v>
      </c>
      <c r="O31" s="43">
        <f t="shared" si="35"/>
        <v>11.59699985961435</v>
      </c>
      <c r="P31" s="43">
        <f t="shared" si="35"/>
        <v>9.3117828772216065</v>
      </c>
      <c r="Q31" s="50">
        <f t="shared" si="35"/>
        <v>14.611899865808429</v>
      </c>
      <c r="R31" s="43">
        <f t="shared" si="35"/>
        <v>13.360135450611907</v>
      </c>
      <c r="T31" s="40" t="s">
        <v>634</v>
      </c>
      <c r="U31" s="43">
        <f t="shared" ref="U31:AJ31" si="36">SUM(U69:U71)</f>
        <v>31.761770309335471</v>
      </c>
      <c r="V31" s="43">
        <f t="shared" si="36"/>
        <v>46.879800299274201</v>
      </c>
      <c r="W31" s="43">
        <f t="shared" si="36"/>
        <v>78.407926838055033</v>
      </c>
      <c r="X31" s="43">
        <f t="shared" si="36"/>
        <v>102.09118534071781</v>
      </c>
      <c r="Y31" s="43">
        <f t="shared" si="36"/>
        <v>194.94588685092276</v>
      </c>
      <c r="Z31" s="51">
        <f t="shared" si="36"/>
        <v>3.5196007316551805</v>
      </c>
      <c r="AA31" s="43">
        <f t="shared" si="36"/>
        <v>5.0103546292689618</v>
      </c>
      <c r="AB31" s="43">
        <f t="shared" si="36"/>
        <v>3.9883076829809907</v>
      </c>
      <c r="AC31" s="43">
        <f t="shared" si="36"/>
        <v>7.2490966861176158</v>
      </c>
      <c r="AD31" s="50">
        <f t="shared" si="36"/>
        <v>17.646780686411962</v>
      </c>
      <c r="AE31" s="51">
        <f t="shared" si="36"/>
        <v>1.2906365023058486</v>
      </c>
      <c r="AF31" s="43">
        <f t="shared" si="36"/>
        <v>2.4323682328672449</v>
      </c>
      <c r="AG31" s="43">
        <f t="shared" si="36"/>
        <v>11.954906721511898</v>
      </c>
      <c r="AH31" s="43">
        <f t="shared" si="36"/>
        <v>23.200110423207768</v>
      </c>
      <c r="AI31" s="50">
        <f t="shared" si="36"/>
        <v>342.27212281309318</v>
      </c>
      <c r="AJ31" s="43">
        <f t="shared" si="36"/>
        <v>872.65085474772604</v>
      </c>
    </row>
    <row r="32" spans="1:36" x14ac:dyDescent="0.35">
      <c r="A32" s="88" t="str">
        <f t="shared" ref="A32:A38" si="37">S116</f>
        <v>residual</v>
      </c>
      <c r="B32" s="56" t="s">
        <v>625</v>
      </c>
      <c r="C32" s="55">
        <f t="shared" ref="C32:R32" si="38">SUM(C72:C75)</f>
        <v>3.1126926074749193</v>
      </c>
      <c r="D32" s="55">
        <f t="shared" si="38"/>
        <v>2.1630818833598116</v>
      </c>
      <c r="E32" s="55">
        <f t="shared" si="38"/>
        <v>2.1038137086206659</v>
      </c>
      <c r="F32" s="55">
        <f t="shared" si="38"/>
        <v>2.5903921594578598</v>
      </c>
      <c r="G32" s="55">
        <f t="shared" si="38"/>
        <v>2.081630095398542</v>
      </c>
      <c r="H32" s="57">
        <f t="shared" si="38"/>
        <v>2.0708763388273796</v>
      </c>
      <c r="I32" s="55">
        <f t="shared" si="38"/>
        <v>1.2556522706713953</v>
      </c>
      <c r="J32" s="55">
        <f t="shared" si="38"/>
        <v>2.2830951412763465</v>
      </c>
      <c r="K32" s="55">
        <f t="shared" si="38"/>
        <v>3.9147879399277956</v>
      </c>
      <c r="L32" s="56">
        <f t="shared" si="38"/>
        <v>2.4899551902963699</v>
      </c>
      <c r="M32" s="57">
        <f t="shared" si="38"/>
        <v>5.3955999954862754</v>
      </c>
      <c r="N32" s="55">
        <f t="shared" si="38"/>
        <v>2.3748866741081613</v>
      </c>
      <c r="O32" s="55">
        <f t="shared" si="38"/>
        <v>1.1942793036179684</v>
      </c>
      <c r="P32" s="55">
        <f t="shared" si="38"/>
        <v>1.2278216035826388</v>
      </c>
      <c r="Q32" s="56">
        <f t="shared" si="38"/>
        <v>1.1187260461577742</v>
      </c>
      <c r="R32" s="55">
        <f t="shared" si="38"/>
        <v>1.8346686471596356</v>
      </c>
      <c r="T32" s="49" t="s">
        <v>625</v>
      </c>
      <c r="U32" s="55">
        <f t="shared" ref="U32:AJ32" si="39">SUM(U72:U75)</f>
        <v>8.1684983485107416</v>
      </c>
      <c r="V32" s="55">
        <f t="shared" si="39"/>
        <v>8.0863191444148477</v>
      </c>
      <c r="W32" s="55">
        <f t="shared" si="39"/>
        <v>12.263162514909808</v>
      </c>
      <c r="X32" s="55">
        <f t="shared" si="39"/>
        <v>20.68804032327883</v>
      </c>
      <c r="Y32" s="55">
        <f t="shared" si="39"/>
        <v>29.762118918939034</v>
      </c>
      <c r="Z32" s="57">
        <f t="shared" si="39"/>
        <v>0.35785792502684666</v>
      </c>
      <c r="AA32" s="55">
        <f t="shared" si="39"/>
        <v>0.28006228841963465</v>
      </c>
      <c r="AB32" s="55">
        <f t="shared" si="39"/>
        <v>0.62733166320769129</v>
      </c>
      <c r="AC32" s="55">
        <f t="shared" si="39"/>
        <v>2.1225150597446669</v>
      </c>
      <c r="AD32" s="56">
        <f t="shared" si="39"/>
        <v>5.4756830939443812</v>
      </c>
      <c r="AE32" s="57">
        <f t="shared" si="39"/>
        <v>0.64418434862242491</v>
      </c>
      <c r="AF32" s="55">
        <f t="shared" si="39"/>
        <v>0.86472835308739748</v>
      </c>
      <c r="AG32" s="55">
        <f t="shared" si="39"/>
        <v>1.2311371774613256</v>
      </c>
      <c r="AH32" s="55">
        <f t="shared" si="39"/>
        <v>3.0590916002561057</v>
      </c>
      <c r="AI32" s="56">
        <f t="shared" si="39"/>
        <v>26.205267089238621</v>
      </c>
      <c r="AJ32" s="55">
        <f t="shared" si="39"/>
        <v>119.83599784906237</v>
      </c>
    </row>
    <row r="33" spans="1:75" x14ac:dyDescent="0.35">
      <c r="A33" s="86" t="str">
        <f t="shared" si="37"/>
        <v>residual</v>
      </c>
      <c r="B33" s="50" t="s">
        <v>627</v>
      </c>
      <c r="C33" s="43">
        <f t="shared" ref="C33:R33" si="40">SUM(C76:C77)</f>
        <v>0</v>
      </c>
      <c r="D33" s="43">
        <f t="shared" si="40"/>
        <v>0</v>
      </c>
      <c r="E33" s="43">
        <f t="shared" si="40"/>
        <v>0</v>
      </c>
      <c r="F33" s="43">
        <f t="shared" si="40"/>
        <v>0</v>
      </c>
      <c r="G33" s="43">
        <f t="shared" si="40"/>
        <v>0</v>
      </c>
      <c r="H33" s="51">
        <f t="shared" si="40"/>
        <v>0</v>
      </c>
      <c r="I33" s="43">
        <f t="shared" si="40"/>
        <v>0</v>
      </c>
      <c r="J33" s="43">
        <f t="shared" si="40"/>
        <v>0</v>
      </c>
      <c r="K33" s="43">
        <f t="shared" si="40"/>
        <v>0</v>
      </c>
      <c r="L33" s="50">
        <f t="shared" si="40"/>
        <v>0</v>
      </c>
      <c r="M33" s="51">
        <f t="shared" si="40"/>
        <v>0</v>
      </c>
      <c r="N33" s="43">
        <f t="shared" si="40"/>
        <v>0</v>
      </c>
      <c r="O33" s="43">
        <f t="shared" si="40"/>
        <v>0</v>
      </c>
      <c r="P33" s="43">
        <f t="shared" si="40"/>
        <v>0</v>
      </c>
      <c r="Q33" s="50">
        <f t="shared" si="40"/>
        <v>0</v>
      </c>
      <c r="R33" s="43">
        <f t="shared" si="40"/>
        <v>0</v>
      </c>
      <c r="T33" s="40" t="s">
        <v>627</v>
      </c>
      <c r="U33" s="43">
        <f t="shared" ref="U33:AJ33" si="41">SUM(U76:U77)</f>
        <v>0</v>
      </c>
      <c r="V33" s="43">
        <f t="shared" si="41"/>
        <v>0</v>
      </c>
      <c r="W33" s="43">
        <f t="shared" si="41"/>
        <v>0</v>
      </c>
      <c r="X33" s="43">
        <f t="shared" si="41"/>
        <v>0</v>
      </c>
      <c r="Y33" s="43">
        <f t="shared" si="41"/>
        <v>0</v>
      </c>
      <c r="Z33" s="51">
        <f t="shared" si="41"/>
        <v>0</v>
      </c>
      <c r="AA33" s="43">
        <f t="shared" si="41"/>
        <v>0</v>
      </c>
      <c r="AB33" s="43">
        <f t="shared" si="41"/>
        <v>0</v>
      </c>
      <c r="AC33" s="43">
        <f t="shared" si="41"/>
        <v>0</v>
      </c>
      <c r="AD33" s="50">
        <f t="shared" si="41"/>
        <v>0</v>
      </c>
      <c r="AE33" s="51">
        <f t="shared" si="41"/>
        <v>0</v>
      </c>
      <c r="AF33" s="43">
        <f t="shared" si="41"/>
        <v>0</v>
      </c>
      <c r="AG33" s="43">
        <f t="shared" si="41"/>
        <v>0</v>
      </c>
      <c r="AH33" s="43">
        <f t="shared" si="41"/>
        <v>0</v>
      </c>
      <c r="AI33" s="50">
        <f t="shared" si="41"/>
        <v>0</v>
      </c>
      <c r="AJ33" s="43">
        <f t="shared" si="41"/>
        <v>0</v>
      </c>
    </row>
    <row r="34" spans="1:75" x14ac:dyDescent="0.35">
      <c r="A34" s="86" t="str">
        <f t="shared" si="37"/>
        <v>residual</v>
      </c>
      <c r="B34" s="50" t="s">
        <v>628</v>
      </c>
      <c r="C34" s="43">
        <f t="shared" ref="C34:R34" si="42">SUM(C78:C85)</f>
        <v>3.8847389600828452</v>
      </c>
      <c r="D34" s="43">
        <f t="shared" si="42"/>
        <v>3.5597892091751051</v>
      </c>
      <c r="E34" s="43">
        <f t="shared" si="42"/>
        <v>3.3927910789116975</v>
      </c>
      <c r="F34" s="43">
        <f t="shared" si="42"/>
        <v>3.4842030666498407</v>
      </c>
      <c r="G34" s="43">
        <f t="shared" si="42"/>
        <v>4.9017338534813266</v>
      </c>
      <c r="H34" s="51">
        <f t="shared" si="42"/>
        <v>3.8084334800948696</v>
      </c>
      <c r="I34" s="43">
        <f t="shared" si="42"/>
        <v>3.3631809151630017</v>
      </c>
      <c r="J34" s="43">
        <f t="shared" si="42"/>
        <v>3.2867233094429431</v>
      </c>
      <c r="K34" s="43">
        <f t="shared" si="42"/>
        <v>4.5630948238824729</v>
      </c>
      <c r="L34" s="50">
        <f t="shared" si="42"/>
        <v>4.7743838504046234</v>
      </c>
      <c r="M34" s="51">
        <f t="shared" si="42"/>
        <v>4.6862030110352428</v>
      </c>
      <c r="N34" s="43">
        <f t="shared" si="42"/>
        <v>4.5167302217897269</v>
      </c>
      <c r="O34" s="43">
        <f t="shared" si="42"/>
        <v>4.6468216970793081</v>
      </c>
      <c r="P34" s="43">
        <f t="shared" si="42"/>
        <v>4.0789812636479388</v>
      </c>
      <c r="Q34" s="50">
        <f t="shared" si="42"/>
        <v>6.4656754615026042</v>
      </c>
      <c r="R34" s="43">
        <f t="shared" si="42"/>
        <v>4.9769637735411179</v>
      </c>
      <c r="T34" s="40" t="s">
        <v>628</v>
      </c>
      <c r="U34" s="43">
        <f t="shared" ref="U34:AJ34" si="43">SUM(U78:U85)</f>
        <v>10.194544653599479</v>
      </c>
      <c r="V34" s="43">
        <f t="shared" si="43"/>
        <v>13.307675429985464</v>
      </c>
      <c r="W34" s="43">
        <f t="shared" si="43"/>
        <v>19.776631461874508</v>
      </c>
      <c r="X34" s="43">
        <f t="shared" si="43"/>
        <v>27.826417430335916</v>
      </c>
      <c r="Y34" s="43">
        <f t="shared" si="43"/>
        <v>70.082569510684209</v>
      </c>
      <c r="Z34" s="51">
        <f t="shared" si="43"/>
        <v>0.65811660369891689</v>
      </c>
      <c r="AA34" s="43">
        <f t="shared" si="43"/>
        <v>0.75012817279911337</v>
      </c>
      <c r="AB34" s="43">
        <f t="shared" si="43"/>
        <v>0.90310104162529936</v>
      </c>
      <c r="AC34" s="43">
        <f t="shared" si="43"/>
        <v>2.4740133134547571</v>
      </c>
      <c r="AD34" s="50">
        <f t="shared" si="43"/>
        <v>10.499390927011008</v>
      </c>
      <c r="AE34" s="51">
        <f t="shared" si="43"/>
        <v>0.55948896076461618</v>
      </c>
      <c r="AF34" s="43">
        <f t="shared" si="43"/>
        <v>1.6446025524544345</v>
      </c>
      <c r="AG34" s="43">
        <f t="shared" si="43"/>
        <v>4.7902320093610928</v>
      </c>
      <c r="AH34" s="43">
        <f t="shared" si="43"/>
        <v>10.162695691962234</v>
      </c>
      <c r="AI34" s="50">
        <f t="shared" si="43"/>
        <v>151.4533007995386</v>
      </c>
      <c r="AJ34" s="43">
        <f t="shared" si="43"/>
        <v>325.08290855914964</v>
      </c>
    </row>
    <row r="35" spans="1:75" x14ac:dyDescent="0.35">
      <c r="A35" s="88" t="str">
        <f t="shared" si="37"/>
        <v>residual</v>
      </c>
      <c r="B35" s="56" t="s">
        <v>630</v>
      </c>
      <c r="C35" s="55">
        <f>C86</f>
        <v>0</v>
      </c>
      <c r="D35" s="55">
        <f t="shared" ref="D35:Q35" si="44">D86</f>
        <v>0</v>
      </c>
      <c r="E35" s="55">
        <f t="shared" si="44"/>
        <v>0</v>
      </c>
      <c r="F35" s="55">
        <f t="shared" si="44"/>
        <v>0</v>
      </c>
      <c r="G35" s="55">
        <f t="shared" si="44"/>
        <v>0</v>
      </c>
      <c r="H35" s="57">
        <f t="shared" si="44"/>
        <v>0</v>
      </c>
      <c r="I35" s="55">
        <f t="shared" si="44"/>
        <v>0</v>
      </c>
      <c r="J35" s="55">
        <f t="shared" si="44"/>
        <v>0</v>
      </c>
      <c r="K35" s="55">
        <f t="shared" si="44"/>
        <v>0</v>
      </c>
      <c r="L35" s="56">
        <f t="shared" si="44"/>
        <v>0</v>
      </c>
      <c r="M35" s="57">
        <f t="shared" si="44"/>
        <v>0</v>
      </c>
      <c r="N35" s="55">
        <f t="shared" si="44"/>
        <v>0</v>
      </c>
      <c r="O35" s="55">
        <f t="shared" si="44"/>
        <v>0</v>
      </c>
      <c r="P35" s="55">
        <f t="shared" si="44"/>
        <v>0</v>
      </c>
      <c r="Q35" s="56">
        <f t="shared" si="44"/>
        <v>0</v>
      </c>
      <c r="R35" s="55">
        <f t="shared" ref="R35" si="45">R86</f>
        <v>0</v>
      </c>
      <c r="T35" s="49" t="s">
        <v>630</v>
      </c>
      <c r="U35" s="55">
        <f>U86</f>
        <v>0</v>
      </c>
      <c r="V35" s="55">
        <f t="shared" ref="V35:AJ35" si="46">V86</f>
        <v>0</v>
      </c>
      <c r="W35" s="55">
        <f t="shared" si="46"/>
        <v>0</v>
      </c>
      <c r="X35" s="55">
        <f t="shared" si="46"/>
        <v>0</v>
      </c>
      <c r="Y35" s="55">
        <f t="shared" si="46"/>
        <v>0</v>
      </c>
      <c r="Z35" s="57">
        <f t="shared" si="46"/>
        <v>0</v>
      </c>
      <c r="AA35" s="55">
        <f t="shared" si="46"/>
        <v>0</v>
      </c>
      <c r="AB35" s="55">
        <f t="shared" si="46"/>
        <v>0</v>
      </c>
      <c r="AC35" s="55">
        <f t="shared" si="46"/>
        <v>0</v>
      </c>
      <c r="AD35" s="56">
        <f t="shared" si="46"/>
        <v>0</v>
      </c>
      <c r="AE35" s="57">
        <f t="shared" si="46"/>
        <v>0</v>
      </c>
      <c r="AF35" s="55">
        <f t="shared" si="46"/>
        <v>0</v>
      </c>
      <c r="AG35" s="55">
        <f t="shared" si="46"/>
        <v>0</v>
      </c>
      <c r="AH35" s="55">
        <f t="shared" si="46"/>
        <v>0</v>
      </c>
      <c r="AI35" s="56">
        <f t="shared" si="46"/>
        <v>0</v>
      </c>
      <c r="AJ35" s="55">
        <f t="shared" si="46"/>
        <v>0</v>
      </c>
    </row>
    <row r="36" spans="1:75" x14ac:dyDescent="0.35">
      <c r="A36" s="86" t="str">
        <f t="shared" si="37"/>
        <v>residual</v>
      </c>
      <c r="B36" s="50" t="s">
        <v>631</v>
      </c>
      <c r="C36" s="43">
        <f>SUM(C87,C88)</f>
        <v>0.84084044936852287</v>
      </c>
      <c r="D36" s="43">
        <f t="shared" ref="D36:Q36" si="47">SUM(D87,D88)</f>
        <v>1.17882737745415</v>
      </c>
      <c r="E36" s="43">
        <f t="shared" si="47"/>
        <v>1.3145767564381803</v>
      </c>
      <c r="F36" s="43">
        <f t="shared" si="47"/>
        <v>1.4019034766049863</v>
      </c>
      <c r="G36" s="43">
        <f t="shared" si="47"/>
        <v>1.497937228914084</v>
      </c>
      <c r="H36" s="51">
        <f t="shared" si="47"/>
        <v>1.5570111723931992</v>
      </c>
      <c r="I36" s="43">
        <f t="shared" si="47"/>
        <v>1.7069852281288846</v>
      </c>
      <c r="J36" s="43">
        <f t="shared" si="47"/>
        <v>1.8934500024839291</v>
      </c>
      <c r="K36" s="43">
        <f t="shared" si="47"/>
        <v>1.9269999515784375</v>
      </c>
      <c r="L36" s="50">
        <f t="shared" si="47"/>
        <v>2.0075692862210328</v>
      </c>
      <c r="M36" s="51">
        <f t="shared" si="47"/>
        <v>1.5979661794539299</v>
      </c>
      <c r="N36" s="43">
        <f t="shared" si="47"/>
        <v>1.5926968550572793</v>
      </c>
      <c r="O36" s="43">
        <f t="shared" si="47"/>
        <v>1.636920536676846</v>
      </c>
      <c r="P36" s="43">
        <f t="shared" si="47"/>
        <v>2.2841586265345062</v>
      </c>
      <c r="Q36" s="50">
        <f t="shared" si="47"/>
        <v>2.6130964697413317</v>
      </c>
      <c r="R36" s="43">
        <f t="shared" ref="R36" si="48">SUM(R87,R88)</f>
        <v>1.8812349955409919</v>
      </c>
      <c r="T36" s="40" t="s">
        <v>631</v>
      </c>
      <c r="U36" s="43">
        <f>SUM(U87,U88)</f>
        <v>2.20657954002069</v>
      </c>
      <c r="V36" s="43">
        <f t="shared" ref="V36:AJ36" si="49">SUM(V87,V88)</f>
        <v>4.4068486096613508</v>
      </c>
      <c r="W36" s="43">
        <f t="shared" si="49"/>
        <v>7.6626881631519659</v>
      </c>
      <c r="X36" s="43">
        <f t="shared" si="49"/>
        <v>11.196233569290397</v>
      </c>
      <c r="Y36" s="43">
        <f t="shared" si="49"/>
        <v>21.416766618908575</v>
      </c>
      <c r="Z36" s="51">
        <f t="shared" si="49"/>
        <v>0.26905942037647346</v>
      </c>
      <c r="AA36" s="43">
        <f t="shared" si="49"/>
        <v>0.38072816850215108</v>
      </c>
      <c r="AB36" s="43">
        <f t="shared" si="49"/>
        <v>0.52026791077782608</v>
      </c>
      <c r="AC36" s="43">
        <f t="shared" si="49"/>
        <v>1.0447785372067726</v>
      </c>
      <c r="AD36" s="50">
        <f t="shared" si="49"/>
        <v>4.4148638671582141</v>
      </c>
      <c r="AE36" s="51">
        <f t="shared" si="49"/>
        <v>0.19078226764277068</v>
      </c>
      <c r="AF36" s="43">
        <f t="shared" si="49"/>
        <v>0.57992246259849667</v>
      </c>
      <c r="AG36" s="43">
        <f t="shared" si="49"/>
        <v>1.687439213882137</v>
      </c>
      <c r="AH36" s="43">
        <f t="shared" si="49"/>
        <v>5.6909329887140565</v>
      </c>
      <c r="AI36" s="50">
        <f t="shared" si="49"/>
        <v>61.209704694638745</v>
      </c>
      <c r="AJ36" s="43">
        <f t="shared" si="49"/>
        <v>122.87759603253062</v>
      </c>
    </row>
    <row r="37" spans="1:75" x14ac:dyDescent="0.35">
      <c r="A37" s="86" t="str">
        <f t="shared" si="37"/>
        <v>residual</v>
      </c>
      <c r="B37" s="50" t="s">
        <v>632</v>
      </c>
      <c r="C37" s="43">
        <f>SUM(C89:C91)</f>
        <v>2.5409139151036761</v>
      </c>
      <c r="D37" s="43">
        <f t="shared" ref="D37:Q37" si="50">SUM(D89:D91)</f>
        <v>3.8408215236023042</v>
      </c>
      <c r="E37" s="43">
        <f t="shared" si="50"/>
        <v>5.0262920225185672</v>
      </c>
      <c r="F37" s="43">
        <f t="shared" si="50"/>
        <v>5.7880299451631796</v>
      </c>
      <c r="G37" s="43">
        <f t="shared" si="50"/>
        <v>9.2024702171353834</v>
      </c>
      <c r="H37" s="51">
        <f t="shared" si="50"/>
        <v>3.263618597088509</v>
      </c>
      <c r="I37" s="43">
        <f t="shared" si="50"/>
        <v>3.5938841247635906</v>
      </c>
      <c r="J37" s="43">
        <f t="shared" si="50"/>
        <v>5.7210976847462671</v>
      </c>
      <c r="K37" s="43">
        <f t="shared" si="50"/>
        <v>7.2086520233299423</v>
      </c>
      <c r="L37" s="50">
        <f t="shared" si="50"/>
        <v>9.6882304758095188</v>
      </c>
      <c r="M37" s="51">
        <f t="shared" si="50"/>
        <v>4.9614644652231696</v>
      </c>
      <c r="N37" s="43">
        <f t="shared" si="50"/>
        <v>6.0112771158240195</v>
      </c>
      <c r="O37" s="43">
        <f t="shared" si="50"/>
        <v>8.3181595149354575</v>
      </c>
      <c r="P37" s="43">
        <f t="shared" si="50"/>
        <v>9.4188881800135338</v>
      </c>
      <c r="Q37" s="50">
        <f t="shared" si="50"/>
        <v>12.394498735588726</v>
      </c>
      <c r="R37" s="43">
        <f t="shared" ref="R37" si="51">SUM(R89:R91)</f>
        <v>8.9015701912743967</v>
      </c>
      <c r="T37" s="40" t="s">
        <v>632</v>
      </c>
      <c r="U37" s="43">
        <f>SUM(U89:U91)</f>
        <v>6.668005401300964</v>
      </c>
      <c r="V37" s="43">
        <f t="shared" ref="V37:AJ37" si="52">SUM(V89:V91)</f>
        <v>14.358267643731011</v>
      </c>
      <c r="W37" s="43">
        <f t="shared" si="52"/>
        <v>29.298333624773313</v>
      </c>
      <c r="X37" s="43">
        <f t="shared" si="52"/>
        <v>46.225818149072104</v>
      </c>
      <c r="Y37" s="43">
        <f t="shared" si="52"/>
        <v>131.57237376410092</v>
      </c>
      <c r="Z37" s="51">
        <f t="shared" si="52"/>
        <v>0.56396983119448119</v>
      </c>
      <c r="AA37" s="43">
        <f t="shared" si="52"/>
        <v>0.80158451173596568</v>
      </c>
      <c r="AB37" s="43">
        <f t="shared" si="52"/>
        <v>1.57200007177061</v>
      </c>
      <c r="AC37" s="43">
        <f t="shared" si="52"/>
        <v>3.9083783629564541</v>
      </c>
      <c r="AD37" s="50">
        <f t="shared" si="52"/>
        <v>21.30547571031293</v>
      </c>
      <c r="AE37" s="51">
        <f t="shared" si="52"/>
        <v>0.59235261276165985</v>
      </c>
      <c r="AF37" s="43">
        <f t="shared" si="52"/>
        <v>2.1887872869851814</v>
      </c>
      <c r="AG37" s="43">
        <f t="shared" si="52"/>
        <v>8.5748747348020533</v>
      </c>
      <c r="AH37" s="43">
        <f t="shared" si="52"/>
        <v>23.466961023618804</v>
      </c>
      <c r="AI37" s="50">
        <f t="shared" si="52"/>
        <v>290.3312664604988</v>
      </c>
      <c r="AJ37" s="43">
        <f t="shared" si="52"/>
        <v>581.42844918961521</v>
      </c>
    </row>
    <row r="38" spans="1:75" x14ac:dyDescent="0.35">
      <c r="A38" s="87" t="str">
        <f t="shared" si="37"/>
        <v>residual</v>
      </c>
      <c r="B38" s="53" t="s">
        <v>635</v>
      </c>
      <c r="C38" s="52">
        <f>SUM(C92:C94)</f>
        <v>2.8790359325292219</v>
      </c>
      <c r="D38" s="52">
        <f t="shared" ref="D38:Q38" si="53">SUM(D92:D94)</f>
        <v>2.8421909387420712</v>
      </c>
      <c r="E38" s="52">
        <f t="shared" si="53"/>
        <v>2.8412359577920236</v>
      </c>
      <c r="F38" s="52">
        <f t="shared" si="53"/>
        <v>2.7506439904322919</v>
      </c>
      <c r="G38" s="52">
        <f t="shared" si="53"/>
        <v>3.5829215078973586</v>
      </c>
      <c r="H38" s="54">
        <f t="shared" si="53"/>
        <v>2.6072015411243958</v>
      </c>
      <c r="I38" s="52">
        <f t="shared" si="53"/>
        <v>2.7299458478009813</v>
      </c>
      <c r="J38" s="52">
        <f t="shared" si="53"/>
        <v>2.299324146040826</v>
      </c>
      <c r="K38" s="52">
        <f t="shared" si="53"/>
        <v>2.1038668988420364</v>
      </c>
      <c r="L38" s="53">
        <f t="shared" si="53"/>
        <v>2.4607845850474801</v>
      </c>
      <c r="M38" s="54">
        <f t="shared" si="53"/>
        <v>2.3888040099311025</v>
      </c>
      <c r="N38" s="52">
        <f t="shared" si="53"/>
        <v>2.6244954591611158</v>
      </c>
      <c r="O38" s="52">
        <f t="shared" si="53"/>
        <v>2.2236681811906998</v>
      </c>
      <c r="P38" s="52">
        <f t="shared" si="53"/>
        <v>2.5442065920984747</v>
      </c>
      <c r="Q38" s="53">
        <f t="shared" si="53"/>
        <v>7.3672218860193315</v>
      </c>
      <c r="R38" s="52">
        <f t="shared" ref="R38" si="54">SUM(R92:R94)</f>
        <v>4.5718731059339088</v>
      </c>
      <c r="T38" s="39" t="s">
        <v>635</v>
      </c>
      <c r="U38" s="52">
        <f>SUM(U92:U94)</f>
        <v>7.5553237103119661</v>
      </c>
      <c r="V38" s="52">
        <f t="shared" ref="V38:AJ38" si="55">SUM(V92:V94)</f>
        <v>10.625054546864513</v>
      </c>
      <c r="W38" s="52">
        <f t="shared" si="55"/>
        <v>16.561608164656842</v>
      </c>
      <c r="X38" s="52">
        <f t="shared" si="55"/>
        <v>21.967883735780578</v>
      </c>
      <c r="Y38" s="52">
        <f t="shared" si="55"/>
        <v>51.226841998001333</v>
      </c>
      <c r="Z38" s="54">
        <f t="shared" si="55"/>
        <v>0.45053763768525307</v>
      </c>
      <c r="AA38" s="52">
        <f t="shared" si="55"/>
        <v>0.60889061347216478</v>
      </c>
      <c r="AB38" s="52">
        <f t="shared" si="55"/>
        <v>0.63179094673339442</v>
      </c>
      <c r="AC38" s="52">
        <f t="shared" si="55"/>
        <v>1.1406720478894938</v>
      </c>
      <c r="AD38" s="53">
        <f t="shared" si="55"/>
        <v>5.4115337507658579</v>
      </c>
      <c r="AE38" s="54">
        <f t="shared" si="55"/>
        <v>0.28520093342935404</v>
      </c>
      <c r="AF38" s="52">
        <f t="shared" si="55"/>
        <v>0.95561428712719465</v>
      </c>
      <c r="AG38" s="52">
        <f t="shared" si="55"/>
        <v>2.292295076962505</v>
      </c>
      <c r="AH38" s="52">
        <f t="shared" si="55"/>
        <v>6.3388370040850344</v>
      </c>
      <c r="AI38" s="53">
        <f t="shared" si="55"/>
        <v>172.57130813381775</v>
      </c>
      <c r="AJ38" s="52">
        <f t="shared" si="55"/>
        <v>298.62339258758323</v>
      </c>
    </row>
    <row r="39" spans="1:75" x14ac:dyDescent="0.35">
      <c r="A39" s="173" t="s">
        <v>608</v>
      </c>
      <c r="B39" s="174"/>
      <c r="C39" s="131">
        <f t="shared" ref="C39:R39" si="56">SUM(C19:C27)</f>
        <v>62.045082828892966</v>
      </c>
      <c r="D39" s="132">
        <f t="shared" si="56"/>
        <v>62.579748017714614</v>
      </c>
      <c r="E39" s="132">
        <f t="shared" si="56"/>
        <v>61.22653544513436</v>
      </c>
      <c r="F39" s="132">
        <f t="shared" si="56"/>
        <v>61.335406230630269</v>
      </c>
      <c r="G39" s="133">
        <f t="shared" si="56"/>
        <v>55.061559623853618</v>
      </c>
      <c r="H39" s="131">
        <f t="shared" si="56"/>
        <v>52.923965438694871</v>
      </c>
      <c r="I39" s="132">
        <f t="shared" si="56"/>
        <v>52.457100094533693</v>
      </c>
      <c r="J39" s="132">
        <f t="shared" si="56"/>
        <v>57.859683644095824</v>
      </c>
      <c r="K39" s="132">
        <f t="shared" si="56"/>
        <v>53.599662809824444</v>
      </c>
      <c r="L39" s="133">
        <f t="shared" si="56"/>
        <v>48.126386401938461</v>
      </c>
      <c r="M39" s="132">
        <f t="shared" si="56"/>
        <v>52.143616598489267</v>
      </c>
      <c r="N39" s="132">
        <f t="shared" si="56"/>
        <v>57.487259197171312</v>
      </c>
      <c r="O39" s="132">
        <f t="shared" si="56"/>
        <v>52.386182422089085</v>
      </c>
      <c r="P39" s="132">
        <f t="shared" si="56"/>
        <v>52.197097106699395</v>
      </c>
      <c r="Q39" s="133">
        <f t="shared" si="56"/>
        <v>38.169172038011553</v>
      </c>
      <c r="R39" s="130">
        <f t="shared" si="56"/>
        <v>50.640046009072329</v>
      </c>
      <c r="T39" s="49" t="s">
        <v>608</v>
      </c>
      <c r="U39" s="55">
        <f t="shared" ref="U39:AJ39" si="57">SUM(U19:U27)</f>
        <v>162.82210308976303</v>
      </c>
      <c r="V39" s="55">
        <f t="shared" si="57"/>
        <v>233.94390121852229</v>
      </c>
      <c r="W39" s="55">
        <f t="shared" si="57"/>
        <v>356.89041824945599</v>
      </c>
      <c r="X39" s="55">
        <f t="shared" si="57"/>
        <v>489.85222284240365</v>
      </c>
      <c r="Y39" s="55">
        <f t="shared" si="57"/>
        <v>787.24298279980144</v>
      </c>
      <c r="Z39" s="57">
        <f t="shared" si="57"/>
        <v>9.1455294075203604</v>
      </c>
      <c r="AA39" s="55">
        <f t="shared" si="57"/>
        <v>11.70009869729105</v>
      </c>
      <c r="AB39" s="55">
        <f t="shared" si="57"/>
        <v>15.89824747856535</v>
      </c>
      <c r="AC39" s="55">
        <f t="shared" si="57"/>
        <v>29.060601303780146</v>
      </c>
      <c r="AD39" s="56">
        <f t="shared" si="57"/>
        <v>105.83517382992055</v>
      </c>
      <c r="AE39" s="57">
        <f t="shared" si="57"/>
        <v>6.2254618061782363</v>
      </c>
      <c r="AF39" s="55">
        <f t="shared" si="57"/>
        <v>20.931888460634088</v>
      </c>
      <c r="AG39" s="55">
        <f t="shared" si="57"/>
        <v>54.002925923378214</v>
      </c>
      <c r="AH39" s="55">
        <f t="shared" si="57"/>
        <v>130.04796531592336</v>
      </c>
      <c r="AI39" s="56">
        <f t="shared" si="57"/>
        <v>894.08247109867318</v>
      </c>
      <c r="AJ39" s="55">
        <f t="shared" si="57"/>
        <v>3307.6819915218111</v>
      </c>
    </row>
    <row r="40" spans="1:75" x14ac:dyDescent="0.35">
      <c r="A40" s="175" t="s">
        <v>638</v>
      </c>
      <c r="B40" s="176"/>
      <c r="C40" s="135">
        <f>SUM(C28:C38)</f>
        <v>37.954917171106999</v>
      </c>
      <c r="D40" s="136">
        <f t="shared" ref="D40:R40" si="58">SUM(D28:D38)</f>
        <v>37.420251982285386</v>
      </c>
      <c r="E40" s="136">
        <f t="shared" si="58"/>
        <v>38.773464554865647</v>
      </c>
      <c r="F40" s="136">
        <f t="shared" si="58"/>
        <v>38.664593769369731</v>
      </c>
      <c r="G40" s="137">
        <f t="shared" si="58"/>
        <v>44.938440376146389</v>
      </c>
      <c r="H40" s="135">
        <f t="shared" si="58"/>
        <v>47.076034561305129</v>
      </c>
      <c r="I40" s="136">
        <f t="shared" si="58"/>
        <v>47.542899905466292</v>
      </c>
      <c r="J40" s="136">
        <f t="shared" si="58"/>
        <v>42.140316355904162</v>
      </c>
      <c r="K40" s="136">
        <f t="shared" si="58"/>
        <v>46.400337190175563</v>
      </c>
      <c r="L40" s="137">
        <f t="shared" si="58"/>
        <v>51.873613598061524</v>
      </c>
      <c r="M40" s="136">
        <f t="shared" si="58"/>
        <v>47.856383401510747</v>
      </c>
      <c r="N40" s="136">
        <f t="shared" si="58"/>
        <v>42.512740802828688</v>
      </c>
      <c r="O40" s="136">
        <f t="shared" si="58"/>
        <v>47.613817577910936</v>
      </c>
      <c r="P40" s="136">
        <f t="shared" si="58"/>
        <v>47.80290289330059</v>
      </c>
      <c r="Q40" s="137">
        <f t="shared" si="58"/>
        <v>61.830827961988433</v>
      </c>
      <c r="R40" s="134">
        <f t="shared" si="58"/>
        <v>49.359953990927671</v>
      </c>
      <c r="T40" s="40" t="s">
        <v>638</v>
      </c>
      <c r="U40" s="43">
        <f t="shared" ref="U40:AJ40" si="59">SUM(U29:U38)</f>
        <v>94.747658575318368</v>
      </c>
      <c r="V40" s="43">
        <f t="shared" si="59"/>
        <v>132.71167691360415</v>
      </c>
      <c r="W40" s="43">
        <f t="shared" si="59"/>
        <v>213.46010761689243</v>
      </c>
      <c r="X40" s="43">
        <f t="shared" si="59"/>
        <v>290.76444119324236</v>
      </c>
      <c r="Y40" s="43">
        <f t="shared" si="59"/>
        <v>609.54165009402288</v>
      </c>
      <c r="Z40" s="51">
        <f t="shared" si="59"/>
        <v>7.8295034475670517</v>
      </c>
      <c r="AA40" s="43">
        <f t="shared" si="59"/>
        <v>10.197986031253809</v>
      </c>
      <c r="AB40" s="43">
        <f t="shared" si="59"/>
        <v>11.094449955425583</v>
      </c>
      <c r="AC40" s="43">
        <f t="shared" si="59"/>
        <v>23.883892017957567</v>
      </c>
      <c r="AD40" s="50">
        <f t="shared" si="59"/>
        <v>108.46432699378047</v>
      </c>
      <c r="AE40" s="51">
        <f t="shared" si="59"/>
        <v>5.5785519374786849</v>
      </c>
      <c r="AF40" s="43">
        <f t="shared" si="59"/>
        <v>14.660231868870277</v>
      </c>
      <c r="AG40" s="43">
        <f t="shared" si="59"/>
        <v>47.161376724863857</v>
      </c>
      <c r="AH40" s="43">
        <f t="shared" si="59"/>
        <v>113.12797973468591</v>
      </c>
      <c r="AI40" s="50">
        <f t="shared" si="59"/>
        <v>1398.5547489196138</v>
      </c>
      <c r="AJ40" s="43">
        <f t="shared" si="59"/>
        <v>3081.7785820245772</v>
      </c>
    </row>
    <row r="41" spans="1:75" x14ac:dyDescent="0.35">
      <c r="A41" s="173" t="s">
        <v>672</v>
      </c>
      <c r="B41" s="174"/>
      <c r="C41" s="131">
        <f>SUM(C19:C31)</f>
        <v>86.741778135440782</v>
      </c>
      <c r="D41" s="132">
        <f t="shared" ref="D41:R41" si="60">SUM(D19:D31)</f>
        <v>86.415289067666563</v>
      </c>
      <c r="E41" s="132">
        <f t="shared" si="60"/>
        <v>85.321290475718882</v>
      </c>
      <c r="F41" s="132">
        <f t="shared" si="60"/>
        <v>83.984827361691842</v>
      </c>
      <c r="G41" s="133">
        <f t="shared" si="60"/>
        <v>78.733307097173309</v>
      </c>
      <c r="H41" s="131">
        <f t="shared" si="60"/>
        <v>86.692858870471639</v>
      </c>
      <c r="I41" s="132">
        <f t="shared" si="60"/>
        <v>87.350351613472128</v>
      </c>
      <c r="J41" s="132">
        <f t="shared" si="60"/>
        <v>84.516309716009658</v>
      </c>
      <c r="K41" s="132">
        <f t="shared" si="60"/>
        <v>80.28259836243933</v>
      </c>
      <c r="L41" s="133">
        <f t="shared" si="60"/>
        <v>78.579076612220959</v>
      </c>
      <c r="M41" s="132">
        <f t="shared" si="60"/>
        <v>80.969962338870303</v>
      </c>
      <c r="N41" s="132">
        <f t="shared" si="60"/>
        <v>82.879913674059694</v>
      </c>
      <c r="O41" s="132">
        <f t="shared" si="60"/>
        <v>81.980150766499747</v>
      </c>
      <c r="P41" s="132">
        <f t="shared" si="60"/>
        <v>80.445943734122892</v>
      </c>
      <c r="Q41" s="133">
        <f t="shared" si="60"/>
        <v>70.040781400990227</v>
      </c>
      <c r="R41" s="130">
        <f t="shared" si="60"/>
        <v>77.833689286549955</v>
      </c>
      <c r="T41" s="40"/>
      <c r="U41" s="43"/>
      <c r="V41" s="43"/>
      <c r="W41" s="43"/>
      <c r="X41" s="43"/>
      <c r="Y41" s="43"/>
      <c r="Z41" s="51"/>
      <c r="AA41" s="43"/>
      <c r="AB41" s="43"/>
      <c r="AC41" s="43"/>
      <c r="AD41" s="50"/>
      <c r="AE41" s="51"/>
      <c r="AF41" s="43"/>
      <c r="AG41" s="43"/>
      <c r="AH41" s="43"/>
      <c r="AI41" s="50"/>
      <c r="AJ41" s="43"/>
    </row>
    <row r="42" spans="1:75" x14ac:dyDescent="0.35">
      <c r="A42" s="175" t="s">
        <v>673</v>
      </c>
      <c r="B42" s="176"/>
      <c r="C42" s="135">
        <f>SUM(C32:C38)</f>
        <v>13.258221864559186</v>
      </c>
      <c r="D42" s="136">
        <f t="shared" ref="D42:R42" si="61">SUM(D32:D38)</f>
        <v>13.584710932333442</v>
      </c>
      <c r="E42" s="136">
        <f t="shared" si="61"/>
        <v>14.678709524281135</v>
      </c>
      <c r="F42" s="136">
        <f t="shared" si="61"/>
        <v>16.015172638308158</v>
      </c>
      <c r="G42" s="137">
        <f t="shared" si="61"/>
        <v>21.266692902826698</v>
      </c>
      <c r="H42" s="135">
        <f t="shared" si="61"/>
        <v>13.307141129528354</v>
      </c>
      <c r="I42" s="136">
        <f t="shared" si="61"/>
        <v>12.649648386527854</v>
      </c>
      <c r="J42" s="136">
        <f t="shared" si="61"/>
        <v>15.483690283990311</v>
      </c>
      <c r="K42" s="136">
        <f t="shared" si="61"/>
        <v>19.717401637560684</v>
      </c>
      <c r="L42" s="137">
        <f t="shared" si="61"/>
        <v>21.420923387779027</v>
      </c>
      <c r="M42" s="136">
        <f t="shared" si="61"/>
        <v>19.030037661129722</v>
      </c>
      <c r="N42" s="136">
        <f t="shared" si="61"/>
        <v>17.120086325940299</v>
      </c>
      <c r="O42" s="136">
        <f t="shared" si="61"/>
        <v>18.019849233500281</v>
      </c>
      <c r="P42" s="136">
        <f t="shared" si="61"/>
        <v>19.554056265877094</v>
      </c>
      <c r="Q42" s="137">
        <f t="shared" si="61"/>
        <v>29.959218599009766</v>
      </c>
      <c r="R42" s="134">
        <f t="shared" si="61"/>
        <v>22.166310713450052</v>
      </c>
      <c r="T42" s="40"/>
      <c r="U42" s="43"/>
      <c r="V42" s="43"/>
      <c r="W42" s="43"/>
      <c r="X42" s="43"/>
      <c r="Y42" s="43"/>
      <c r="Z42" s="51"/>
      <c r="AA42" s="43"/>
      <c r="AB42" s="43"/>
      <c r="AC42" s="43"/>
      <c r="AD42" s="50"/>
      <c r="AE42" s="51"/>
      <c r="AF42" s="43"/>
      <c r="AG42" s="43"/>
      <c r="AH42" s="43"/>
      <c r="AI42" s="50"/>
      <c r="AJ42" s="43"/>
    </row>
    <row r="43" spans="1:75" x14ac:dyDescent="0.35">
      <c r="A43" s="177" t="s">
        <v>127</v>
      </c>
      <c r="B43" s="178"/>
      <c r="C43" s="139">
        <f>C39+C40</f>
        <v>99.999999999999972</v>
      </c>
      <c r="D43" s="140">
        <f t="shared" ref="D43:R43" si="62">D39+D40</f>
        <v>100</v>
      </c>
      <c r="E43" s="140">
        <f t="shared" si="62"/>
        <v>100</v>
      </c>
      <c r="F43" s="140">
        <f t="shared" si="62"/>
        <v>100</v>
      </c>
      <c r="G43" s="141">
        <f t="shared" si="62"/>
        <v>100</v>
      </c>
      <c r="H43" s="139">
        <f t="shared" si="62"/>
        <v>100</v>
      </c>
      <c r="I43" s="140">
        <f t="shared" si="62"/>
        <v>99.999999999999986</v>
      </c>
      <c r="J43" s="140">
        <f t="shared" si="62"/>
        <v>99.999999999999986</v>
      </c>
      <c r="K43" s="140">
        <f t="shared" si="62"/>
        <v>100</v>
      </c>
      <c r="L43" s="141">
        <f t="shared" si="62"/>
        <v>99.999999999999986</v>
      </c>
      <c r="M43" s="140">
        <f t="shared" si="62"/>
        <v>100.00000000000001</v>
      </c>
      <c r="N43" s="140">
        <f t="shared" si="62"/>
        <v>100</v>
      </c>
      <c r="O43" s="140">
        <f t="shared" si="62"/>
        <v>100.00000000000003</v>
      </c>
      <c r="P43" s="140">
        <f t="shared" si="62"/>
        <v>99.999999999999986</v>
      </c>
      <c r="Q43" s="141">
        <f t="shared" si="62"/>
        <v>99.999999999999986</v>
      </c>
      <c r="R43" s="138">
        <f t="shared" si="62"/>
        <v>100</v>
      </c>
      <c r="T43" s="40" t="s">
        <v>127</v>
      </c>
      <c r="U43" s="43">
        <f>U39+U40</f>
        <v>257.56976166508139</v>
      </c>
      <c r="V43" s="43">
        <f t="shared" ref="V43" si="63">V39+V40</f>
        <v>366.65557813212644</v>
      </c>
      <c r="W43" s="43">
        <f t="shared" ref="W43" si="64">W39+W40</f>
        <v>570.35052586634845</v>
      </c>
      <c r="X43" s="43">
        <f t="shared" ref="X43" si="65">X39+X40</f>
        <v>780.61666403564595</v>
      </c>
      <c r="Y43" s="43">
        <f t="shared" ref="Y43" si="66">Y39+Y40</f>
        <v>1396.7846328938244</v>
      </c>
      <c r="Z43" s="51">
        <f t="shared" ref="Z43" si="67">Z39+Z40</f>
        <v>16.975032855087413</v>
      </c>
      <c r="AA43" s="43">
        <f t="shared" ref="AA43" si="68">AA39+AA40</f>
        <v>21.898084728544859</v>
      </c>
      <c r="AB43" s="43">
        <f t="shared" ref="AB43" si="69">AB39+AB40</f>
        <v>26.992697433990934</v>
      </c>
      <c r="AC43" s="43">
        <f t="shared" ref="AC43" si="70">AC39+AC40</f>
        <v>52.94449332173771</v>
      </c>
      <c r="AD43" s="50">
        <f t="shared" ref="AD43" si="71">AD39+AD40</f>
        <v>214.29950082370101</v>
      </c>
      <c r="AE43" s="51">
        <f t="shared" ref="AE43" si="72">AE39+AE40</f>
        <v>11.80401374365692</v>
      </c>
      <c r="AF43" s="43">
        <f t="shared" ref="AF43" si="73">AF39+AF40</f>
        <v>35.592120329504368</v>
      </c>
      <c r="AG43" s="43">
        <f t="shared" ref="AG43" si="74">AG39+AG40</f>
        <v>101.16430264824207</v>
      </c>
      <c r="AH43" s="43">
        <f t="shared" ref="AH43" si="75">AH39+AH40</f>
        <v>243.17594505060927</v>
      </c>
      <c r="AI43" s="50">
        <f t="shared" ref="AI43" si="76">AI39+AI40</f>
        <v>2292.6372200182868</v>
      </c>
      <c r="AJ43" s="43">
        <f t="shared" ref="AJ43" si="77">AJ39+AJ40</f>
        <v>6389.4605735463883</v>
      </c>
    </row>
    <row r="44" spans="1:75" x14ac:dyDescent="0.35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</row>
    <row r="45" spans="1:75" x14ac:dyDescent="0.35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</row>
    <row r="46" spans="1:75" x14ac:dyDescent="0.35">
      <c r="A46" t="s">
        <v>636</v>
      </c>
    </row>
    <row r="47" spans="1:75" x14ac:dyDescent="0.3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U47" t="s">
        <v>605</v>
      </c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L47" t="s">
        <v>603</v>
      </c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C47" t="s">
        <v>604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</row>
    <row r="48" spans="1:75" x14ac:dyDescent="0.35">
      <c r="A48" s="78" t="s">
        <v>658</v>
      </c>
      <c r="B48" s="79" t="s">
        <v>348</v>
      </c>
      <c r="C48" s="80" t="s">
        <v>217</v>
      </c>
      <c r="D48" s="80" t="s">
        <v>218</v>
      </c>
      <c r="E48" s="80" t="s">
        <v>219</v>
      </c>
      <c r="F48" s="80" t="s">
        <v>220</v>
      </c>
      <c r="G48" s="80" t="s">
        <v>221</v>
      </c>
      <c r="H48" s="80" t="s">
        <v>595</v>
      </c>
      <c r="I48" s="80" t="s">
        <v>596</v>
      </c>
      <c r="J48" s="80" t="s">
        <v>597</v>
      </c>
      <c r="K48" s="80" t="s">
        <v>598</v>
      </c>
      <c r="L48" s="80" t="s">
        <v>599</v>
      </c>
      <c r="M48" s="80" t="s">
        <v>222</v>
      </c>
      <c r="N48" s="80" t="s">
        <v>223</v>
      </c>
      <c r="O48" s="80" t="s">
        <v>224</v>
      </c>
      <c r="P48" s="80" t="s">
        <v>225</v>
      </c>
      <c r="Q48" s="80" t="s">
        <v>226</v>
      </c>
      <c r="R48" s="80" t="s">
        <v>126</v>
      </c>
      <c r="S48" s="26"/>
      <c r="T48" s="45"/>
      <c r="U48" s="35" t="s">
        <v>217</v>
      </c>
      <c r="V48" s="35" t="s">
        <v>218</v>
      </c>
      <c r="W48" s="35" t="s">
        <v>219</v>
      </c>
      <c r="X48" s="35" t="s">
        <v>220</v>
      </c>
      <c r="Y48" s="35" t="s">
        <v>221</v>
      </c>
      <c r="Z48" s="35" t="s">
        <v>595</v>
      </c>
      <c r="AA48" s="35" t="s">
        <v>596</v>
      </c>
      <c r="AB48" s="35" t="s">
        <v>597</v>
      </c>
      <c r="AC48" s="35" t="s">
        <v>598</v>
      </c>
      <c r="AD48" s="35" t="s">
        <v>599</v>
      </c>
      <c r="AE48" s="35" t="s">
        <v>222</v>
      </c>
      <c r="AF48" s="35" t="s">
        <v>223</v>
      </c>
      <c r="AG48" s="35" t="s">
        <v>224</v>
      </c>
      <c r="AH48" s="35" t="s">
        <v>225</v>
      </c>
      <c r="AI48" s="35" t="s">
        <v>226</v>
      </c>
      <c r="AJ48" s="35" t="s">
        <v>126</v>
      </c>
      <c r="AK48" s="26"/>
      <c r="AL48" s="45"/>
      <c r="AM48" s="35" t="s">
        <v>217</v>
      </c>
      <c r="AN48" s="35" t="s">
        <v>218</v>
      </c>
      <c r="AO48" s="35" t="s">
        <v>219</v>
      </c>
      <c r="AP48" s="35" t="s">
        <v>220</v>
      </c>
      <c r="AQ48" s="35" t="s">
        <v>221</v>
      </c>
      <c r="AR48" s="35" t="s">
        <v>595</v>
      </c>
      <c r="AS48" s="35" t="s">
        <v>596</v>
      </c>
      <c r="AT48" s="35" t="s">
        <v>597</v>
      </c>
      <c r="AU48" s="35" t="s">
        <v>598</v>
      </c>
      <c r="AV48" s="35" t="s">
        <v>599</v>
      </c>
      <c r="AW48" s="35" t="s">
        <v>222</v>
      </c>
      <c r="AX48" s="35" t="s">
        <v>223</v>
      </c>
      <c r="AY48" s="35" t="s">
        <v>224</v>
      </c>
      <c r="AZ48" s="35" t="s">
        <v>225</v>
      </c>
      <c r="BA48" s="35" t="s">
        <v>226</v>
      </c>
      <c r="BB48" s="45"/>
      <c r="BC48" s="45"/>
      <c r="BD48" s="35" t="s">
        <v>217</v>
      </c>
      <c r="BE48" s="35" t="s">
        <v>218</v>
      </c>
      <c r="BF48" s="35" t="s">
        <v>219</v>
      </c>
      <c r="BG48" s="35" t="s">
        <v>220</v>
      </c>
      <c r="BH48" s="35" t="s">
        <v>221</v>
      </c>
      <c r="BI48" s="35" t="s">
        <v>595</v>
      </c>
      <c r="BJ48" s="35" t="s">
        <v>596</v>
      </c>
      <c r="BK48" s="35" t="s">
        <v>597</v>
      </c>
      <c r="BL48" s="35" t="s">
        <v>598</v>
      </c>
      <c r="BM48" s="35" t="s">
        <v>599</v>
      </c>
      <c r="BN48" s="35" t="s">
        <v>222</v>
      </c>
      <c r="BO48" s="35" t="s">
        <v>223</v>
      </c>
      <c r="BP48" s="35" t="s">
        <v>224</v>
      </c>
      <c r="BQ48" s="35" t="s">
        <v>225</v>
      </c>
      <c r="BR48" s="35" t="s">
        <v>226</v>
      </c>
      <c r="BW48" t="s">
        <v>735</v>
      </c>
    </row>
    <row r="49" spans="1:76" x14ac:dyDescent="0.35">
      <c r="A49" t="str">
        <f t="shared" ref="A49:A55" si="78">HLOOKUP(B49,$B$6:$BR$9,4,FALSE)</f>
        <v>cereals</v>
      </c>
      <c r="B49" t="s">
        <v>694</v>
      </c>
      <c r="C49" s="18">
        <f t="shared" ref="C49:C94" si="79">IFERROR(100*U49/U$95,"")</f>
        <v>8.2279878898531589</v>
      </c>
      <c r="D49" s="18">
        <f t="shared" ref="D49:D94" si="80">IFERROR(100*V49/V$95,"")</f>
        <v>9.0973069052087592</v>
      </c>
      <c r="E49" s="18">
        <f t="shared" ref="E49:E94" si="81">IFERROR(100*W49/W$95,"")</f>
        <v>8.3715540323130586</v>
      </c>
      <c r="F49" s="18">
        <f t="shared" ref="F49:F94" si="82">IFERROR(100*X49/X$95,"")</f>
        <v>7.3073921058959206</v>
      </c>
      <c r="G49" s="18">
        <f t="shared" ref="G49:G94" si="83">IFERROR(100*Y49/Y$95,"")</f>
        <v>4.9176453728679732</v>
      </c>
      <c r="H49" s="18">
        <f t="shared" ref="H49:H94" si="84">IFERROR(100*Z49/Z$95,"")</f>
        <v>0</v>
      </c>
      <c r="I49" s="18">
        <f t="shared" ref="I49:I94" si="85">IFERROR(100*AA49/AA$95,"")</f>
        <v>0</v>
      </c>
      <c r="J49" s="18">
        <f t="shared" ref="J49:J94" si="86">IFERROR(100*AB49/AB$95,"")</f>
        <v>0.57437147632357155</v>
      </c>
      <c r="K49" s="18">
        <f t="shared" ref="K49:K94" si="87">IFERROR(100*AC49/AC$95,"")</f>
        <v>0.13490869646036688</v>
      </c>
      <c r="L49" s="18">
        <f t="shared" ref="L49:L94" si="88">IFERROR(100*AD49/AD$95,"")</f>
        <v>3.358441047937278E-2</v>
      </c>
      <c r="M49" s="18">
        <f t="shared" ref="M49:M94" si="89">IFERROR(100*AE49/AE$95,"")</f>
        <v>0.74654847953516545</v>
      </c>
      <c r="N49" s="18">
        <f t="shared" ref="N49:N94" si="90">IFERROR(100*AF49/AF$95,"")</f>
        <v>0.54600180556245947</v>
      </c>
      <c r="O49" s="18">
        <f t="shared" ref="O49:O94" si="91">IFERROR(100*AG49/AG$95,"")</f>
        <v>1.1505294335652212</v>
      </c>
      <c r="P49" s="18">
        <f t="shared" ref="P49:P94" si="92">IFERROR(100*AH49/AH$95,"")</f>
        <v>1.1826923286049642</v>
      </c>
      <c r="Q49" s="18">
        <f t="shared" ref="Q49:Q94" si="93">IFERROR(100*AI49/AI$95,"")</f>
        <v>0.34343579907537342</v>
      </c>
      <c r="R49" s="18">
        <f t="shared" ref="R49:R94" si="94">IFERROR(100*AJ49/AJ$95,"")</f>
        <v>3.763758665972496</v>
      </c>
      <c r="T49" t="str">
        <f>B49</f>
        <v>cere</v>
      </c>
      <c r="U49" s="18">
        <f>IFERROR(AM49+BD49,"")</f>
        <v>21.592336271314089</v>
      </c>
      <c r="V49" s="18">
        <f t="shared" ref="V49:V77" si="95">IFERROR(AN49+BE49,"")</f>
        <v>34.008757391996632</v>
      </c>
      <c r="W49" s="18">
        <f t="shared" ref="W49:W77" si="96">IFERROR(AO49+BF49,"")</f>
        <v>48.797917410621018</v>
      </c>
      <c r="X49" s="18">
        <f t="shared" ref="X49:X77" si="97">IFERROR(AP49+BG49,"")</f>
        <v>58.360129755960806</v>
      </c>
      <c r="Y49" s="18">
        <f t="shared" ref="Y49:Y77" si="98">IFERROR(AQ49+BH49,"")</f>
        <v>70.310064555655543</v>
      </c>
      <c r="Z49" s="18">
        <f t="shared" ref="Z49:Z77" si="99">IFERROR(AR49+BI49,"")</f>
        <v>0</v>
      </c>
      <c r="AA49" s="18">
        <f t="shared" ref="AA49:AA77" si="100">IFERROR(AS49+BJ49,"")</f>
        <v>0</v>
      </c>
      <c r="AB49" s="18">
        <f t="shared" ref="AB49:AB77" si="101">IFERROR(AT49+BK49,"")</f>
        <v>0.15782146220139048</v>
      </c>
      <c r="AC49" s="18">
        <f t="shared" ref="AC49:AC77" si="102">IFERROR(AU49+BL49,"")</f>
        <v>7.3144636266794072E-2</v>
      </c>
      <c r="AD49" s="18">
        <f t="shared" ref="AD49:AD77" si="103">IFERROR(AV49+BM49,"")</f>
        <v>7.3855782384622523E-2</v>
      </c>
      <c r="AE49" s="18">
        <f t="shared" ref="AE49:AE77" si="104">IFERROR(AW49+BN49,"")</f>
        <v>8.9130930092433613E-2</v>
      </c>
      <c r="AF49" s="18">
        <f t="shared" ref="AF49:AF77" si="105">IFERROR(AX49+BO49,"")</f>
        <v>0.19880664086174737</v>
      </c>
      <c r="AG49" s="18">
        <f t="shared" ref="AG49:AG77" si="106">IFERROR(AY49+BP49,"")</f>
        <v>1.1860370979674681</v>
      </c>
      <c r="AH49" s="18">
        <f t="shared" ref="AH49:AH77" si="107">IFERROR(AZ49+BQ49,"")</f>
        <v>2.9466529645397888</v>
      </c>
      <c r="AI49" s="18">
        <f t="shared" ref="AI49:AI77" si="108">IFERROR(BA49+BR49,"")</f>
        <v>8.0447102073701089</v>
      </c>
      <c r="AJ49" s="18">
        <f>SUM(U49:AI49)</f>
        <v>245.83936510723245</v>
      </c>
      <c r="AL49" t="str">
        <f>"c"&amp;T49</f>
        <v>ccere</v>
      </c>
      <c r="AM49" s="18">
        <f>_xlfn.IFNA(INDEX(SAM!$B$8:$HA$215,MATCH($AL49,SAM!$A$8:$A$215,0),MATCH(AM$48,SAM!$B$7:$HA$7,0)),0)</f>
        <v>9.4518883653751828</v>
      </c>
      <c r="AN49" s="18">
        <f>_xlfn.IFNA(INDEX(SAM!$B$8:$HA$215,MATCH($AL49,SAM!$A$8:$A$215,0),MATCH(AN$48,SAM!$B$7:$HA$7,0)),0)</f>
        <v>14.436058321442351</v>
      </c>
      <c r="AO49" s="18">
        <f>_xlfn.IFNA(INDEX(SAM!$B$8:$HA$215,MATCH($AL49,SAM!$A$8:$A$215,0),MATCH(AO$48,SAM!$B$7:$HA$7,0)),0)</f>
        <v>20.620936349366456</v>
      </c>
      <c r="AP49" s="18">
        <f>_xlfn.IFNA(INDEX(SAM!$B$8:$HA$215,MATCH($AL49,SAM!$A$8:$A$215,0),MATCH(AP$48,SAM!$B$7:$HA$7,0)),0)</f>
        <v>26.930026393367516</v>
      </c>
      <c r="AQ49" s="18">
        <f>_xlfn.IFNA(INDEX(SAM!$B$8:$HA$215,MATCH($AL49,SAM!$A$8:$A$215,0),MATCH(AQ$48,SAM!$B$7:$HA$7,0)),0)</f>
        <v>33.028009878542328</v>
      </c>
      <c r="AR49" s="18">
        <f>_xlfn.IFNA(INDEX(SAM!$B$8:$HA$215,MATCH($AL49,SAM!$A$8:$A$215,0),MATCH(AR$48,SAM!$B$7:$HA$7,0)),0)</f>
        <v>0</v>
      </c>
      <c r="AS49" s="18">
        <f>_xlfn.IFNA(INDEX(SAM!$B$8:$HA$215,MATCH($AL49,SAM!$A$8:$A$215,0),MATCH(AS$48,SAM!$B$7:$HA$7,0)),0)</f>
        <v>0</v>
      </c>
      <c r="AT49" s="18">
        <f>_xlfn.IFNA(INDEX(SAM!$B$8:$HA$215,MATCH($AL49,SAM!$A$8:$A$215,0),MATCH(AT$48,SAM!$B$7:$HA$7,0)),0)</f>
        <v>0.15782146220139048</v>
      </c>
      <c r="AU49" s="18">
        <f>_xlfn.IFNA(INDEX(SAM!$B$8:$HA$215,MATCH($AL49,SAM!$A$8:$A$215,0),MATCH(AU$48,SAM!$B$7:$HA$7,0)),0)</f>
        <v>7.3144636266794072E-2</v>
      </c>
      <c r="AV49" s="18">
        <f>_xlfn.IFNA(INDEX(SAM!$B$8:$HA$215,MATCH($AL49,SAM!$A$8:$A$215,0),MATCH(AV$48,SAM!$B$7:$HA$7,0)),0)</f>
        <v>7.3855782384622523E-2</v>
      </c>
      <c r="AW49" s="18">
        <f>_xlfn.IFNA(INDEX(SAM!$B$8:$HA$215,MATCH($AL49,SAM!$A$8:$A$215,0),MATCH(AW$48,SAM!$B$7:$HA$7,0)),0)</f>
        <v>4.4487300304852324E-2</v>
      </c>
      <c r="AX49" s="18">
        <f>_xlfn.IFNA(INDEX(SAM!$B$8:$HA$215,MATCH($AL49,SAM!$A$8:$A$215,0),MATCH(AX$48,SAM!$B$7:$HA$7,0)),0)</f>
        <v>9.9229024757629763E-2</v>
      </c>
      <c r="AY49" s="18">
        <f>_xlfn.IFNA(INDEX(SAM!$B$8:$HA$215,MATCH($AL49,SAM!$A$8:$A$215,0),MATCH(AY$48,SAM!$B$7:$HA$7,0)),0)</f>
        <v>0.59198112243930356</v>
      </c>
      <c r="AZ49" s="18">
        <f>_xlfn.IFNA(INDEX(SAM!$B$8:$HA$215,MATCH($AL49,SAM!$A$8:$A$215,0),MATCH(AZ$48,SAM!$B$7:$HA$7,0)),0)</f>
        <v>1.4707574093103066</v>
      </c>
      <c r="BA49" s="18">
        <f>_xlfn.IFNA(INDEX(SAM!$B$8:$HA$215,MATCH($AL49,SAM!$A$8:$A$215,0),MATCH(BA$48,SAM!$B$7:$HA$7,0)),0)</f>
        <v>4.011247000749453</v>
      </c>
      <c r="BB49" s="18"/>
      <c r="BC49" t="str">
        <f>"a"&amp;T49</f>
        <v>acere</v>
      </c>
      <c r="BD49" s="18">
        <f>_xlfn.IFNA(INDEX(SAM!$B$8:$HA$215,MATCH($BC49,SAM!$A$8:$A$215,0),MATCH(BD$48,SAM!$B$7:$HA$7,0)),0)</f>
        <v>12.140447905938908</v>
      </c>
      <c r="BE49" s="18">
        <f>_xlfn.IFNA(INDEX(SAM!$B$8:$HA$215,MATCH($BC49,SAM!$A$8:$A$215,0),MATCH(BE$48,SAM!$B$7:$HA$7,0)),0)</f>
        <v>19.572699070554282</v>
      </c>
      <c r="BF49" s="18">
        <f>_xlfn.IFNA(INDEX(SAM!$B$8:$HA$215,MATCH($BC49,SAM!$A$8:$A$215,0),MATCH(BF$48,SAM!$B$7:$HA$7,0)),0)</f>
        <v>28.176981061254562</v>
      </c>
      <c r="BG49" s="18">
        <f>_xlfn.IFNA(INDEX(SAM!$B$8:$HA$215,MATCH($BC49,SAM!$A$8:$A$215,0),MATCH(BG$48,SAM!$B$7:$HA$7,0)),0)</f>
        <v>31.43010336259329</v>
      </c>
      <c r="BH49" s="18">
        <f>_xlfn.IFNA(INDEX(SAM!$B$8:$HA$215,MATCH($BC49,SAM!$A$8:$A$215,0),MATCH(BH$48,SAM!$B$7:$HA$7,0)),0)</f>
        <v>37.282054677113216</v>
      </c>
      <c r="BI49" s="18">
        <f>_xlfn.IFNA(INDEX(SAM!$B$8:$HA$215,MATCH($BC49,SAM!$A$8:$A$215,0),MATCH(BI$48,SAM!$B$7:$HA$7,0)),0)</f>
        <v>0</v>
      </c>
      <c r="BJ49" s="18">
        <f>_xlfn.IFNA(INDEX(SAM!$B$8:$HA$215,MATCH($BC49,SAM!$A$8:$A$215,0),MATCH(BJ$48,SAM!$B$7:$HA$7,0)),0)</f>
        <v>0</v>
      </c>
      <c r="BK49" s="18">
        <f>_xlfn.IFNA(INDEX(SAM!$B$8:$HA$215,MATCH($BC49,SAM!$A$8:$A$215,0),MATCH(BK$48,SAM!$B$7:$HA$7,0)),0)</f>
        <v>0</v>
      </c>
      <c r="BL49" s="18">
        <f>_xlfn.IFNA(INDEX(SAM!$B$8:$HA$215,MATCH($BC49,SAM!$A$8:$A$215,0),MATCH(BL$48,SAM!$B$7:$HA$7,0)),0)</f>
        <v>0</v>
      </c>
      <c r="BM49" s="18">
        <f>_xlfn.IFNA(INDEX(SAM!$B$8:$HA$215,MATCH($BC49,SAM!$A$8:$A$215,0),MATCH(BM$48,SAM!$B$7:$HA$7,0)),0)</f>
        <v>0</v>
      </c>
      <c r="BN49" s="18">
        <f>_xlfn.IFNA(INDEX(SAM!$B$8:$HA$215,MATCH($BC49,SAM!$A$8:$A$215,0),MATCH(BN$48,SAM!$B$7:$HA$7,0)),0)</f>
        <v>4.4643629787581289E-2</v>
      </c>
      <c r="BO49" s="18">
        <f>_xlfn.IFNA(INDEX(SAM!$B$8:$HA$215,MATCH($BC49,SAM!$A$8:$A$215,0),MATCH(BO$48,SAM!$B$7:$HA$7,0)),0)</f>
        <v>9.9577616104117625E-2</v>
      </c>
      <c r="BP49" s="18">
        <f>_xlfn.IFNA(INDEX(SAM!$B$8:$HA$215,MATCH($BC49,SAM!$A$8:$A$215,0),MATCH(BP$48,SAM!$B$7:$HA$7,0)),0)</f>
        <v>0.59405597552816469</v>
      </c>
      <c r="BQ49" s="18">
        <f>_xlfn.IFNA(INDEX(SAM!$B$8:$HA$215,MATCH($BC49,SAM!$A$8:$A$215,0),MATCH(BQ$48,SAM!$B$7:$HA$7,0)),0)</f>
        <v>1.4758955552294823</v>
      </c>
      <c r="BR49" s="18">
        <f>_xlfn.IFNA(INDEX(SAM!$B$8:$HA$215,MATCH($BC49,SAM!$A$8:$A$215,0),MATCH(BR$48,SAM!$B$7:$HA$7,0)),0)</f>
        <v>4.0334632066206559</v>
      </c>
      <c r="BT49" t="str">
        <f t="shared" ref="BT49:BT94" si="109">AL49</f>
        <v>ccere</v>
      </c>
      <c r="BU49" s="7">
        <f t="shared" ref="BU49:BU94" si="110">SUM(BD49:BR49,AM49:BA49)</f>
        <v>245.8393651072324</v>
      </c>
      <c r="BW49" s="51" t="s">
        <v>680</v>
      </c>
      <c r="BX49" s="43">
        <f>100*VLOOKUP(BW49,$BT$49:$BU$94,2,FALSE)/$BU$95</f>
        <v>3.7637586659724955</v>
      </c>
    </row>
    <row r="50" spans="1:76" x14ac:dyDescent="0.35">
      <c r="A50" s="26" t="str">
        <f t="shared" si="78"/>
        <v>cereals</v>
      </c>
      <c r="B50" s="26" t="s">
        <v>35</v>
      </c>
      <c r="C50" s="45">
        <f t="shared" si="79"/>
        <v>19.167798012734188</v>
      </c>
      <c r="D50" s="45">
        <f t="shared" si="80"/>
        <v>14.615817395113178</v>
      </c>
      <c r="E50" s="45">
        <f t="shared" si="81"/>
        <v>11.999021079399919</v>
      </c>
      <c r="F50" s="45">
        <f t="shared" si="82"/>
        <v>9.3474060662385927</v>
      </c>
      <c r="G50" s="45">
        <f t="shared" si="83"/>
        <v>6.2743535490358866</v>
      </c>
      <c r="H50" s="45">
        <f t="shared" si="84"/>
        <v>22.377672790328646</v>
      </c>
      <c r="I50" s="45">
        <f t="shared" si="85"/>
        <v>18.222094273116223</v>
      </c>
      <c r="J50" s="45">
        <f t="shared" si="86"/>
        <v>19.087531398308869</v>
      </c>
      <c r="K50" s="45">
        <f t="shared" si="87"/>
        <v>15.153754386315606</v>
      </c>
      <c r="L50" s="45">
        <f t="shared" si="88"/>
        <v>8.0340092602937876</v>
      </c>
      <c r="M50" s="45">
        <f t="shared" si="89"/>
        <v>18.325045466664736</v>
      </c>
      <c r="N50" s="45">
        <f t="shared" si="90"/>
        <v>18.806571221796023</v>
      </c>
      <c r="O50" s="45">
        <f t="shared" si="91"/>
        <v>15.281760782710467</v>
      </c>
      <c r="P50" s="45">
        <f t="shared" si="92"/>
        <v>11.935976711109621</v>
      </c>
      <c r="Q50" s="45">
        <f t="shared" si="93"/>
        <v>5.9994785270088249</v>
      </c>
      <c r="R50" s="45">
        <f t="shared" si="94"/>
        <v>8.7780825433911573</v>
      </c>
      <c r="S50" s="26"/>
      <c r="T50" s="26" t="str">
        <f t="shared" ref="T50:T77" si="111">B50</f>
        <v>gmll</v>
      </c>
      <c r="U50" s="45">
        <f t="shared" ref="U50:U77" si="112">IFERROR(AM50+BD50,"")</f>
        <v>50.301184908400344</v>
      </c>
      <c r="V50" s="45">
        <f t="shared" si="95"/>
        <v>54.638784099009335</v>
      </c>
      <c r="W50" s="45">
        <f t="shared" si="96"/>
        <v>69.94247870596098</v>
      </c>
      <c r="X50" s="45">
        <f t="shared" si="97"/>
        <v>74.652601502962142</v>
      </c>
      <c r="Y50" s="45">
        <f t="shared" si="98"/>
        <v>89.707607936039651</v>
      </c>
      <c r="Z50" s="45">
        <f t="shared" si="99"/>
        <v>3.8669752517483635</v>
      </c>
      <c r="AA50" s="45">
        <f t="shared" si="100"/>
        <v>4.0642792125868663</v>
      </c>
      <c r="AB50" s="45">
        <f t="shared" si="101"/>
        <v>5.2447279143768144</v>
      </c>
      <c r="AC50" s="45">
        <f t="shared" si="102"/>
        <v>8.2160444933882957</v>
      </c>
      <c r="AD50" s="45">
        <f t="shared" si="103"/>
        <v>17.667662797557067</v>
      </c>
      <c r="AE50" s="45">
        <f t="shared" si="104"/>
        <v>2.1878396262315687</v>
      </c>
      <c r="AF50" s="45">
        <f t="shared" si="105"/>
        <v>6.8477268987799524</v>
      </c>
      <c r="AG50" s="45">
        <f t="shared" si="106"/>
        <v>15.75338681635869</v>
      </c>
      <c r="AH50" s="45">
        <f t="shared" si="107"/>
        <v>29.738233951305784</v>
      </c>
      <c r="AI50" s="45">
        <f t="shared" si="108"/>
        <v>140.53300871681472</v>
      </c>
      <c r="AJ50" s="45">
        <f t="shared" ref="AJ50:AJ77" si="113">SUM(U50:AI50)</f>
        <v>573.36254283152061</v>
      </c>
      <c r="AK50" s="26"/>
      <c r="AL50" s="26" t="str">
        <f t="shared" ref="AL50:AL77" si="114">"c"&amp;T50</f>
        <v>cgmll</v>
      </c>
      <c r="AM50" s="45">
        <f>_xlfn.IFNA(INDEX(SAM!$B$8:$HA$215,MATCH($AL50,SAM!$A$8:$A$215,0),MATCH(AM$48,SAM!$B$7:$HA$7,0)),0)</f>
        <v>50.301184908400344</v>
      </c>
      <c r="AN50" s="45">
        <f>_xlfn.IFNA(INDEX(SAM!$B$8:$HA$215,MATCH($AL50,SAM!$A$8:$A$215,0),MATCH(AN$48,SAM!$B$7:$HA$7,0)),0)</f>
        <v>54.638784099009335</v>
      </c>
      <c r="AO50" s="45">
        <f>_xlfn.IFNA(INDEX(SAM!$B$8:$HA$215,MATCH($AL50,SAM!$A$8:$A$215,0),MATCH(AO$48,SAM!$B$7:$HA$7,0)),0)</f>
        <v>69.94247870596098</v>
      </c>
      <c r="AP50" s="45">
        <f>_xlfn.IFNA(INDEX(SAM!$B$8:$HA$215,MATCH($AL50,SAM!$A$8:$A$215,0),MATCH(AP$48,SAM!$B$7:$HA$7,0)),0)</f>
        <v>74.652601502962142</v>
      </c>
      <c r="AQ50" s="45">
        <f>_xlfn.IFNA(INDEX(SAM!$B$8:$HA$215,MATCH($AL50,SAM!$A$8:$A$215,0),MATCH(AQ$48,SAM!$B$7:$HA$7,0)),0)</f>
        <v>89.707607936039651</v>
      </c>
      <c r="AR50" s="45">
        <f>_xlfn.IFNA(INDEX(SAM!$B$8:$HA$215,MATCH($AL50,SAM!$A$8:$A$215,0),MATCH(AR$48,SAM!$B$7:$HA$7,0)),0)</f>
        <v>3.8669752517483635</v>
      </c>
      <c r="AS50" s="45">
        <f>_xlfn.IFNA(INDEX(SAM!$B$8:$HA$215,MATCH($AL50,SAM!$A$8:$A$215,0),MATCH(AS$48,SAM!$B$7:$HA$7,0)),0)</f>
        <v>4.0642792125868663</v>
      </c>
      <c r="AT50" s="45">
        <f>_xlfn.IFNA(INDEX(SAM!$B$8:$HA$215,MATCH($AL50,SAM!$A$8:$A$215,0),MATCH(AT$48,SAM!$B$7:$HA$7,0)),0)</f>
        <v>5.2447279143768144</v>
      </c>
      <c r="AU50" s="45">
        <f>_xlfn.IFNA(INDEX(SAM!$B$8:$HA$215,MATCH($AL50,SAM!$A$8:$A$215,0),MATCH(AU$48,SAM!$B$7:$HA$7,0)),0)</f>
        <v>8.2160444933882957</v>
      </c>
      <c r="AV50" s="45">
        <f>_xlfn.IFNA(INDEX(SAM!$B$8:$HA$215,MATCH($AL50,SAM!$A$8:$A$215,0),MATCH(AV$48,SAM!$B$7:$HA$7,0)),0)</f>
        <v>17.667662797557067</v>
      </c>
      <c r="AW50" s="45">
        <f>_xlfn.IFNA(INDEX(SAM!$B$8:$HA$215,MATCH($AL50,SAM!$A$8:$A$215,0),MATCH(AW$48,SAM!$B$7:$HA$7,0)),0)</f>
        <v>2.1878396262315687</v>
      </c>
      <c r="AX50" s="45">
        <f>_xlfn.IFNA(INDEX(SAM!$B$8:$HA$215,MATCH($AL50,SAM!$A$8:$A$215,0),MATCH(AX$48,SAM!$B$7:$HA$7,0)),0)</f>
        <v>6.8477268987799524</v>
      </c>
      <c r="AY50" s="45">
        <f>_xlfn.IFNA(INDEX(SAM!$B$8:$HA$215,MATCH($AL50,SAM!$A$8:$A$215,0),MATCH(AY$48,SAM!$B$7:$HA$7,0)),0)</f>
        <v>15.75338681635869</v>
      </c>
      <c r="AZ50" s="45">
        <f>_xlfn.IFNA(INDEX(SAM!$B$8:$HA$215,MATCH($AL50,SAM!$A$8:$A$215,0),MATCH(AZ$48,SAM!$B$7:$HA$7,0)),0)</f>
        <v>29.738233951305784</v>
      </c>
      <c r="BA50" s="45">
        <f>_xlfn.IFNA(INDEX(SAM!$B$8:$HA$215,MATCH($AL50,SAM!$A$8:$A$215,0),MATCH(BA$48,SAM!$B$7:$HA$7,0)),0)</f>
        <v>140.53300871681472</v>
      </c>
      <c r="BB50" s="45"/>
      <c r="BC50" s="26" t="str">
        <f t="shared" ref="BC50:BC77" si="115">"a"&amp;T50</f>
        <v>agmll</v>
      </c>
      <c r="BD50" s="45">
        <f>_xlfn.IFNA(INDEX(SAM!$B$8:$HA$215,MATCH($BC50,SAM!$A$8:$A$215,0),MATCH(BD$48,SAM!$B$7:$HA$7,0)),0)</f>
        <v>0</v>
      </c>
      <c r="BE50" s="45">
        <f>_xlfn.IFNA(INDEX(SAM!$B$8:$HA$215,MATCH($BC50,SAM!$A$8:$A$215,0),MATCH(BE$48,SAM!$B$7:$HA$7,0)),0)</f>
        <v>0</v>
      </c>
      <c r="BF50" s="45">
        <f>_xlfn.IFNA(INDEX(SAM!$B$8:$HA$215,MATCH($BC50,SAM!$A$8:$A$215,0),MATCH(BF$48,SAM!$B$7:$HA$7,0)),0)</f>
        <v>0</v>
      </c>
      <c r="BG50" s="45">
        <f>_xlfn.IFNA(INDEX(SAM!$B$8:$HA$215,MATCH($BC50,SAM!$A$8:$A$215,0),MATCH(BG$48,SAM!$B$7:$HA$7,0)),0)</f>
        <v>0</v>
      </c>
      <c r="BH50" s="45">
        <f>_xlfn.IFNA(INDEX(SAM!$B$8:$HA$215,MATCH($BC50,SAM!$A$8:$A$215,0),MATCH(BH$48,SAM!$B$7:$HA$7,0)),0)</f>
        <v>0</v>
      </c>
      <c r="BI50" s="45">
        <f>_xlfn.IFNA(INDEX(SAM!$B$8:$HA$215,MATCH($BC50,SAM!$A$8:$A$215,0),MATCH(BI$48,SAM!$B$7:$HA$7,0)),0)</f>
        <v>0</v>
      </c>
      <c r="BJ50" s="45">
        <f>_xlfn.IFNA(INDEX(SAM!$B$8:$HA$215,MATCH($BC50,SAM!$A$8:$A$215,0),MATCH(BJ$48,SAM!$B$7:$HA$7,0)),0)</f>
        <v>0</v>
      </c>
      <c r="BK50" s="45">
        <f>_xlfn.IFNA(INDEX(SAM!$B$8:$HA$215,MATCH($BC50,SAM!$A$8:$A$215,0),MATCH(BK$48,SAM!$B$7:$HA$7,0)),0)</f>
        <v>0</v>
      </c>
      <c r="BL50" s="45">
        <f>_xlfn.IFNA(INDEX(SAM!$B$8:$HA$215,MATCH($BC50,SAM!$A$8:$A$215,0),MATCH(BL$48,SAM!$B$7:$HA$7,0)),0)</f>
        <v>0</v>
      </c>
      <c r="BM50" s="45">
        <f>_xlfn.IFNA(INDEX(SAM!$B$8:$HA$215,MATCH($BC50,SAM!$A$8:$A$215,0),MATCH(BM$48,SAM!$B$7:$HA$7,0)),0)</f>
        <v>0</v>
      </c>
      <c r="BN50" s="45">
        <f>_xlfn.IFNA(INDEX(SAM!$B$8:$HA$215,MATCH($BC50,SAM!$A$8:$A$215,0),MATCH(BN$48,SAM!$B$7:$HA$7,0)),0)</f>
        <v>0</v>
      </c>
      <c r="BO50" s="45">
        <f>_xlfn.IFNA(INDEX(SAM!$B$8:$HA$215,MATCH($BC50,SAM!$A$8:$A$215,0),MATCH(BO$48,SAM!$B$7:$HA$7,0)),0)</f>
        <v>0</v>
      </c>
      <c r="BP50" s="45">
        <f>_xlfn.IFNA(INDEX(SAM!$B$8:$HA$215,MATCH($BC50,SAM!$A$8:$A$215,0),MATCH(BP$48,SAM!$B$7:$HA$7,0)),0)</f>
        <v>0</v>
      </c>
      <c r="BQ50" s="45">
        <f>_xlfn.IFNA(INDEX(SAM!$B$8:$HA$215,MATCH($BC50,SAM!$A$8:$A$215,0),MATCH(BQ$48,SAM!$B$7:$HA$7,0)),0)</f>
        <v>0</v>
      </c>
      <c r="BR50" s="45">
        <f>_xlfn.IFNA(INDEX(SAM!$B$8:$HA$215,MATCH($BC50,SAM!$A$8:$A$215,0),MATCH(BR$48,SAM!$B$7:$HA$7,0)),0)</f>
        <v>0</v>
      </c>
      <c r="BT50" t="str">
        <f t="shared" si="109"/>
        <v>cgmll</v>
      </c>
      <c r="BU50" s="7">
        <f t="shared" si="110"/>
        <v>573.36254283152061</v>
      </c>
      <c r="BW50" s="51" t="s">
        <v>177</v>
      </c>
      <c r="BX50" s="43">
        <f t="shared" ref="BX50:BX94" si="116">100*VLOOKUP(BW50,$BT$49:$BU$94,2,FALSE)/$BU$95</f>
        <v>1.9069240612108616</v>
      </c>
    </row>
    <row r="51" spans="1:76" x14ac:dyDescent="0.35">
      <c r="A51" s="26" t="str">
        <f t="shared" si="78"/>
        <v>roots</v>
      </c>
      <c r="B51" s="26" t="s">
        <v>26</v>
      </c>
      <c r="C51" s="45">
        <f t="shared" si="79"/>
        <v>4.4549955619024431</v>
      </c>
      <c r="D51" s="45">
        <f t="shared" si="80"/>
        <v>4.5106083918282351</v>
      </c>
      <c r="E51" s="45">
        <f t="shared" si="81"/>
        <v>4.7593821450735598</v>
      </c>
      <c r="F51" s="45">
        <f t="shared" si="82"/>
        <v>4.9215352420013918</v>
      </c>
      <c r="G51" s="45">
        <f t="shared" si="83"/>
        <v>3.7079648862842776</v>
      </c>
      <c r="H51" s="45">
        <f t="shared" si="84"/>
        <v>2.3900327591451971</v>
      </c>
      <c r="I51" s="45">
        <f t="shared" si="85"/>
        <v>3.2232009357619944</v>
      </c>
      <c r="J51" s="45">
        <f t="shared" si="86"/>
        <v>4.0713656835206935</v>
      </c>
      <c r="K51" s="45">
        <f t="shared" si="87"/>
        <v>3.0860785763225858</v>
      </c>
      <c r="L51" s="45">
        <f t="shared" si="88"/>
        <v>2.0839350193962884</v>
      </c>
      <c r="M51" s="45">
        <f t="shared" si="89"/>
        <v>3.6282522479683892</v>
      </c>
      <c r="N51" s="45">
        <f t="shared" si="90"/>
        <v>3.5714862186409646</v>
      </c>
      <c r="O51" s="45">
        <f t="shared" si="91"/>
        <v>3.9619702486468467</v>
      </c>
      <c r="P51" s="45">
        <f t="shared" si="92"/>
        <v>3.6213451398053276</v>
      </c>
      <c r="Q51" s="45">
        <f t="shared" si="93"/>
        <v>1.5471075977021553</v>
      </c>
      <c r="R51" s="45">
        <f t="shared" si="94"/>
        <v>3.1875477833189469</v>
      </c>
      <c r="S51" s="26"/>
      <c r="T51" s="26" t="str">
        <f t="shared" si="111"/>
        <v>root</v>
      </c>
      <c r="U51" s="45">
        <f t="shared" si="112"/>
        <v>11.691043247455013</v>
      </c>
      <c r="V51" s="45">
        <f t="shared" si="95"/>
        <v>16.862153611653973</v>
      </c>
      <c r="W51" s="45">
        <f t="shared" si="96"/>
        <v>27.742511837639515</v>
      </c>
      <c r="X51" s="45">
        <f t="shared" si="97"/>
        <v>39.305600569865753</v>
      </c>
      <c r="Y51" s="45">
        <f t="shared" si="98"/>
        <v>53.014650459170241</v>
      </c>
      <c r="Z51" s="45">
        <f t="shared" si="99"/>
        <v>0.4130097717076594</v>
      </c>
      <c r="AA51" s="45">
        <f t="shared" si="100"/>
        <v>0.71890685916025243</v>
      </c>
      <c r="AB51" s="45">
        <f t="shared" si="101"/>
        <v>1.1186991551924146</v>
      </c>
      <c r="AC51" s="45">
        <f t="shared" si="102"/>
        <v>1.6732064046158479</v>
      </c>
      <c r="AD51" s="45">
        <f t="shared" si="103"/>
        <v>4.5828004451874138</v>
      </c>
      <c r="AE51" s="45">
        <f t="shared" si="104"/>
        <v>0.43317950050978932</v>
      </c>
      <c r="AF51" s="45">
        <f t="shared" si="105"/>
        <v>1.3004264285913802</v>
      </c>
      <c r="AG51" s="45">
        <f t="shared" si="106"/>
        <v>4.0842446606318612</v>
      </c>
      <c r="AH51" s="45">
        <f t="shared" si="107"/>
        <v>9.0225049522523264</v>
      </c>
      <c r="AI51" s="45">
        <f t="shared" si="108"/>
        <v>36.239763928637103</v>
      </c>
      <c r="AJ51" s="45">
        <f t="shared" si="113"/>
        <v>208.20270183227058</v>
      </c>
      <c r="AK51" s="26"/>
      <c r="AL51" s="26" t="str">
        <f t="shared" si="114"/>
        <v>croot</v>
      </c>
      <c r="AM51" s="45">
        <f>_xlfn.IFNA(INDEX(SAM!$B$8:$HA$215,MATCH($AL51,SAM!$A$8:$A$215,0),MATCH(AM$48,SAM!$B$7:$HA$7,0)),0)</f>
        <v>6.9201627203456209</v>
      </c>
      <c r="AN51" s="45">
        <f>_xlfn.IFNA(INDEX(SAM!$B$8:$HA$215,MATCH($AL51,SAM!$A$8:$A$215,0),MATCH(AN$48,SAM!$B$7:$HA$7,0)),0)</f>
        <v>9.9414043031713675</v>
      </c>
      <c r="AO51" s="45">
        <f>_xlfn.IFNA(INDEX(SAM!$B$8:$HA$215,MATCH($AL51,SAM!$A$8:$A$215,0),MATCH(AO$48,SAM!$B$7:$HA$7,0)),0)</f>
        <v>17.256104923827749</v>
      </c>
      <c r="AP51" s="45">
        <f>_xlfn.IFNA(INDEX(SAM!$B$8:$HA$215,MATCH($AL51,SAM!$A$8:$A$215,0),MATCH(AP$48,SAM!$B$7:$HA$7,0)),0)</f>
        <v>21.555647113413158</v>
      </c>
      <c r="AQ51" s="45">
        <f>_xlfn.IFNA(INDEX(SAM!$B$8:$HA$215,MATCH($AL51,SAM!$A$8:$A$215,0),MATCH(AQ$48,SAM!$B$7:$HA$7,0)),0)</f>
        <v>31.573073325849474</v>
      </c>
      <c r="AR51" s="45">
        <f>_xlfn.IFNA(INDEX(SAM!$B$8:$HA$215,MATCH($AL51,SAM!$A$8:$A$215,0),MATCH(AR$48,SAM!$B$7:$HA$7,0)),0)</f>
        <v>0.4130097717076594</v>
      </c>
      <c r="AS51" s="45">
        <f>_xlfn.IFNA(INDEX(SAM!$B$8:$HA$215,MATCH($AL51,SAM!$A$8:$A$215,0),MATCH(AS$48,SAM!$B$7:$HA$7,0)),0)</f>
        <v>0.71890685916025243</v>
      </c>
      <c r="AT51" s="45">
        <f>_xlfn.IFNA(INDEX(SAM!$B$8:$HA$215,MATCH($AL51,SAM!$A$8:$A$215,0),MATCH(AT$48,SAM!$B$7:$HA$7,0)),0)</f>
        <v>1.1186991551924146</v>
      </c>
      <c r="AU51" s="45">
        <f>_xlfn.IFNA(INDEX(SAM!$B$8:$HA$215,MATCH($AL51,SAM!$A$8:$A$215,0),MATCH(AU$48,SAM!$B$7:$HA$7,0)),0)</f>
        <v>1.6732064046158479</v>
      </c>
      <c r="AV51" s="45">
        <f>_xlfn.IFNA(INDEX(SAM!$B$8:$HA$215,MATCH($AL51,SAM!$A$8:$A$215,0),MATCH(AV$48,SAM!$B$7:$HA$7,0)),0)</f>
        <v>4.5828004451874138</v>
      </c>
      <c r="AW51" s="45">
        <f>_xlfn.IFNA(INDEX(SAM!$B$8:$HA$215,MATCH($AL51,SAM!$A$8:$A$215,0),MATCH(AW$48,SAM!$B$7:$HA$7,0)),0)</f>
        <v>0.42844760644927465</v>
      </c>
      <c r="AX51" s="45">
        <f>_xlfn.IFNA(INDEX(SAM!$B$8:$HA$215,MATCH($AL51,SAM!$A$8:$A$215,0),MATCH(AX$48,SAM!$B$7:$HA$7,0)),0)</f>
        <v>1.2323838264578959</v>
      </c>
      <c r="AY51" s="45">
        <f>_xlfn.IFNA(INDEX(SAM!$B$8:$HA$215,MATCH($AL51,SAM!$A$8:$A$215,0),MATCH(AY$48,SAM!$B$7:$HA$7,0)),0)</f>
        <v>3.890345829600597</v>
      </c>
      <c r="AZ51" s="45">
        <f>_xlfn.IFNA(INDEX(SAM!$B$8:$HA$215,MATCH($AL51,SAM!$A$8:$A$215,0),MATCH(AZ$48,SAM!$B$7:$HA$7,0)),0)</f>
        <v>8.7159644199510424</v>
      </c>
      <c r="BA51" s="45">
        <f>_xlfn.IFNA(INDEX(SAM!$B$8:$HA$215,MATCH($AL51,SAM!$A$8:$A$215,0),MATCH(BA$48,SAM!$B$7:$HA$7,0)),0)</f>
        <v>35.709951718647446</v>
      </c>
      <c r="BB51" s="45"/>
      <c r="BC51" s="26" t="str">
        <f t="shared" si="115"/>
        <v>aroot</v>
      </c>
      <c r="BD51" s="45">
        <f>_xlfn.IFNA(INDEX(SAM!$B$8:$HA$215,MATCH($BC51,SAM!$A$8:$A$215,0),MATCH(BD$48,SAM!$B$7:$HA$7,0)),0)</f>
        <v>4.7708805271093917</v>
      </c>
      <c r="BE51" s="45">
        <f>_xlfn.IFNA(INDEX(SAM!$B$8:$HA$215,MATCH($BC51,SAM!$A$8:$A$215,0),MATCH(BE$48,SAM!$B$7:$HA$7,0)),0)</f>
        <v>6.9207493084826037</v>
      </c>
      <c r="BF51" s="45">
        <f>_xlfn.IFNA(INDEX(SAM!$B$8:$HA$215,MATCH($BC51,SAM!$A$8:$A$215,0),MATCH(BF$48,SAM!$B$7:$HA$7,0)),0)</f>
        <v>10.486406913811766</v>
      </c>
      <c r="BG51" s="45">
        <f>_xlfn.IFNA(INDEX(SAM!$B$8:$HA$215,MATCH($BC51,SAM!$A$8:$A$215,0),MATCH(BG$48,SAM!$B$7:$HA$7,0)),0)</f>
        <v>17.749953456452594</v>
      </c>
      <c r="BH51" s="45">
        <f>_xlfn.IFNA(INDEX(SAM!$B$8:$HA$215,MATCH($BC51,SAM!$A$8:$A$215,0),MATCH(BH$48,SAM!$B$7:$HA$7,0)),0)</f>
        <v>21.441577133320763</v>
      </c>
      <c r="BI51" s="45">
        <f>_xlfn.IFNA(INDEX(SAM!$B$8:$HA$215,MATCH($BC51,SAM!$A$8:$A$215,0),MATCH(BI$48,SAM!$B$7:$HA$7,0)),0)</f>
        <v>0</v>
      </c>
      <c r="BJ51" s="45">
        <f>_xlfn.IFNA(INDEX(SAM!$B$8:$HA$215,MATCH($BC51,SAM!$A$8:$A$215,0),MATCH(BJ$48,SAM!$B$7:$HA$7,0)),0)</f>
        <v>0</v>
      </c>
      <c r="BK51" s="45">
        <f>_xlfn.IFNA(INDEX(SAM!$B$8:$HA$215,MATCH($BC51,SAM!$A$8:$A$215,0),MATCH(BK$48,SAM!$B$7:$HA$7,0)),0)</f>
        <v>0</v>
      </c>
      <c r="BL51" s="45">
        <f>_xlfn.IFNA(INDEX(SAM!$B$8:$HA$215,MATCH($BC51,SAM!$A$8:$A$215,0),MATCH(BL$48,SAM!$B$7:$HA$7,0)),0)</f>
        <v>0</v>
      </c>
      <c r="BM51" s="45">
        <f>_xlfn.IFNA(INDEX(SAM!$B$8:$HA$215,MATCH($BC51,SAM!$A$8:$A$215,0),MATCH(BM$48,SAM!$B$7:$HA$7,0)),0)</f>
        <v>0</v>
      </c>
      <c r="BN51" s="45">
        <f>_xlfn.IFNA(INDEX(SAM!$B$8:$HA$215,MATCH($BC51,SAM!$A$8:$A$215,0),MATCH(BN$48,SAM!$B$7:$HA$7,0)),0)</f>
        <v>4.7318940605146778E-3</v>
      </c>
      <c r="BO51" s="45">
        <f>_xlfn.IFNA(INDEX(SAM!$B$8:$HA$215,MATCH($BC51,SAM!$A$8:$A$215,0),MATCH(BO$48,SAM!$B$7:$HA$7,0)),0)</f>
        <v>6.8042602133484328E-2</v>
      </c>
      <c r="BP51" s="45">
        <f>_xlfn.IFNA(INDEX(SAM!$B$8:$HA$215,MATCH($BC51,SAM!$A$8:$A$215,0),MATCH(BP$48,SAM!$B$7:$HA$7,0)),0)</f>
        <v>0.19389883103126437</v>
      </c>
      <c r="BQ51" s="45">
        <f>_xlfn.IFNA(INDEX(SAM!$B$8:$HA$215,MATCH($BC51,SAM!$A$8:$A$215,0),MATCH(BQ$48,SAM!$B$7:$HA$7,0)),0)</f>
        <v>0.30654053230128431</v>
      </c>
      <c r="BR51" s="45">
        <f>_xlfn.IFNA(INDEX(SAM!$B$8:$HA$215,MATCH($BC51,SAM!$A$8:$A$215,0),MATCH(BR$48,SAM!$B$7:$HA$7,0)),0)</f>
        <v>0.52981220998965961</v>
      </c>
      <c r="BT51" t="str">
        <f t="shared" si="109"/>
        <v>croot</v>
      </c>
      <c r="BU51" s="7">
        <f t="shared" si="110"/>
        <v>208.20270183227052</v>
      </c>
      <c r="BW51" s="51" t="s">
        <v>178</v>
      </c>
      <c r="BX51" s="43">
        <f t="shared" si="116"/>
        <v>0.78482191915382737</v>
      </c>
    </row>
    <row r="52" spans="1:76" x14ac:dyDescent="0.35">
      <c r="A52" s="47" t="str">
        <f t="shared" si="78"/>
        <v>pulses</v>
      </c>
      <c r="B52" s="47" t="s">
        <v>24</v>
      </c>
      <c r="C52" s="48">
        <f t="shared" si="79"/>
        <v>2.9322489046922855</v>
      </c>
      <c r="D52" s="48">
        <f t="shared" si="80"/>
        <v>3.1664244362741925</v>
      </c>
      <c r="E52" s="48">
        <f t="shared" si="81"/>
        <v>3.1118736231261668</v>
      </c>
      <c r="F52" s="48">
        <f t="shared" si="82"/>
        <v>2.7947240861004055</v>
      </c>
      <c r="G52" s="48">
        <f t="shared" si="83"/>
        <v>2.1223303113237559</v>
      </c>
      <c r="H52" s="48">
        <f t="shared" si="84"/>
        <v>1.6435541141523731</v>
      </c>
      <c r="I52" s="48">
        <f t="shared" si="85"/>
        <v>2.2440818536186486</v>
      </c>
      <c r="J52" s="48">
        <f t="shared" si="86"/>
        <v>1.9466824854159159</v>
      </c>
      <c r="K52" s="48">
        <f t="shared" si="87"/>
        <v>2.0101015304789716</v>
      </c>
      <c r="L52" s="48">
        <f t="shared" si="88"/>
        <v>1.092094875925548</v>
      </c>
      <c r="M52" s="48">
        <f t="shared" si="89"/>
        <v>1.9660748340838152</v>
      </c>
      <c r="N52" s="48">
        <f t="shared" si="90"/>
        <v>2.514779282668171</v>
      </c>
      <c r="O52" s="48">
        <f t="shared" si="91"/>
        <v>2.23213919453605</v>
      </c>
      <c r="P52" s="48">
        <f t="shared" si="92"/>
        <v>2.1298912198098172</v>
      </c>
      <c r="Q52" s="48">
        <f t="shared" si="93"/>
        <v>0.881626744192474</v>
      </c>
      <c r="R52" s="48">
        <f t="shared" si="94"/>
        <v>1.9069240612108618</v>
      </c>
      <c r="S52" s="47"/>
      <c r="T52" s="47" t="str">
        <f t="shared" si="111"/>
        <v>puls</v>
      </c>
      <c r="U52" s="48">
        <f t="shared" si="112"/>
        <v>7.6949681050682948</v>
      </c>
      <c r="V52" s="48">
        <f t="shared" si="95"/>
        <v>11.837147144247915</v>
      </c>
      <c r="W52" s="48">
        <f t="shared" si="96"/>
        <v>18.139159284819637</v>
      </c>
      <c r="X52" s="48">
        <f t="shared" si="97"/>
        <v>22.319927264520555</v>
      </c>
      <c r="Y52" s="48">
        <f t="shared" si="98"/>
        <v>30.344030503072236</v>
      </c>
      <c r="Z52" s="48">
        <f t="shared" si="99"/>
        <v>0.28401447924840678</v>
      </c>
      <c r="AA52" s="48">
        <f t="shared" si="100"/>
        <v>0.50052288679362289</v>
      </c>
      <c r="AB52" s="48">
        <f t="shared" si="101"/>
        <v>0.5348947309442994</v>
      </c>
      <c r="AC52" s="48">
        <f t="shared" si="102"/>
        <v>1.0898344522171259</v>
      </c>
      <c r="AD52" s="48">
        <f t="shared" si="103"/>
        <v>2.4016357693477359</v>
      </c>
      <c r="AE52" s="48">
        <f t="shared" si="104"/>
        <v>0.2347310099704826</v>
      </c>
      <c r="AF52" s="48">
        <f t="shared" si="105"/>
        <v>0.91566514359956974</v>
      </c>
      <c r="AG52" s="48">
        <f t="shared" si="106"/>
        <v>2.3010275229059607</v>
      </c>
      <c r="AH52" s="48">
        <f t="shared" si="107"/>
        <v>5.3065790021676502</v>
      </c>
      <c r="AI52" s="48">
        <f t="shared" si="108"/>
        <v>20.651404679391344</v>
      </c>
      <c r="AJ52" s="48">
        <f t="shared" si="113"/>
        <v>124.55554197831485</v>
      </c>
      <c r="AK52" s="47"/>
      <c r="AL52" s="47" t="str">
        <f t="shared" si="114"/>
        <v>cpuls</v>
      </c>
      <c r="AM52" s="48">
        <f>_xlfn.IFNA(INDEX(SAM!$B$8:$HA$215,MATCH($AL52,SAM!$A$8:$A$215,0),MATCH(AM$48,SAM!$B$7:$HA$7,0)),0)</f>
        <v>5.5598561833540945</v>
      </c>
      <c r="AN52" s="48">
        <f>_xlfn.IFNA(INDEX(SAM!$B$8:$HA$215,MATCH($AL52,SAM!$A$8:$A$215,0),MATCH(AN$48,SAM!$B$7:$HA$7,0)),0)</f>
        <v>7.6090995280946574</v>
      </c>
      <c r="AO52" s="48">
        <f>_xlfn.IFNA(INDEX(SAM!$B$8:$HA$215,MATCH($AL52,SAM!$A$8:$A$215,0),MATCH(AO$48,SAM!$B$7:$HA$7,0)),0)</f>
        <v>12.352470913315265</v>
      </c>
      <c r="AP52" s="48">
        <f>_xlfn.IFNA(INDEX(SAM!$B$8:$HA$215,MATCH($AL52,SAM!$A$8:$A$215,0),MATCH(AP$48,SAM!$B$7:$HA$7,0)),0)</f>
        <v>14.934000589644867</v>
      </c>
      <c r="AQ52" s="48">
        <f>_xlfn.IFNA(INDEX(SAM!$B$8:$HA$215,MATCH($AL52,SAM!$A$8:$A$215,0),MATCH(AQ$48,SAM!$B$7:$HA$7,0)),0)</f>
        <v>20.387075451672846</v>
      </c>
      <c r="AR52" s="48">
        <f>_xlfn.IFNA(INDEX(SAM!$B$8:$HA$215,MATCH($AL52,SAM!$A$8:$A$215,0),MATCH(AR$48,SAM!$B$7:$HA$7,0)),0)</f>
        <v>0.28401447924840678</v>
      </c>
      <c r="AS52" s="48">
        <f>_xlfn.IFNA(INDEX(SAM!$B$8:$HA$215,MATCH($AL52,SAM!$A$8:$A$215,0),MATCH(AS$48,SAM!$B$7:$HA$7,0)),0)</f>
        <v>0.50052288679362289</v>
      </c>
      <c r="AT52" s="48">
        <f>_xlfn.IFNA(INDEX(SAM!$B$8:$HA$215,MATCH($AL52,SAM!$A$8:$A$215,0),MATCH(AT$48,SAM!$B$7:$HA$7,0)),0)</f>
        <v>0.5348947309442994</v>
      </c>
      <c r="AU52" s="48">
        <f>_xlfn.IFNA(INDEX(SAM!$B$8:$HA$215,MATCH($AL52,SAM!$A$8:$A$215,0),MATCH(AU$48,SAM!$B$7:$HA$7,0)),0)</f>
        <v>1.0898344522171259</v>
      </c>
      <c r="AV52" s="48">
        <f>_xlfn.IFNA(INDEX(SAM!$B$8:$HA$215,MATCH($AL52,SAM!$A$8:$A$215,0),MATCH(AV$48,SAM!$B$7:$HA$7,0)),0)</f>
        <v>2.4016357693477359</v>
      </c>
      <c r="AW52" s="48">
        <f>_xlfn.IFNA(INDEX(SAM!$B$8:$HA$215,MATCH($AL52,SAM!$A$8:$A$215,0),MATCH(AW$48,SAM!$B$7:$HA$7,0)),0)</f>
        <v>0.2347310099704826</v>
      </c>
      <c r="AX52" s="48">
        <f>_xlfn.IFNA(INDEX(SAM!$B$8:$HA$215,MATCH($AL52,SAM!$A$8:$A$215,0),MATCH(AX$48,SAM!$B$7:$HA$7,0)),0)</f>
        <v>0.91566514359956974</v>
      </c>
      <c r="AY52" s="48">
        <f>_xlfn.IFNA(INDEX(SAM!$B$8:$HA$215,MATCH($AL52,SAM!$A$8:$A$215,0),MATCH(AY$48,SAM!$B$7:$HA$7,0)),0)</f>
        <v>2.288840226725624</v>
      </c>
      <c r="AZ52" s="48">
        <f>_xlfn.IFNA(INDEX(SAM!$B$8:$HA$215,MATCH($AL52,SAM!$A$8:$A$215,0),MATCH(AZ$48,SAM!$B$7:$HA$7,0)),0)</f>
        <v>4.942484583735256</v>
      </c>
      <c r="BA52" s="48">
        <f>_xlfn.IFNA(INDEX(SAM!$B$8:$HA$215,MATCH($AL52,SAM!$A$8:$A$215,0),MATCH(BA$48,SAM!$B$7:$HA$7,0)),0)</f>
        <v>20.131368221987547</v>
      </c>
      <c r="BB52" s="48"/>
      <c r="BC52" s="47" t="str">
        <f t="shared" si="115"/>
        <v>apuls</v>
      </c>
      <c r="BD52" s="48">
        <f>_xlfn.IFNA(INDEX(SAM!$B$8:$HA$215,MATCH($BC52,SAM!$A$8:$A$215,0),MATCH(BD$48,SAM!$B$7:$HA$7,0)),0)</f>
        <v>2.1351119217141998</v>
      </c>
      <c r="BE52" s="48">
        <f>_xlfn.IFNA(INDEX(SAM!$B$8:$HA$215,MATCH($BC52,SAM!$A$8:$A$215,0),MATCH(BE$48,SAM!$B$7:$HA$7,0)),0)</f>
        <v>4.2280476161532583</v>
      </c>
      <c r="BF52" s="48">
        <f>_xlfn.IFNA(INDEX(SAM!$B$8:$HA$215,MATCH($BC52,SAM!$A$8:$A$215,0),MATCH(BF$48,SAM!$B$7:$HA$7,0)),0)</f>
        <v>5.7866883715043729</v>
      </c>
      <c r="BG52" s="48">
        <f>_xlfn.IFNA(INDEX(SAM!$B$8:$HA$215,MATCH($BC52,SAM!$A$8:$A$215,0),MATCH(BG$48,SAM!$B$7:$HA$7,0)),0)</f>
        <v>7.3859266748756864</v>
      </c>
      <c r="BH52" s="48">
        <f>_xlfn.IFNA(INDEX(SAM!$B$8:$HA$215,MATCH($BC52,SAM!$A$8:$A$215,0),MATCH(BH$48,SAM!$B$7:$HA$7,0)),0)</f>
        <v>9.9569550513993903</v>
      </c>
      <c r="BI52" s="48">
        <f>_xlfn.IFNA(INDEX(SAM!$B$8:$HA$215,MATCH($BC52,SAM!$A$8:$A$215,0),MATCH(BI$48,SAM!$B$7:$HA$7,0)),0)</f>
        <v>0</v>
      </c>
      <c r="BJ52" s="48">
        <f>_xlfn.IFNA(INDEX(SAM!$B$8:$HA$215,MATCH($BC52,SAM!$A$8:$A$215,0),MATCH(BJ$48,SAM!$B$7:$HA$7,0)),0)</f>
        <v>0</v>
      </c>
      <c r="BK52" s="48">
        <f>_xlfn.IFNA(INDEX(SAM!$B$8:$HA$215,MATCH($BC52,SAM!$A$8:$A$215,0),MATCH(BK$48,SAM!$B$7:$HA$7,0)),0)</f>
        <v>0</v>
      </c>
      <c r="BL52" s="48">
        <f>_xlfn.IFNA(INDEX(SAM!$B$8:$HA$215,MATCH($BC52,SAM!$A$8:$A$215,0),MATCH(BL$48,SAM!$B$7:$HA$7,0)),0)</f>
        <v>0</v>
      </c>
      <c r="BM52" s="48">
        <f>_xlfn.IFNA(INDEX(SAM!$B$8:$HA$215,MATCH($BC52,SAM!$A$8:$A$215,0),MATCH(BM$48,SAM!$B$7:$HA$7,0)),0)</f>
        <v>0</v>
      </c>
      <c r="BN52" s="48">
        <f>_xlfn.IFNA(INDEX(SAM!$B$8:$HA$215,MATCH($BC52,SAM!$A$8:$A$215,0),MATCH(BN$48,SAM!$B$7:$HA$7,0)),0)</f>
        <v>0</v>
      </c>
      <c r="BO52" s="48">
        <f>_xlfn.IFNA(INDEX(SAM!$B$8:$HA$215,MATCH($BC52,SAM!$A$8:$A$215,0),MATCH(BO$48,SAM!$B$7:$HA$7,0)),0)</f>
        <v>0</v>
      </c>
      <c r="BP52" s="48">
        <f>_xlfn.IFNA(INDEX(SAM!$B$8:$HA$215,MATCH($BC52,SAM!$A$8:$A$215,0),MATCH(BP$48,SAM!$B$7:$HA$7,0)),0)</f>
        <v>1.218729618033655E-2</v>
      </c>
      <c r="BQ52" s="48">
        <f>_xlfn.IFNA(INDEX(SAM!$B$8:$HA$215,MATCH($BC52,SAM!$A$8:$A$215,0),MATCH(BQ$48,SAM!$B$7:$HA$7,0)),0)</f>
        <v>0.36409441843239443</v>
      </c>
      <c r="BR52" s="48">
        <f>_xlfn.IFNA(INDEX(SAM!$B$8:$HA$215,MATCH($BC52,SAM!$A$8:$A$215,0),MATCH(BR$48,SAM!$B$7:$HA$7,0)),0)</f>
        <v>0.52003645740379845</v>
      </c>
      <c r="BT52" t="str">
        <f t="shared" si="109"/>
        <v>cpuls</v>
      </c>
      <c r="BU52" s="7">
        <f t="shared" si="110"/>
        <v>124.55554197831484</v>
      </c>
      <c r="BW52" s="51" t="s">
        <v>179</v>
      </c>
      <c r="BX52" s="43">
        <f t="shared" si="116"/>
        <v>3.1875477833189461</v>
      </c>
    </row>
    <row r="53" spans="1:76" x14ac:dyDescent="0.35">
      <c r="A53" s="26" t="str">
        <f t="shared" si="78"/>
        <v>vegetables</v>
      </c>
      <c r="B53" s="26" t="s">
        <v>27</v>
      </c>
      <c r="C53" s="45">
        <f t="shared" si="79"/>
        <v>11.354008690494489</v>
      </c>
      <c r="D53" s="45">
        <f t="shared" si="80"/>
        <v>9.8373390490691222</v>
      </c>
      <c r="E53" s="45">
        <f t="shared" si="81"/>
        <v>8.1848848968197778</v>
      </c>
      <c r="F53" s="45">
        <f t="shared" si="82"/>
        <v>7.1705287088395764</v>
      </c>
      <c r="G53" s="45">
        <f t="shared" si="83"/>
        <v>4.6493467424869026</v>
      </c>
      <c r="H53" s="45">
        <f t="shared" si="84"/>
        <v>9.1680143409877477</v>
      </c>
      <c r="I53" s="45">
        <f t="shared" si="85"/>
        <v>7.6729356167154856</v>
      </c>
      <c r="J53" s="45">
        <f t="shared" si="86"/>
        <v>6.232677297616771</v>
      </c>
      <c r="K53" s="45">
        <f t="shared" si="87"/>
        <v>6.5513071567315757</v>
      </c>
      <c r="L53" s="45">
        <f t="shared" si="88"/>
        <v>3.4096717956817191</v>
      </c>
      <c r="M53" s="45">
        <f t="shared" si="89"/>
        <v>9.2551897272057886</v>
      </c>
      <c r="N53" s="45">
        <f t="shared" si="90"/>
        <v>8.2543017457834083</v>
      </c>
      <c r="O53" s="45">
        <f t="shared" si="91"/>
        <v>6.7858404398478536</v>
      </c>
      <c r="P53" s="45">
        <f t="shared" si="92"/>
        <v>5.826578037752804</v>
      </c>
      <c r="Q53" s="45">
        <f t="shared" si="93"/>
        <v>2.7121482924529916</v>
      </c>
      <c r="R53" s="45">
        <f t="shared" si="94"/>
        <v>5.2548374450280511</v>
      </c>
      <c r="S53" s="26"/>
      <c r="T53" s="26" t="str">
        <f t="shared" si="111"/>
        <v>vege</v>
      </c>
      <c r="U53" s="45">
        <f t="shared" si="112"/>
        <v>29.795811193999555</v>
      </c>
      <c r="V53" s="45">
        <f t="shared" si="95"/>
        <v>36.775243551589227</v>
      </c>
      <c r="W53" s="45">
        <f t="shared" si="96"/>
        <v>47.709820144360364</v>
      </c>
      <c r="X53" s="45">
        <f t="shared" si="97"/>
        <v>57.267076927359305</v>
      </c>
      <c r="Y53" s="45">
        <f t="shared" si="98"/>
        <v>66.474063259920484</v>
      </c>
      <c r="Z53" s="45">
        <f t="shared" si="99"/>
        <v>1.5842793348732775</v>
      </c>
      <c r="AA53" s="45">
        <f t="shared" si="100"/>
        <v>1.7113813735747447</v>
      </c>
      <c r="AB53" s="45">
        <f t="shared" si="101"/>
        <v>1.7125680593253407</v>
      </c>
      <c r="AC53" s="45">
        <f t="shared" si="102"/>
        <v>3.5519799065878015</v>
      </c>
      <c r="AD53" s="45">
        <f t="shared" si="103"/>
        <v>7.4982402415406995</v>
      </c>
      <c r="AE53" s="45">
        <f t="shared" si="104"/>
        <v>1.1049833884618228</v>
      </c>
      <c r="AF53" s="45">
        <f t="shared" si="105"/>
        <v>3.0055028866580082</v>
      </c>
      <c r="AG53" s="45">
        <f t="shared" si="106"/>
        <v>6.9952651950917666</v>
      </c>
      <c r="AH53" s="45">
        <f t="shared" si="107"/>
        <v>14.516796154683929</v>
      </c>
      <c r="AI53" s="45">
        <f t="shared" si="108"/>
        <v>63.529914793214459</v>
      </c>
      <c r="AJ53" s="45">
        <f t="shared" si="113"/>
        <v>343.23292641124078</v>
      </c>
      <c r="AK53" s="26"/>
      <c r="AL53" s="26" t="str">
        <f t="shared" si="114"/>
        <v>cvege</v>
      </c>
      <c r="AM53" s="45">
        <f>_xlfn.IFNA(INDEX(SAM!$B$8:$HA$215,MATCH($AL53,SAM!$A$8:$A$215,0),MATCH(AM$48,SAM!$B$7:$HA$7,0)),0)</f>
        <v>19.095826526231114</v>
      </c>
      <c r="AN53" s="45">
        <f>_xlfn.IFNA(INDEX(SAM!$B$8:$HA$215,MATCH($AL53,SAM!$A$8:$A$215,0),MATCH(AN$48,SAM!$B$7:$HA$7,0)),0)</f>
        <v>21.570687607441627</v>
      </c>
      <c r="AO53" s="45">
        <f>_xlfn.IFNA(INDEX(SAM!$B$8:$HA$215,MATCH($AL53,SAM!$A$8:$A$215,0),MATCH(AO$48,SAM!$B$7:$HA$7,0)),0)</f>
        <v>29.597975251408272</v>
      </c>
      <c r="AP53" s="45">
        <f>_xlfn.IFNA(INDEX(SAM!$B$8:$HA$215,MATCH($AL53,SAM!$A$8:$A$215,0),MATCH(AP$48,SAM!$B$7:$HA$7,0)),0)</f>
        <v>37.162077627969872</v>
      </c>
      <c r="AQ53" s="45">
        <f>_xlfn.IFNA(INDEX(SAM!$B$8:$HA$215,MATCH($AL53,SAM!$A$8:$A$215,0),MATCH(AQ$48,SAM!$B$7:$HA$7,0)),0)</f>
        <v>48.698996545376772</v>
      </c>
      <c r="AR53" s="45">
        <f>_xlfn.IFNA(INDEX(SAM!$B$8:$HA$215,MATCH($AL53,SAM!$A$8:$A$215,0),MATCH(AR$48,SAM!$B$7:$HA$7,0)),0)</f>
        <v>1.5842793348732775</v>
      </c>
      <c r="AS53" s="45">
        <f>_xlfn.IFNA(INDEX(SAM!$B$8:$HA$215,MATCH($AL53,SAM!$A$8:$A$215,0),MATCH(AS$48,SAM!$B$7:$HA$7,0)),0)</f>
        <v>1.7113813735747447</v>
      </c>
      <c r="AT53" s="45">
        <f>_xlfn.IFNA(INDEX(SAM!$B$8:$HA$215,MATCH($AL53,SAM!$A$8:$A$215,0),MATCH(AT$48,SAM!$B$7:$HA$7,0)),0)</f>
        <v>1.7125680593253407</v>
      </c>
      <c r="AU53" s="45">
        <f>_xlfn.IFNA(INDEX(SAM!$B$8:$HA$215,MATCH($AL53,SAM!$A$8:$A$215,0),MATCH(AU$48,SAM!$B$7:$HA$7,0)),0)</f>
        <v>3.5519799065878015</v>
      </c>
      <c r="AV53" s="45">
        <f>_xlfn.IFNA(INDEX(SAM!$B$8:$HA$215,MATCH($AL53,SAM!$A$8:$A$215,0),MATCH(AV$48,SAM!$B$7:$HA$7,0)),0)</f>
        <v>7.4982402415406995</v>
      </c>
      <c r="AW53" s="45">
        <f>_xlfn.IFNA(INDEX(SAM!$B$8:$HA$215,MATCH($AL53,SAM!$A$8:$A$215,0),MATCH(AW$48,SAM!$B$7:$HA$7,0)),0)</f>
        <v>0.99223788443410488</v>
      </c>
      <c r="AX53" s="45">
        <f>_xlfn.IFNA(INDEX(SAM!$B$8:$HA$215,MATCH($AL53,SAM!$A$8:$A$215,0),MATCH(AX$48,SAM!$B$7:$HA$7,0)),0)</f>
        <v>2.79970228156628</v>
      </c>
      <c r="AY53" s="45">
        <f>_xlfn.IFNA(INDEX(SAM!$B$8:$HA$215,MATCH($AL53,SAM!$A$8:$A$215,0),MATCH(AY$48,SAM!$B$7:$HA$7,0)),0)</f>
        <v>6.6352446908082285</v>
      </c>
      <c r="AZ53" s="45">
        <f>_xlfn.IFNA(INDEX(SAM!$B$8:$HA$215,MATCH($AL53,SAM!$A$8:$A$215,0),MATCH(AZ$48,SAM!$B$7:$HA$7,0)),0)</f>
        <v>13.883716431006096</v>
      </c>
      <c r="BA53" s="45">
        <f>_xlfn.IFNA(INDEX(SAM!$B$8:$HA$215,MATCH($AL53,SAM!$A$8:$A$215,0),MATCH(BA$48,SAM!$B$7:$HA$7,0)),0)</f>
        <v>62.427713236648671</v>
      </c>
      <c r="BB53" s="45"/>
      <c r="BC53" s="26" t="str">
        <f t="shared" si="115"/>
        <v>avege</v>
      </c>
      <c r="BD53" s="45">
        <f>_xlfn.IFNA(INDEX(SAM!$B$8:$HA$215,MATCH($BC53,SAM!$A$8:$A$215,0),MATCH(BD$48,SAM!$B$7:$HA$7,0)),0)</f>
        <v>10.699984667768438</v>
      </c>
      <c r="BE53" s="45">
        <f>_xlfn.IFNA(INDEX(SAM!$B$8:$HA$215,MATCH($BC53,SAM!$A$8:$A$215,0),MATCH(BE$48,SAM!$B$7:$HA$7,0)),0)</f>
        <v>15.204555944147604</v>
      </c>
      <c r="BF53" s="45">
        <f>_xlfn.IFNA(INDEX(SAM!$B$8:$HA$215,MATCH($BC53,SAM!$A$8:$A$215,0),MATCH(BF$48,SAM!$B$7:$HA$7,0)),0)</f>
        <v>18.111844892952089</v>
      </c>
      <c r="BG53" s="45">
        <f>_xlfn.IFNA(INDEX(SAM!$B$8:$HA$215,MATCH($BC53,SAM!$A$8:$A$215,0),MATCH(BG$48,SAM!$B$7:$HA$7,0)),0)</f>
        <v>20.104999299389434</v>
      </c>
      <c r="BH53" s="45">
        <f>_xlfn.IFNA(INDEX(SAM!$B$8:$HA$215,MATCH($BC53,SAM!$A$8:$A$215,0),MATCH(BH$48,SAM!$B$7:$HA$7,0)),0)</f>
        <v>17.775066714543712</v>
      </c>
      <c r="BI53" s="45">
        <f>_xlfn.IFNA(INDEX(SAM!$B$8:$HA$215,MATCH($BC53,SAM!$A$8:$A$215,0),MATCH(BI$48,SAM!$B$7:$HA$7,0)),0)</f>
        <v>0</v>
      </c>
      <c r="BJ53" s="45">
        <f>_xlfn.IFNA(INDEX(SAM!$B$8:$HA$215,MATCH($BC53,SAM!$A$8:$A$215,0),MATCH(BJ$48,SAM!$B$7:$HA$7,0)),0)</f>
        <v>0</v>
      </c>
      <c r="BK53" s="45">
        <f>_xlfn.IFNA(INDEX(SAM!$B$8:$HA$215,MATCH($BC53,SAM!$A$8:$A$215,0),MATCH(BK$48,SAM!$B$7:$HA$7,0)),0)</f>
        <v>0</v>
      </c>
      <c r="BL53" s="45">
        <f>_xlfn.IFNA(INDEX(SAM!$B$8:$HA$215,MATCH($BC53,SAM!$A$8:$A$215,0),MATCH(BL$48,SAM!$B$7:$HA$7,0)),0)</f>
        <v>0</v>
      </c>
      <c r="BM53" s="45">
        <f>_xlfn.IFNA(INDEX(SAM!$B$8:$HA$215,MATCH($BC53,SAM!$A$8:$A$215,0),MATCH(BM$48,SAM!$B$7:$HA$7,0)),0)</f>
        <v>0</v>
      </c>
      <c r="BN53" s="45">
        <f>_xlfn.IFNA(INDEX(SAM!$B$8:$HA$215,MATCH($BC53,SAM!$A$8:$A$215,0),MATCH(BN$48,SAM!$B$7:$HA$7,0)),0)</f>
        <v>0.11274550402771796</v>
      </c>
      <c r="BO53" s="45">
        <f>_xlfn.IFNA(INDEX(SAM!$B$8:$HA$215,MATCH($BC53,SAM!$A$8:$A$215,0),MATCH(BO$48,SAM!$B$7:$HA$7,0)),0)</f>
        <v>0.2058006050917284</v>
      </c>
      <c r="BP53" s="45">
        <f>_xlfn.IFNA(INDEX(SAM!$B$8:$HA$215,MATCH($BC53,SAM!$A$8:$A$215,0),MATCH(BP$48,SAM!$B$7:$HA$7,0)),0)</f>
        <v>0.3600205042835376</v>
      </c>
      <c r="BQ53" s="45">
        <f>_xlfn.IFNA(INDEX(SAM!$B$8:$HA$215,MATCH($BC53,SAM!$A$8:$A$215,0),MATCH(BQ$48,SAM!$B$7:$HA$7,0)),0)</f>
        <v>0.6330797236778325</v>
      </c>
      <c r="BR53" s="45">
        <f>_xlfn.IFNA(INDEX(SAM!$B$8:$HA$215,MATCH($BC53,SAM!$A$8:$A$215,0),MATCH(BR$48,SAM!$B$7:$HA$7,0)),0)</f>
        <v>1.1022015565657901</v>
      </c>
      <c r="BT53" t="str">
        <f t="shared" si="109"/>
        <v>cvege</v>
      </c>
      <c r="BU53" s="7">
        <f t="shared" si="110"/>
        <v>343.23292641124084</v>
      </c>
      <c r="BW53" s="51" t="s">
        <v>180</v>
      </c>
      <c r="BX53" s="43">
        <f t="shared" si="116"/>
        <v>5.2548374450280519</v>
      </c>
    </row>
    <row r="54" spans="1:76" x14ac:dyDescent="0.35">
      <c r="A54" t="str">
        <f t="shared" si="78"/>
        <v>fruits</v>
      </c>
      <c r="B54" t="s">
        <v>28</v>
      </c>
      <c r="C54" s="18">
        <f t="shared" si="79"/>
        <v>1.8828582441083066</v>
      </c>
      <c r="D54" s="18">
        <f t="shared" si="80"/>
        <v>1.7663909427475073</v>
      </c>
      <c r="E54" s="18">
        <f t="shared" si="81"/>
        <v>2.1190366647030427</v>
      </c>
      <c r="F54" s="18">
        <f t="shared" si="82"/>
        <v>2.0651695263608456</v>
      </c>
      <c r="G54" s="18">
        <f t="shared" si="83"/>
        <v>2.0942913922981004</v>
      </c>
      <c r="H54" s="18">
        <f t="shared" si="84"/>
        <v>1.3586756833299714</v>
      </c>
      <c r="I54" s="18">
        <f t="shared" si="85"/>
        <v>1.7073251583077091</v>
      </c>
      <c r="J54" s="18">
        <f t="shared" si="86"/>
        <v>1.5228652280715098</v>
      </c>
      <c r="K54" s="18">
        <f t="shared" si="87"/>
        <v>1.6776073478406173</v>
      </c>
      <c r="L54" s="18">
        <f t="shared" si="88"/>
        <v>1.2017901552948511</v>
      </c>
      <c r="M54" s="18">
        <f t="shared" si="89"/>
        <v>0.82140893211351118</v>
      </c>
      <c r="N54" s="18">
        <f t="shared" si="90"/>
        <v>1.6012575933549824</v>
      </c>
      <c r="O54" s="18">
        <f t="shared" si="91"/>
        <v>1.5502852123517732</v>
      </c>
      <c r="P54" s="18">
        <f t="shared" si="92"/>
        <v>1.5209087502610439</v>
      </c>
      <c r="Q54" s="18">
        <f t="shared" si="93"/>
        <v>1.1498199427274074</v>
      </c>
      <c r="R54" s="18">
        <f t="shared" si="94"/>
        <v>1.6522597570759079</v>
      </c>
      <c r="T54" t="str">
        <f t="shared" si="111"/>
        <v>frui</v>
      </c>
      <c r="U54" s="18">
        <f t="shared" si="112"/>
        <v>4.9410996834522685</v>
      </c>
      <c r="V54" s="18">
        <f t="shared" si="95"/>
        <v>6.6033565380678638</v>
      </c>
      <c r="W54" s="18">
        <f t="shared" si="96"/>
        <v>12.351897360409946</v>
      </c>
      <c r="X54" s="18">
        <f t="shared" si="97"/>
        <v>16.493375445014294</v>
      </c>
      <c r="Y54" s="18">
        <f t="shared" si="98"/>
        <v>29.943143888180991</v>
      </c>
      <c r="Z54" s="18">
        <f t="shared" si="99"/>
        <v>0.23478604284802998</v>
      </c>
      <c r="AA54" s="18">
        <f t="shared" si="100"/>
        <v>0.38080398696400403</v>
      </c>
      <c r="AB54" s="18">
        <f t="shared" si="101"/>
        <v>0.41844142151394709</v>
      </c>
      <c r="AC54" s="18">
        <f t="shared" si="102"/>
        <v>0.90956315253073294</v>
      </c>
      <c r="AD54" s="18">
        <f t="shared" si="103"/>
        <v>2.642867655394852</v>
      </c>
      <c r="AE54" s="18">
        <f t="shared" si="104"/>
        <v>9.8068570377499886E-2</v>
      </c>
      <c r="AF54" s="18">
        <f t="shared" si="105"/>
        <v>0.58303954317757944</v>
      </c>
      <c r="AG54" s="18">
        <f t="shared" si="106"/>
        <v>1.5981301482934598</v>
      </c>
      <c r="AH54" s="18">
        <f t="shared" si="107"/>
        <v>3.7893120377617024</v>
      </c>
      <c r="AI54" s="18">
        <f t="shared" si="108"/>
        <v>26.933616864637951</v>
      </c>
      <c r="AJ54" s="18">
        <f t="shared" si="113"/>
        <v>107.92150233862513</v>
      </c>
      <c r="AL54" t="str">
        <f t="shared" si="114"/>
        <v>cfrui</v>
      </c>
      <c r="AM54" s="18">
        <f>_xlfn.IFNA(INDEX(SAM!$B$8:$HA$215,MATCH($AL54,SAM!$A$8:$A$215,0),MATCH(AM$48,SAM!$B$7:$HA$7,0)),0)</f>
        <v>3.4216046762489314</v>
      </c>
      <c r="AN54" s="18">
        <f>_xlfn.IFNA(INDEX(SAM!$B$8:$HA$215,MATCH($AL54,SAM!$A$8:$A$215,0),MATCH(AN$48,SAM!$B$7:$HA$7,0)),0)</f>
        <v>4.4876461138113832</v>
      </c>
      <c r="AO54" s="18">
        <f>_xlfn.IFNA(INDEX(SAM!$B$8:$HA$215,MATCH($AL54,SAM!$A$8:$A$215,0),MATCH(AO$48,SAM!$B$7:$HA$7,0)),0)</f>
        <v>7.9930535441857415</v>
      </c>
      <c r="AP54" s="18">
        <f>_xlfn.IFNA(INDEX(SAM!$B$8:$HA$215,MATCH($AL54,SAM!$A$8:$A$215,0),MATCH(AP$48,SAM!$B$7:$HA$7,0)),0)</f>
        <v>11.026833514152028</v>
      </c>
      <c r="AQ54" s="18">
        <f>_xlfn.IFNA(INDEX(SAM!$B$8:$HA$215,MATCH($AL54,SAM!$A$8:$A$215,0),MATCH(AQ$48,SAM!$B$7:$HA$7,0)),0)</f>
        <v>19.706750332084617</v>
      </c>
      <c r="AR54" s="18">
        <f>_xlfn.IFNA(INDEX(SAM!$B$8:$HA$215,MATCH($AL54,SAM!$A$8:$A$215,0),MATCH(AR$48,SAM!$B$7:$HA$7,0)),0)</f>
        <v>0.23478604284802998</v>
      </c>
      <c r="AS54" s="18">
        <f>_xlfn.IFNA(INDEX(SAM!$B$8:$HA$215,MATCH($AL54,SAM!$A$8:$A$215,0),MATCH(AS$48,SAM!$B$7:$HA$7,0)),0)</f>
        <v>0.38080398696400403</v>
      </c>
      <c r="AT54" s="18">
        <f>_xlfn.IFNA(INDEX(SAM!$B$8:$HA$215,MATCH($AL54,SAM!$A$8:$A$215,0),MATCH(AT$48,SAM!$B$7:$HA$7,0)),0)</f>
        <v>0.41844142151394709</v>
      </c>
      <c r="AU54" s="18">
        <f>_xlfn.IFNA(INDEX(SAM!$B$8:$HA$215,MATCH($AL54,SAM!$A$8:$A$215,0),MATCH(AU$48,SAM!$B$7:$HA$7,0)),0)</f>
        <v>0.90956315253073294</v>
      </c>
      <c r="AV54" s="18">
        <f>_xlfn.IFNA(INDEX(SAM!$B$8:$HA$215,MATCH($AL54,SAM!$A$8:$A$215,0),MATCH(AV$48,SAM!$B$7:$HA$7,0)),0)</f>
        <v>2.642867655394852</v>
      </c>
      <c r="AW54" s="18">
        <f>_xlfn.IFNA(INDEX(SAM!$B$8:$HA$215,MATCH($AL54,SAM!$A$8:$A$215,0),MATCH(AW$48,SAM!$B$7:$HA$7,0)),0)</f>
        <v>9.8068570377499886E-2</v>
      </c>
      <c r="AX54" s="18">
        <f>_xlfn.IFNA(INDEX(SAM!$B$8:$HA$215,MATCH($AL54,SAM!$A$8:$A$215,0),MATCH(AX$48,SAM!$B$7:$HA$7,0)),0)</f>
        <v>0.55295501838176553</v>
      </c>
      <c r="AY54" s="18">
        <f>_xlfn.IFNA(INDEX(SAM!$B$8:$HA$215,MATCH($AL54,SAM!$A$8:$A$215,0),MATCH(AY$48,SAM!$B$7:$HA$7,0)),0)</f>
        <v>1.5258339138877981</v>
      </c>
      <c r="AZ54" s="18">
        <f>_xlfn.IFNA(INDEX(SAM!$B$8:$HA$215,MATCH($AL54,SAM!$A$8:$A$215,0),MATCH(AZ$48,SAM!$B$7:$HA$7,0)),0)</f>
        <v>3.5669003591032209</v>
      </c>
      <c r="BA54" s="18">
        <f>_xlfn.IFNA(INDEX(SAM!$B$8:$HA$215,MATCH($AL54,SAM!$A$8:$A$215,0),MATCH(BA$48,SAM!$B$7:$HA$7,0)),0)</f>
        <v>25.343375048227426</v>
      </c>
      <c r="BB54" s="18"/>
      <c r="BC54" t="str">
        <f t="shared" si="115"/>
        <v>afrui</v>
      </c>
      <c r="BD54" s="18">
        <f>_xlfn.IFNA(INDEX(SAM!$B$8:$HA$215,MATCH($BC54,SAM!$A$8:$A$215,0),MATCH(BD$48,SAM!$B$7:$HA$7,0)),0)</f>
        <v>1.5194950072033373</v>
      </c>
      <c r="BE54" s="18">
        <f>_xlfn.IFNA(INDEX(SAM!$B$8:$HA$215,MATCH($BC54,SAM!$A$8:$A$215,0),MATCH(BE$48,SAM!$B$7:$HA$7,0)),0)</f>
        <v>2.115710424256481</v>
      </c>
      <c r="BF54" s="18">
        <f>_xlfn.IFNA(INDEX(SAM!$B$8:$HA$215,MATCH($BC54,SAM!$A$8:$A$215,0),MATCH(BF$48,SAM!$B$7:$HA$7,0)),0)</f>
        <v>4.3588438162242049</v>
      </c>
      <c r="BG54" s="18">
        <f>_xlfn.IFNA(INDEX(SAM!$B$8:$HA$215,MATCH($BC54,SAM!$A$8:$A$215,0),MATCH(BG$48,SAM!$B$7:$HA$7,0)),0)</f>
        <v>5.4665419308622685</v>
      </c>
      <c r="BH54" s="18">
        <f>_xlfn.IFNA(INDEX(SAM!$B$8:$HA$215,MATCH($BC54,SAM!$A$8:$A$215,0),MATCH(BH$48,SAM!$B$7:$HA$7,0)),0)</f>
        <v>10.236393556096372</v>
      </c>
      <c r="BI54" s="18">
        <f>_xlfn.IFNA(INDEX(SAM!$B$8:$HA$215,MATCH($BC54,SAM!$A$8:$A$215,0),MATCH(BI$48,SAM!$B$7:$HA$7,0)),0)</f>
        <v>0</v>
      </c>
      <c r="BJ54" s="18">
        <f>_xlfn.IFNA(INDEX(SAM!$B$8:$HA$215,MATCH($BC54,SAM!$A$8:$A$215,0),MATCH(BJ$48,SAM!$B$7:$HA$7,0)),0)</f>
        <v>0</v>
      </c>
      <c r="BK54" s="18">
        <f>_xlfn.IFNA(INDEX(SAM!$B$8:$HA$215,MATCH($BC54,SAM!$A$8:$A$215,0),MATCH(BK$48,SAM!$B$7:$HA$7,0)),0)</f>
        <v>0</v>
      </c>
      <c r="BL54" s="18">
        <f>_xlfn.IFNA(INDEX(SAM!$B$8:$HA$215,MATCH($BC54,SAM!$A$8:$A$215,0),MATCH(BL$48,SAM!$B$7:$HA$7,0)),0)</f>
        <v>0</v>
      </c>
      <c r="BM54" s="18">
        <f>_xlfn.IFNA(INDEX(SAM!$B$8:$HA$215,MATCH($BC54,SAM!$A$8:$A$215,0),MATCH(BM$48,SAM!$B$7:$HA$7,0)),0)</f>
        <v>0</v>
      </c>
      <c r="BN54" s="18">
        <f>_xlfn.IFNA(INDEX(SAM!$B$8:$HA$215,MATCH($BC54,SAM!$A$8:$A$215,0),MATCH(BN$48,SAM!$B$7:$HA$7,0)),0)</f>
        <v>0</v>
      </c>
      <c r="BO54" s="18">
        <f>_xlfn.IFNA(INDEX(SAM!$B$8:$HA$215,MATCH($BC54,SAM!$A$8:$A$215,0),MATCH(BO$48,SAM!$B$7:$HA$7,0)),0)</f>
        <v>3.0084524795813947E-2</v>
      </c>
      <c r="BP54" s="18">
        <f>_xlfn.IFNA(INDEX(SAM!$B$8:$HA$215,MATCH($BC54,SAM!$A$8:$A$215,0),MATCH(BP$48,SAM!$B$7:$HA$7,0)),0)</f>
        <v>7.2296234405661602E-2</v>
      </c>
      <c r="BQ54" s="18">
        <f>_xlfn.IFNA(INDEX(SAM!$B$8:$HA$215,MATCH($BC54,SAM!$A$8:$A$215,0),MATCH(BQ$48,SAM!$B$7:$HA$7,0)),0)</f>
        <v>0.22241167865848149</v>
      </c>
      <c r="BR54" s="18">
        <f>_xlfn.IFNA(INDEX(SAM!$B$8:$HA$215,MATCH($BC54,SAM!$A$8:$A$215,0),MATCH(BR$48,SAM!$B$7:$HA$7,0)),0)</f>
        <v>1.5902418164105268</v>
      </c>
      <c r="BT54" t="str">
        <f t="shared" si="109"/>
        <v>cfrui</v>
      </c>
      <c r="BU54" s="7">
        <f t="shared" si="110"/>
        <v>107.92150233862513</v>
      </c>
      <c r="BW54" s="51" t="s">
        <v>181</v>
      </c>
      <c r="BX54" s="43">
        <f t="shared" si="116"/>
        <v>1.6522597570759079</v>
      </c>
    </row>
    <row r="55" spans="1:76" x14ac:dyDescent="0.35">
      <c r="A55" s="26" t="str">
        <f t="shared" si="78"/>
        <v>fruits</v>
      </c>
      <c r="B55" s="26" t="s">
        <v>33</v>
      </c>
      <c r="C55" s="45">
        <f t="shared" si="79"/>
        <v>9.0420974889398195E-2</v>
      </c>
      <c r="D55" s="45">
        <f t="shared" si="80"/>
        <v>8.7492396972449482E-2</v>
      </c>
      <c r="E55" s="45">
        <f t="shared" si="81"/>
        <v>3.5792731577698307E-2</v>
      </c>
      <c r="F55" s="45">
        <f t="shared" si="82"/>
        <v>4.1836273436831925E-2</v>
      </c>
      <c r="G55" s="45">
        <f t="shared" si="83"/>
        <v>0.1686020810293424</v>
      </c>
      <c r="H55" s="45">
        <f t="shared" si="84"/>
        <v>8.1928398449233067E-2</v>
      </c>
      <c r="I55" s="45">
        <f t="shared" si="85"/>
        <v>6.8418557299401064E-2</v>
      </c>
      <c r="J55" s="45">
        <f t="shared" si="86"/>
        <v>0.12914740104679226</v>
      </c>
      <c r="K55" s="45">
        <f t="shared" si="87"/>
        <v>5.3112335231975109E-2</v>
      </c>
      <c r="L55" s="45">
        <f t="shared" si="88"/>
        <v>0.43918053745110064</v>
      </c>
      <c r="M55" s="45">
        <f t="shared" si="89"/>
        <v>0.14357686625984956</v>
      </c>
      <c r="N55" s="45">
        <f t="shared" si="90"/>
        <v>4.5287925136277725E-2</v>
      </c>
      <c r="O55" s="45">
        <f t="shared" si="91"/>
        <v>1.1802517635607114E-2</v>
      </c>
      <c r="P55" s="45">
        <f t="shared" si="92"/>
        <v>2.6237454178807192E-2</v>
      </c>
      <c r="Q55" s="45">
        <f t="shared" si="93"/>
        <v>7.3868412638890421E-2</v>
      </c>
      <c r="R55" s="45">
        <f t="shared" si="94"/>
        <v>9.8269136946955923E-2</v>
      </c>
      <c r="S55" s="26"/>
      <c r="T55" s="26" t="str">
        <f t="shared" si="111"/>
        <v>fveg</v>
      </c>
      <c r="U55" s="45">
        <f t="shared" si="112"/>
        <v>0.23728767250613644</v>
      </c>
      <c r="V55" s="45">
        <f t="shared" si="95"/>
        <v>0.3270756646207722</v>
      </c>
      <c r="W55" s="45">
        <f t="shared" si="96"/>
        <v>0.20863638372127435</v>
      </c>
      <c r="X55" s="45">
        <f t="shared" si="97"/>
        <v>0.3341233522024093</v>
      </c>
      <c r="Y55" s="45">
        <f t="shared" si="98"/>
        <v>2.4105892764848607</v>
      </c>
      <c r="Z55" s="45">
        <f t="shared" si="99"/>
        <v>1.4157642404865571E-2</v>
      </c>
      <c r="AA55" s="45">
        <f t="shared" si="100"/>
        <v>1.5260162526839184E-2</v>
      </c>
      <c r="AB55" s="45">
        <f t="shared" si="101"/>
        <v>3.5486148795508488E-2</v>
      </c>
      <c r="AC55" s="45">
        <f t="shared" si="102"/>
        <v>2.8796382618404007E-2</v>
      </c>
      <c r="AD55" s="45">
        <f t="shared" si="103"/>
        <v>0.96580591228397317</v>
      </c>
      <c r="AE55" s="45">
        <f t="shared" si="104"/>
        <v>1.7141739592672421E-2</v>
      </c>
      <c r="AF55" s="45">
        <f t="shared" si="105"/>
        <v>1.6489945960282568E-2</v>
      </c>
      <c r="AG55" s="45">
        <f t="shared" si="106"/>
        <v>1.216676719157728E-2</v>
      </c>
      <c r="AH55" s="45">
        <f t="shared" si="107"/>
        <v>6.5370063090840091E-2</v>
      </c>
      <c r="AI55" s="45">
        <f t="shared" si="108"/>
        <v>1.730308764427583</v>
      </c>
      <c r="AJ55" s="45">
        <f t="shared" si="113"/>
        <v>6.4186958784279984</v>
      </c>
      <c r="AK55" s="26"/>
      <c r="AL55" s="26" t="str">
        <f t="shared" si="114"/>
        <v>cfveg</v>
      </c>
      <c r="AM55" s="45">
        <f>_xlfn.IFNA(INDEX(SAM!$B$8:$HA$215,MATCH($AL55,SAM!$A$8:$A$215,0),MATCH(AM$48,SAM!$B$7:$HA$7,0)),0)</f>
        <v>0.23728767250613644</v>
      </c>
      <c r="AN55" s="45">
        <f>_xlfn.IFNA(INDEX(SAM!$B$8:$HA$215,MATCH($AL55,SAM!$A$8:$A$215,0),MATCH(AN$48,SAM!$B$7:$HA$7,0)),0)</f>
        <v>0.3270756646207722</v>
      </c>
      <c r="AO55" s="45">
        <f>_xlfn.IFNA(INDEX(SAM!$B$8:$HA$215,MATCH($AL55,SAM!$A$8:$A$215,0),MATCH(AO$48,SAM!$B$7:$HA$7,0)),0)</f>
        <v>0.20863638372127435</v>
      </c>
      <c r="AP55" s="45">
        <f>_xlfn.IFNA(INDEX(SAM!$B$8:$HA$215,MATCH($AL55,SAM!$A$8:$A$215,0),MATCH(AP$48,SAM!$B$7:$HA$7,0)),0)</f>
        <v>0.3341233522024093</v>
      </c>
      <c r="AQ55" s="45">
        <f>_xlfn.IFNA(INDEX(SAM!$B$8:$HA$215,MATCH($AL55,SAM!$A$8:$A$215,0),MATCH(AQ$48,SAM!$B$7:$HA$7,0)),0)</f>
        <v>2.4105892764848607</v>
      </c>
      <c r="AR55" s="45">
        <f>_xlfn.IFNA(INDEX(SAM!$B$8:$HA$215,MATCH($AL55,SAM!$A$8:$A$215,0),MATCH(AR$48,SAM!$B$7:$HA$7,0)),0)</f>
        <v>1.4157642404865571E-2</v>
      </c>
      <c r="AS55" s="45">
        <f>_xlfn.IFNA(INDEX(SAM!$B$8:$HA$215,MATCH($AL55,SAM!$A$8:$A$215,0),MATCH(AS$48,SAM!$B$7:$HA$7,0)),0)</f>
        <v>1.5260162526839184E-2</v>
      </c>
      <c r="AT55" s="45">
        <f>_xlfn.IFNA(INDEX(SAM!$B$8:$HA$215,MATCH($AL55,SAM!$A$8:$A$215,0),MATCH(AT$48,SAM!$B$7:$HA$7,0)),0)</f>
        <v>3.5486148795508488E-2</v>
      </c>
      <c r="AU55" s="45">
        <f>_xlfn.IFNA(INDEX(SAM!$B$8:$HA$215,MATCH($AL55,SAM!$A$8:$A$215,0),MATCH(AU$48,SAM!$B$7:$HA$7,0)),0)</f>
        <v>2.8796382618404007E-2</v>
      </c>
      <c r="AV55" s="45">
        <f>_xlfn.IFNA(INDEX(SAM!$B$8:$HA$215,MATCH($AL55,SAM!$A$8:$A$215,0),MATCH(AV$48,SAM!$B$7:$HA$7,0)),0)</f>
        <v>0.96580591228397317</v>
      </c>
      <c r="AW55" s="45">
        <f>_xlfn.IFNA(INDEX(SAM!$B$8:$HA$215,MATCH($AL55,SAM!$A$8:$A$215,0),MATCH(AW$48,SAM!$B$7:$HA$7,0)),0)</f>
        <v>1.7141739592672421E-2</v>
      </c>
      <c r="AX55" s="45">
        <f>_xlfn.IFNA(INDEX(SAM!$B$8:$HA$215,MATCH($AL55,SAM!$A$8:$A$215,0),MATCH(AX$48,SAM!$B$7:$HA$7,0)),0)</f>
        <v>1.6489945960282568E-2</v>
      </c>
      <c r="AY55" s="45">
        <f>_xlfn.IFNA(INDEX(SAM!$B$8:$HA$215,MATCH($AL55,SAM!$A$8:$A$215,0),MATCH(AY$48,SAM!$B$7:$HA$7,0)),0)</f>
        <v>1.216676719157728E-2</v>
      </c>
      <c r="AZ55" s="45">
        <f>_xlfn.IFNA(INDEX(SAM!$B$8:$HA$215,MATCH($AL55,SAM!$A$8:$A$215,0),MATCH(AZ$48,SAM!$B$7:$HA$7,0)),0)</f>
        <v>6.5370063090840091E-2</v>
      </c>
      <c r="BA55" s="45">
        <f>_xlfn.IFNA(INDEX(SAM!$B$8:$HA$215,MATCH($AL55,SAM!$A$8:$A$215,0),MATCH(BA$48,SAM!$B$7:$HA$7,0)),0)</f>
        <v>1.730308764427583</v>
      </c>
      <c r="BB55" s="45"/>
      <c r="BC55" s="26" t="str">
        <f t="shared" si="115"/>
        <v>afveg</v>
      </c>
      <c r="BD55" s="45">
        <f>_xlfn.IFNA(INDEX(SAM!$B$8:$HA$215,MATCH($BC55,SAM!$A$8:$A$215,0),MATCH(BD$48,SAM!$B$7:$HA$7,0)),0)</f>
        <v>0</v>
      </c>
      <c r="BE55" s="45">
        <f>_xlfn.IFNA(INDEX(SAM!$B$8:$HA$215,MATCH($BC55,SAM!$A$8:$A$215,0),MATCH(BE$48,SAM!$B$7:$HA$7,0)),0)</f>
        <v>0</v>
      </c>
      <c r="BF55" s="45">
        <f>_xlfn.IFNA(INDEX(SAM!$B$8:$HA$215,MATCH($BC55,SAM!$A$8:$A$215,0),MATCH(BF$48,SAM!$B$7:$HA$7,0)),0)</f>
        <v>0</v>
      </c>
      <c r="BG55" s="45">
        <f>_xlfn.IFNA(INDEX(SAM!$B$8:$HA$215,MATCH($BC55,SAM!$A$8:$A$215,0),MATCH(BG$48,SAM!$B$7:$HA$7,0)),0)</f>
        <v>0</v>
      </c>
      <c r="BH55" s="45">
        <f>_xlfn.IFNA(INDEX(SAM!$B$8:$HA$215,MATCH($BC55,SAM!$A$8:$A$215,0),MATCH(BH$48,SAM!$B$7:$HA$7,0)),0)</f>
        <v>0</v>
      </c>
      <c r="BI55" s="45">
        <f>_xlfn.IFNA(INDEX(SAM!$B$8:$HA$215,MATCH($BC55,SAM!$A$8:$A$215,0),MATCH(BI$48,SAM!$B$7:$HA$7,0)),0)</f>
        <v>0</v>
      </c>
      <c r="BJ55" s="45">
        <f>_xlfn.IFNA(INDEX(SAM!$B$8:$HA$215,MATCH($BC55,SAM!$A$8:$A$215,0),MATCH(BJ$48,SAM!$B$7:$HA$7,0)),0)</f>
        <v>0</v>
      </c>
      <c r="BK55" s="45">
        <f>_xlfn.IFNA(INDEX(SAM!$B$8:$HA$215,MATCH($BC55,SAM!$A$8:$A$215,0),MATCH(BK$48,SAM!$B$7:$HA$7,0)),0)</f>
        <v>0</v>
      </c>
      <c r="BL55" s="45">
        <f>_xlfn.IFNA(INDEX(SAM!$B$8:$HA$215,MATCH($BC55,SAM!$A$8:$A$215,0),MATCH(BL$48,SAM!$B$7:$HA$7,0)),0)</f>
        <v>0</v>
      </c>
      <c r="BM55" s="45">
        <f>_xlfn.IFNA(INDEX(SAM!$B$8:$HA$215,MATCH($BC55,SAM!$A$8:$A$215,0),MATCH(BM$48,SAM!$B$7:$HA$7,0)),0)</f>
        <v>0</v>
      </c>
      <c r="BN55" s="45">
        <f>_xlfn.IFNA(INDEX(SAM!$B$8:$HA$215,MATCH($BC55,SAM!$A$8:$A$215,0),MATCH(BN$48,SAM!$B$7:$HA$7,0)),0)</f>
        <v>0</v>
      </c>
      <c r="BO55" s="45">
        <f>_xlfn.IFNA(INDEX(SAM!$B$8:$HA$215,MATCH($BC55,SAM!$A$8:$A$215,0),MATCH(BO$48,SAM!$B$7:$HA$7,0)),0)</f>
        <v>0</v>
      </c>
      <c r="BP55" s="45">
        <f>_xlfn.IFNA(INDEX(SAM!$B$8:$HA$215,MATCH($BC55,SAM!$A$8:$A$215,0),MATCH(BP$48,SAM!$B$7:$HA$7,0)),0)</f>
        <v>0</v>
      </c>
      <c r="BQ55" s="45">
        <f>_xlfn.IFNA(INDEX(SAM!$B$8:$HA$215,MATCH($BC55,SAM!$A$8:$A$215,0),MATCH(BQ$48,SAM!$B$7:$HA$7,0)),0)</f>
        <v>0</v>
      </c>
      <c r="BR55" s="45">
        <f>_xlfn.IFNA(INDEX(SAM!$B$8:$HA$215,MATCH($BC55,SAM!$A$8:$A$215,0),MATCH(BR$48,SAM!$B$7:$HA$7,0)),0)</f>
        <v>0</v>
      </c>
      <c r="BT55" t="str">
        <f t="shared" si="109"/>
        <v>cfveg</v>
      </c>
      <c r="BU55" s="7">
        <f t="shared" si="110"/>
        <v>6.4186958784279984</v>
      </c>
      <c r="BW55" s="51" t="s">
        <v>725</v>
      </c>
      <c r="BX55" s="43">
        <f t="shared" si="116"/>
        <v>0.51309862236317028</v>
      </c>
    </row>
    <row r="56" spans="1:76" x14ac:dyDescent="0.35">
      <c r="A56" t="s">
        <v>621</v>
      </c>
      <c r="B56" t="s">
        <v>700</v>
      </c>
      <c r="C56" s="18">
        <f t="shared" si="79"/>
        <v>2.1033810511299342</v>
      </c>
      <c r="D56" s="18">
        <f t="shared" si="80"/>
        <v>4.3124879461137873</v>
      </c>
      <c r="E56" s="18">
        <f t="shared" si="81"/>
        <v>4.8770771525223182</v>
      </c>
      <c r="F56" s="18">
        <f t="shared" si="82"/>
        <v>6.2134222128562753</v>
      </c>
      <c r="G56" s="18">
        <f t="shared" si="83"/>
        <v>7.2499487224072734</v>
      </c>
      <c r="H56" s="18">
        <f t="shared" si="84"/>
        <v>0.52806261628470841</v>
      </c>
      <c r="I56" s="18">
        <f t="shared" si="85"/>
        <v>0.84634198041579189</v>
      </c>
      <c r="J56" s="18">
        <f t="shared" si="86"/>
        <v>0.89672774079343887</v>
      </c>
      <c r="K56" s="18">
        <f t="shared" si="87"/>
        <v>1.7953013840416292</v>
      </c>
      <c r="L56" s="18">
        <f t="shared" si="88"/>
        <v>1.2618797554600953</v>
      </c>
      <c r="M56" s="18">
        <f t="shared" si="89"/>
        <v>0.89499207529883784</v>
      </c>
      <c r="N56" s="18">
        <f t="shared" si="90"/>
        <v>1.9565374115439649</v>
      </c>
      <c r="O56" s="18">
        <f t="shared" si="91"/>
        <v>1.6634283719030121</v>
      </c>
      <c r="P56" s="18">
        <f t="shared" si="92"/>
        <v>2.2207690017951802</v>
      </c>
      <c r="Q56" s="18">
        <f t="shared" si="93"/>
        <v>1.160497720448926</v>
      </c>
      <c r="R56" s="18">
        <f t="shared" si="94"/>
        <v>3.7183719161107955</v>
      </c>
      <c r="T56" t="str">
        <f t="shared" si="111"/>
        <v>live</v>
      </c>
      <c r="U56" s="18">
        <f t="shared" si="112"/>
        <v>5.5198077064158344</v>
      </c>
      <c r="V56" s="18">
        <f t="shared" si="95"/>
        <v>16.121513525208272</v>
      </c>
      <c r="W56" s="18">
        <f t="shared" si="96"/>
        <v>28.428557849044175</v>
      </c>
      <c r="X56" s="18">
        <f t="shared" si="97"/>
        <v>49.623192695282761</v>
      </c>
      <c r="Y56" s="18">
        <f t="shared" si="98"/>
        <v>103.65618584659444</v>
      </c>
      <c r="Z56" s="18">
        <f t="shared" si="99"/>
        <v>9.1251895926773463E-2</v>
      </c>
      <c r="AA56" s="18">
        <f t="shared" si="100"/>
        <v>0.18876919777647799</v>
      </c>
      <c r="AB56" s="18">
        <f t="shared" si="101"/>
        <v>0.24639608525553455</v>
      </c>
      <c r="AC56" s="18">
        <f t="shared" si="102"/>
        <v>0.9733743648140194</v>
      </c>
      <c r="AD56" s="18">
        <f t="shared" si="103"/>
        <v>2.7750112413633774</v>
      </c>
      <c r="AE56" s="18">
        <f t="shared" si="104"/>
        <v>0.10685371182647387</v>
      </c>
      <c r="AF56" s="18">
        <f t="shared" si="105"/>
        <v>0.71240172934720747</v>
      </c>
      <c r="AG56" s="18">
        <f t="shared" si="106"/>
        <v>1.7147651344955879</v>
      </c>
      <c r="AH56" s="18">
        <f t="shared" si="107"/>
        <v>5.5329990771281725</v>
      </c>
      <c r="AI56" s="18">
        <f t="shared" si="108"/>
        <v>27.183735307909142</v>
      </c>
      <c r="AJ56" s="18">
        <f t="shared" si="113"/>
        <v>242.87481536838825</v>
      </c>
      <c r="AL56" t="str">
        <f t="shared" si="114"/>
        <v>clive</v>
      </c>
      <c r="AM56" s="18">
        <f>_xlfn.IFNA(INDEX(SAM!$B$8:$HA$215,MATCH($AL56,SAM!$A$8:$A$215,0),MATCH(AM$48,SAM!$B$7:$HA$7,0)),0)</f>
        <v>1.4891141725787438</v>
      </c>
      <c r="AN56" s="18">
        <f>_xlfn.IFNA(INDEX(SAM!$B$8:$HA$215,MATCH($AL56,SAM!$A$8:$A$215,0),MATCH(AN$48,SAM!$B$7:$HA$7,0)),0)</f>
        <v>2.4682918924626556</v>
      </c>
      <c r="AO56" s="18">
        <f>_xlfn.IFNA(INDEX(SAM!$B$8:$HA$215,MATCH($AL56,SAM!$A$8:$A$215,0),MATCH(AO$48,SAM!$B$7:$HA$7,0)),0)</f>
        <v>5.6706408456700821</v>
      </c>
      <c r="AP56" s="18">
        <f>_xlfn.IFNA(INDEX(SAM!$B$8:$HA$215,MATCH($AL56,SAM!$A$8:$A$215,0),MATCH(AP$48,SAM!$B$7:$HA$7,0)),0)</f>
        <v>8.2130429342671931</v>
      </c>
      <c r="AQ56" s="18">
        <f>_xlfn.IFNA(INDEX(SAM!$B$8:$HA$215,MATCH($AL56,SAM!$A$8:$A$215,0),MATCH(AQ$48,SAM!$B$7:$HA$7,0)),0)</f>
        <v>14.741519323421276</v>
      </c>
      <c r="AR56" s="18">
        <f>_xlfn.IFNA(INDEX(SAM!$B$8:$HA$215,MATCH($AL56,SAM!$A$8:$A$215,0),MATCH(AR$48,SAM!$B$7:$HA$7,0)),0)</f>
        <v>9.1251895926773463E-2</v>
      </c>
      <c r="AS56" s="18">
        <f>_xlfn.IFNA(INDEX(SAM!$B$8:$HA$215,MATCH($AL56,SAM!$A$8:$A$215,0),MATCH(AS$48,SAM!$B$7:$HA$7,0)),0)</f>
        <v>0.18876919777647799</v>
      </c>
      <c r="AT56" s="18">
        <f>_xlfn.IFNA(INDEX(SAM!$B$8:$HA$215,MATCH($AL56,SAM!$A$8:$A$215,0),MATCH(AT$48,SAM!$B$7:$HA$7,0)),0)</f>
        <v>0.24639608525553455</v>
      </c>
      <c r="AU56" s="18">
        <f>_xlfn.IFNA(INDEX(SAM!$B$8:$HA$215,MATCH($AL56,SAM!$A$8:$A$215,0),MATCH(AU$48,SAM!$B$7:$HA$7,0)),0)</f>
        <v>0.9733743648140194</v>
      </c>
      <c r="AV56" s="18">
        <f>_xlfn.IFNA(INDEX(SAM!$B$8:$HA$215,MATCH($AL56,SAM!$A$8:$A$215,0),MATCH(AV$48,SAM!$B$7:$HA$7,0)),0)</f>
        <v>2.7750112413633774</v>
      </c>
      <c r="AW56" s="18">
        <f>_xlfn.IFNA(INDEX(SAM!$B$8:$HA$215,MATCH($AL56,SAM!$A$8:$A$215,0),MATCH(AW$48,SAM!$B$7:$HA$7,0)),0)</f>
        <v>0.10685371182647387</v>
      </c>
      <c r="AX56" s="18">
        <f>_xlfn.IFNA(INDEX(SAM!$B$8:$HA$215,MATCH($AL56,SAM!$A$8:$A$215,0),MATCH(AX$48,SAM!$B$7:$HA$7,0)),0)</f>
        <v>0.56730659592627786</v>
      </c>
      <c r="AY56" s="18">
        <f>_xlfn.IFNA(INDEX(SAM!$B$8:$HA$215,MATCH($AL56,SAM!$A$8:$A$215,0),MATCH(AY$48,SAM!$B$7:$HA$7,0)),0)</f>
        <v>1.3010133593602606</v>
      </c>
      <c r="AZ56" s="18">
        <f>_xlfn.IFNA(INDEX(SAM!$B$8:$HA$215,MATCH($AL56,SAM!$A$8:$A$215,0),MATCH(AZ$48,SAM!$B$7:$HA$7,0)),0)</f>
        <v>4.2323607680690092</v>
      </c>
      <c r="BA56" s="18">
        <f>_xlfn.IFNA(INDEX(SAM!$B$8:$HA$215,MATCH($AL56,SAM!$A$8:$A$215,0),MATCH(BA$48,SAM!$B$7:$HA$7,0)),0)</f>
        <v>23.049928205236998</v>
      </c>
      <c r="BB56" s="18"/>
      <c r="BC56" t="str">
        <f t="shared" si="115"/>
        <v>alive</v>
      </c>
      <c r="BD56" s="18">
        <f>_xlfn.IFNA(INDEX(SAM!$B$8:$HA$215,MATCH($BC56,SAM!$A$8:$A$215,0),MATCH(BD$48,SAM!$B$7:$HA$7,0)),0)</f>
        <v>4.0306935338370904</v>
      </c>
      <c r="BE56" s="18">
        <f>_xlfn.IFNA(INDEX(SAM!$B$8:$HA$215,MATCH($BC56,SAM!$A$8:$A$215,0),MATCH(BE$48,SAM!$B$7:$HA$7,0)),0)</f>
        <v>13.653221632745616</v>
      </c>
      <c r="BF56" s="18">
        <f>_xlfn.IFNA(INDEX(SAM!$B$8:$HA$215,MATCH($BC56,SAM!$A$8:$A$215,0),MATCH(BF$48,SAM!$B$7:$HA$7,0)),0)</f>
        <v>22.757917003374093</v>
      </c>
      <c r="BG56" s="18">
        <f>_xlfn.IFNA(INDEX(SAM!$B$8:$HA$215,MATCH($BC56,SAM!$A$8:$A$215,0),MATCH(BG$48,SAM!$B$7:$HA$7,0)),0)</f>
        <v>41.410149761015568</v>
      </c>
      <c r="BH56" s="18">
        <f>_xlfn.IFNA(INDEX(SAM!$B$8:$HA$215,MATCH($BC56,SAM!$A$8:$A$215,0),MATCH(BH$48,SAM!$B$7:$HA$7,0)),0)</f>
        <v>88.914666523173167</v>
      </c>
      <c r="BI56" s="18">
        <f>_xlfn.IFNA(INDEX(SAM!$B$8:$HA$215,MATCH($BC56,SAM!$A$8:$A$215,0),MATCH(BI$48,SAM!$B$7:$HA$7,0)),0)</f>
        <v>0</v>
      </c>
      <c r="BJ56" s="18">
        <f>_xlfn.IFNA(INDEX(SAM!$B$8:$HA$215,MATCH($BC56,SAM!$A$8:$A$215,0),MATCH(BJ$48,SAM!$B$7:$HA$7,0)),0)</f>
        <v>0</v>
      </c>
      <c r="BK56" s="18">
        <f>_xlfn.IFNA(INDEX(SAM!$B$8:$HA$215,MATCH($BC56,SAM!$A$8:$A$215,0),MATCH(BK$48,SAM!$B$7:$HA$7,0)),0)</f>
        <v>0</v>
      </c>
      <c r="BL56" s="18">
        <f>_xlfn.IFNA(INDEX(SAM!$B$8:$HA$215,MATCH($BC56,SAM!$A$8:$A$215,0),MATCH(BL$48,SAM!$B$7:$HA$7,0)),0)</f>
        <v>0</v>
      </c>
      <c r="BM56" s="18">
        <f>_xlfn.IFNA(INDEX(SAM!$B$8:$HA$215,MATCH($BC56,SAM!$A$8:$A$215,0),MATCH(BM$48,SAM!$B$7:$HA$7,0)),0)</f>
        <v>0</v>
      </c>
      <c r="BN56" s="18">
        <f>_xlfn.IFNA(INDEX(SAM!$B$8:$HA$215,MATCH($BC56,SAM!$A$8:$A$215,0),MATCH(BN$48,SAM!$B$7:$HA$7,0)),0)</f>
        <v>0</v>
      </c>
      <c r="BO56" s="18">
        <f>_xlfn.IFNA(INDEX(SAM!$B$8:$HA$215,MATCH($BC56,SAM!$A$8:$A$215,0),MATCH(BO$48,SAM!$B$7:$HA$7,0)),0)</f>
        <v>0.14509513342092961</v>
      </c>
      <c r="BP56" s="18">
        <f>_xlfn.IFNA(INDEX(SAM!$B$8:$HA$215,MATCH($BC56,SAM!$A$8:$A$215,0),MATCH(BP$48,SAM!$B$7:$HA$7,0)),0)</f>
        <v>0.41375177513532718</v>
      </c>
      <c r="BQ56" s="18">
        <f>_xlfn.IFNA(INDEX(SAM!$B$8:$HA$215,MATCH($BC56,SAM!$A$8:$A$215,0),MATCH(BQ$48,SAM!$B$7:$HA$7,0)),0)</f>
        <v>1.3006383090591631</v>
      </c>
      <c r="BR56" s="18">
        <f>_xlfn.IFNA(INDEX(SAM!$B$8:$HA$215,MATCH($BC56,SAM!$A$8:$A$215,0),MATCH(BR$48,SAM!$B$7:$HA$7,0)),0)</f>
        <v>4.1338071026721428</v>
      </c>
      <c r="BT56" t="str">
        <f t="shared" si="109"/>
        <v>clive</v>
      </c>
      <c r="BU56" s="7">
        <f t="shared" si="110"/>
        <v>242.87481536838823</v>
      </c>
      <c r="BW56" s="51" t="s">
        <v>182</v>
      </c>
      <c r="BX56" s="43">
        <f t="shared" si="116"/>
        <v>0.10851039716756213</v>
      </c>
    </row>
    <row r="57" spans="1:76" x14ac:dyDescent="0.35">
      <c r="A57" t="str">
        <f t="shared" ref="A57:A63" si="117">HLOOKUP(B57,$B$6:$BR$9,4,FALSE)</f>
        <v>fish-meat-egg</v>
      </c>
      <c r="B57" t="s">
        <v>31</v>
      </c>
      <c r="C57" s="18">
        <f t="shared" si="79"/>
        <v>0.678786961661343</v>
      </c>
      <c r="D57" s="18">
        <f t="shared" si="80"/>
        <v>0.94628967220013993</v>
      </c>
      <c r="E57" s="18">
        <f t="shared" si="81"/>
        <v>0.91146313866933171</v>
      </c>
      <c r="F57" s="18">
        <f t="shared" si="82"/>
        <v>1.2856468564232537</v>
      </c>
      <c r="G57" s="18">
        <f t="shared" si="83"/>
        <v>1.3777618581319537</v>
      </c>
      <c r="H57" s="18">
        <f t="shared" si="84"/>
        <v>1.7498310581462164</v>
      </c>
      <c r="I57" s="18">
        <f t="shared" si="85"/>
        <v>1.5580844964066372</v>
      </c>
      <c r="J57" s="18">
        <f t="shared" si="86"/>
        <v>2.7023990747543998</v>
      </c>
      <c r="K57" s="18">
        <f t="shared" si="87"/>
        <v>2.0127793923230226</v>
      </c>
      <c r="L57" s="18">
        <f t="shared" si="88"/>
        <v>1.7544067969987502</v>
      </c>
      <c r="M57" s="18">
        <f t="shared" si="89"/>
        <v>0.54715073988614804</v>
      </c>
      <c r="N57" s="18">
        <f t="shared" si="90"/>
        <v>1.2710993559173123</v>
      </c>
      <c r="O57" s="18">
        <f t="shared" si="91"/>
        <v>0.80090501324853391</v>
      </c>
      <c r="P57" s="18">
        <f t="shared" si="92"/>
        <v>1.1783697233490398</v>
      </c>
      <c r="Q57" s="18">
        <f t="shared" si="93"/>
        <v>1.0002903255363309</v>
      </c>
      <c r="R57" s="18">
        <f t="shared" si="94"/>
        <v>1.1430413600970313</v>
      </c>
      <c r="T57" t="str">
        <f t="shared" si="111"/>
        <v>fish</v>
      </c>
      <c r="U57" s="18">
        <f t="shared" si="112"/>
        <v>1.7813099057729496</v>
      </c>
      <c r="V57" s="18">
        <f t="shared" si="95"/>
        <v>3.5375453658687008</v>
      </c>
      <c r="W57" s="18">
        <f t="shared" si="96"/>
        <v>5.3129326755742543</v>
      </c>
      <c r="X57" s="18">
        <f t="shared" si="97"/>
        <v>10.267755756621618</v>
      </c>
      <c r="Y57" s="18">
        <f t="shared" si="98"/>
        <v>19.69855852600503</v>
      </c>
      <c r="Z57" s="18">
        <f t="shared" si="99"/>
        <v>0.30237967370389346</v>
      </c>
      <c r="AA57" s="18">
        <f t="shared" si="100"/>
        <v>0.34751715885599083</v>
      </c>
      <c r="AB57" s="18">
        <f t="shared" si="101"/>
        <v>0.742544835546739</v>
      </c>
      <c r="AC57" s="18">
        <f t="shared" si="102"/>
        <v>1.091286332160339</v>
      </c>
      <c r="AD57" s="18">
        <f t="shared" si="103"/>
        <v>3.8581319357332435</v>
      </c>
      <c r="AE57" s="18">
        <f t="shared" si="104"/>
        <v>6.5324698507430834E-2</v>
      </c>
      <c r="AF57" s="18">
        <f t="shared" si="105"/>
        <v>0.46282446427284524</v>
      </c>
      <c r="AG57" s="18">
        <f t="shared" si="106"/>
        <v>0.82562256118677535</v>
      </c>
      <c r="AH57" s="18">
        <f t="shared" si="107"/>
        <v>2.9358832848151142</v>
      </c>
      <c r="AI57" s="18">
        <f t="shared" si="108"/>
        <v>23.431004612334011</v>
      </c>
      <c r="AJ57" s="18">
        <f t="shared" si="113"/>
        <v>74.660621786958927</v>
      </c>
      <c r="AL57" t="str">
        <f t="shared" si="114"/>
        <v>cfish</v>
      </c>
      <c r="AM57" s="18">
        <f>_xlfn.IFNA(INDEX(SAM!$B$8:$HA$215,MATCH($AL57,SAM!$A$8:$A$215,0),MATCH(AM$48,SAM!$B$7:$HA$7,0)),0)</f>
        <v>1.5775454076847824</v>
      </c>
      <c r="AN57" s="18">
        <f>_xlfn.IFNA(INDEX(SAM!$B$8:$HA$215,MATCH($AL57,SAM!$A$8:$A$215,0),MATCH(AN$48,SAM!$B$7:$HA$7,0)),0)</f>
        <v>3.2646115676512593</v>
      </c>
      <c r="AO57" s="18">
        <f>_xlfn.IFNA(INDEX(SAM!$B$8:$HA$215,MATCH($AL57,SAM!$A$8:$A$215,0),MATCH(AO$48,SAM!$B$7:$HA$7,0)),0)</f>
        <v>4.9660068664198311</v>
      </c>
      <c r="AP57" s="18">
        <f>_xlfn.IFNA(INDEX(SAM!$B$8:$HA$215,MATCH($AL57,SAM!$A$8:$A$215,0),MATCH(AP$48,SAM!$B$7:$HA$7,0)),0)</f>
        <v>9.2156080374424718</v>
      </c>
      <c r="AQ57" s="18">
        <f>_xlfn.IFNA(INDEX(SAM!$B$8:$HA$215,MATCH($AL57,SAM!$A$8:$A$215,0),MATCH(AQ$48,SAM!$B$7:$HA$7,0)),0)</f>
        <v>18.109644519595676</v>
      </c>
      <c r="AR57" s="18">
        <f>_xlfn.IFNA(INDEX(SAM!$B$8:$HA$215,MATCH($AL57,SAM!$A$8:$A$215,0),MATCH(AR$48,SAM!$B$7:$HA$7,0)),0)</f>
        <v>0.30237967370389346</v>
      </c>
      <c r="AS57" s="18">
        <f>_xlfn.IFNA(INDEX(SAM!$B$8:$HA$215,MATCH($AL57,SAM!$A$8:$A$215,0),MATCH(AS$48,SAM!$B$7:$HA$7,0)),0)</f>
        <v>0.34751715885599083</v>
      </c>
      <c r="AT57" s="18">
        <f>_xlfn.IFNA(INDEX(SAM!$B$8:$HA$215,MATCH($AL57,SAM!$A$8:$A$215,0),MATCH(AT$48,SAM!$B$7:$HA$7,0)),0)</f>
        <v>0.742544835546739</v>
      </c>
      <c r="AU57" s="18">
        <f>_xlfn.IFNA(INDEX(SAM!$B$8:$HA$215,MATCH($AL57,SAM!$A$8:$A$215,0),MATCH(AU$48,SAM!$B$7:$HA$7,0)),0)</f>
        <v>1.091286332160339</v>
      </c>
      <c r="AV57" s="18">
        <f>_xlfn.IFNA(INDEX(SAM!$B$8:$HA$215,MATCH($AL57,SAM!$A$8:$A$215,0),MATCH(AV$48,SAM!$B$7:$HA$7,0)),0)</f>
        <v>3.8581319357332435</v>
      </c>
      <c r="AW57" s="18">
        <f>_xlfn.IFNA(INDEX(SAM!$B$8:$HA$215,MATCH($AL57,SAM!$A$8:$A$215,0),MATCH(AW$48,SAM!$B$7:$HA$7,0)),0)</f>
        <v>6.5324698507430834E-2</v>
      </c>
      <c r="AX57" s="18">
        <f>_xlfn.IFNA(INDEX(SAM!$B$8:$HA$215,MATCH($AL57,SAM!$A$8:$A$215,0),MATCH(AX$48,SAM!$B$7:$HA$7,0)),0)</f>
        <v>0.46282446427284524</v>
      </c>
      <c r="AY57" s="18">
        <f>_xlfn.IFNA(INDEX(SAM!$B$8:$HA$215,MATCH($AL57,SAM!$A$8:$A$215,0),MATCH(AY$48,SAM!$B$7:$HA$7,0)),0)</f>
        <v>0.82562256118677535</v>
      </c>
      <c r="AZ57" s="18">
        <f>_xlfn.IFNA(INDEX(SAM!$B$8:$HA$215,MATCH($AL57,SAM!$A$8:$A$215,0),MATCH(AZ$48,SAM!$B$7:$HA$7,0)),0)</f>
        <v>2.9358832848151142</v>
      </c>
      <c r="BA57" s="18">
        <f>_xlfn.IFNA(INDEX(SAM!$B$8:$HA$215,MATCH($AL57,SAM!$A$8:$A$215,0),MATCH(BA$48,SAM!$B$7:$HA$7,0)),0)</f>
        <v>23.134019859112879</v>
      </c>
      <c r="BB57" s="18"/>
      <c r="BC57" t="str">
        <f t="shared" si="115"/>
        <v>afish</v>
      </c>
      <c r="BD57" s="18">
        <f>_xlfn.IFNA(INDEX(SAM!$B$8:$HA$215,MATCH($BC57,SAM!$A$8:$A$215,0),MATCH(BD$48,SAM!$B$7:$HA$7,0)),0)</f>
        <v>0.20376449808816718</v>
      </c>
      <c r="BE57" s="18">
        <f>_xlfn.IFNA(INDEX(SAM!$B$8:$HA$215,MATCH($BC57,SAM!$A$8:$A$215,0),MATCH(BE$48,SAM!$B$7:$HA$7,0)),0)</f>
        <v>0.27293379821744168</v>
      </c>
      <c r="BF57" s="18">
        <f>_xlfn.IFNA(INDEX(SAM!$B$8:$HA$215,MATCH($BC57,SAM!$A$8:$A$215,0),MATCH(BF$48,SAM!$B$7:$HA$7,0)),0)</f>
        <v>0.34692580915442273</v>
      </c>
      <c r="BG57" s="18">
        <f>_xlfn.IFNA(INDEX(SAM!$B$8:$HA$215,MATCH($BC57,SAM!$A$8:$A$215,0),MATCH(BG$48,SAM!$B$7:$HA$7,0)),0)</f>
        <v>1.0521477191791453</v>
      </c>
      <c r="BH57" s="18">
        <f>_xlfn.IFNA(INDEX(SAM!$B$8:$HA$215,MATCH($BC57,SAM!$A$8:$A$215,0),MATCH(BH$48,SAM!$B$7:$HA$7,0)),0)</f>
        <v>1.5889140064093528</v>
      </c>
      <c r="BI57" s="18">
        <f>_xlfn.IFNA(INDEX(SAM!$B$8:$HA$215,MATCH($BC57,SAM!$A$8:$A$215,0),MATCH(BI$48,SAM!$B$7:$HA$7,0)),0)</f>
        <v>0</v>
      </c>
      <c r="BJ57" s="18">
        <f>_xlfn.IFNA(INDEX(SAM!$B$8:$HA$215,MATCH($BC57,SAM!$A$8:$A$215,0),MATCH(BJ$48,SAM!$B$7:$HA$7,0)),0)</f>
        <v>0</v>
      </c>
      <c r="BK57" s="18">
        <f>_xlfn.IFNA(INDEX(SAM!$B$8:$HA$215,MATCH($BC57,SAM!$A$8:$A$215,0),MATCH(BK$48,SAM!$B$7:$HA$7,0)),0)</f>
        <v>0</v>
      </c>
      <c r="BL57" s="18">
        <f>_xlfn.IFNA(INDEX(SAM!$B$8:$HA$215,MATCH($BC57,SAM!$A$8:$A$215,0),MATCH(BL$48,SAM!$B$7:$HA$7,0)),0)</f>
        <v>0</v>
      </c>
      <c r="BM57" s="18">
        <f>_xlfn.IFNA(INDEX(SAM!$B$8:$HA$215,MATCH($BC57,SAM!$A$8:$A$215,0),MATCH(BM$48,SAM!$B$7:$HA$7,0)),0)</f>
        <v>0</v>
      </c>
      <c r="BN57" s="18">
        <f>_xlfn.IFNA(INDEX(SAM!$B$8:$HA$215,MATCH($BC57,SAM!$A$8:$A$215,0),MATCH(BN$48,SAM!$B$7:$HA$7,0)),0)</f>
        <v>0</v>
      </c>
      <c r="BO57" s="18">
        <f>_xlfn.IFNA(INDEX(SAM!$B$8:$HA$215,MATCH($BC57,SAM!$A$8:$A$215,0),MATCH(BO$48,SAM!$B$7:$HA$7,0)),0)</f>
        <v>0</v>
      </c>
      <c r="BP57" s="18">
        <f>_xlfn.IFNA(INDEX(SAM!$B$8:$HA$215,MATCH($BC57,SAM!$A$8:$A$215,0),MATCH(BP$48,SAM!$B$7:$HA$7,0)),0)</f>
        <v>0</v>
      </c>
      <c r="BQ57" s="18">
        <f>_xlfn.IFNA(INDEX(SAM!$B$8:$HA$215,MATCH($BC57,SAM!$A$8:$A$215,0),MATCH(BQ$48,SAM!$B$7:$HA$7,0)),0)</f>
        <v>0</v>
      </c>
      <c r="BR57" s="18">
        <f>_xlfn.IFNA(INDEX(SAM!$B$8:$HA$215,MATCH($BC57,SAM!$A$8:$A$215,0),MATCH(BR$48,SAM!$B$7:$HA$7,0)),0)</f>
        <v>0.2969847532211321</v>
      </c>
      <c r="BT57" t="str">
        <f t="shared" si="109"/>
        <v>cfish</v>
      </c>
      <c r="BU57" s="7">
        <f t="shared" si="110"/>
        <v>74.660621786958927</v>
      </c>
      <c r="BW57" s="51" t="s">
        <v>681</v>
      </c>
      <c r="BX57" s="43">
        <f t="shared" si="116"/>
        <v>3.7183719161107947</v>
      </c>
    </row>
    <row r="58" spans="1:76" x14ac:dyDescent="0.35">
      <c r="A58" t="str">
        <f t="shared" si="117"/>
        <v>fish-meat-egg</v>
      </c>
      <c r="B58" t="s">
        <v>32</v>
      </c>
      <c r="C58" s="18">
        <f t="shared" si="79"/>
        <v>1.2394423652010027</v>
      </c>
      <c r="D58" s="18">
        <f t="shared" si="80"/>
        <v>2.6740354478607307</v>
      </c>
      <c r="E58" s="18">
        <f t="shared" si="81"/>
        <v>3.6742802082434576</v>
      </c>
      <c r="F58" s="18">
        <f t="shared" si="82"/>
        <v>4.5194521772201099</v>
      </c>
      <c r="G58" s="18">
        <f t="shared" si="83"/>
        <v>6.762268520412106</v>
      </c>
      <c r="H58" s="18">
        <f t="shared" si="84"/>
        <v>1.6780345870847253</v>
      </c>
      <c r="I58" s="18">
        <f t="shared" si="85"/>
        <v>4.7187121733129356</v>
      </c>
      <c r="J58" s="18">
        <f t="shared" si="86"/>
        <v>6.4810023846221414</v>
      </c>
      <c r="K58" s="18">
        <f t="shared" si="87"/>
        <v>5.7785787669693613</v>
      </c>
      <c r="L58" s="18">
        <f t="shared" si="88"/>
        <v>7.4376684325683859</v>
      </c>
      <c r="M58" s="18">
        <f t="shared" si="89"/>
        <v>1.532814486131383</v>
      </c>
      <c r="N58" s="18">
        <f t="shared" si="90"/>
        <v>3.4538078931134537</v>
      </c>
      <c r="O58" s="18">
        <f t="shared" si="91"/>
        <v>3.0470953596990804</v>
      </c>
      <c r="P58" s="18">
        <f t="shared" si="92"/>
        <v>6.1245328504212315</v>
      </c>
      <c r="Q58" s="18">
        <f t="shared" si="93"/>
        <v>5.9836477627143294</v>
      </c>
      <c r="R58" s="18">
        <f t="shared" si="94"/>
        <v>5.3593587181252031</v>
      </c>
      <c r="T58" t="str">
        <f t="shared" si="111"/>
        <v>meat</v>
      </c>
      <c r="U58" s="18">
        <f t="shared" si="112"/>
        <v>3.2526125094735097</v>
      </c>
      <c r="V58" s="18">
        <f t="shared" si="95"/>
        <v>9.996433422711684</v>
      </c>
      <c r="W58" s="18">
        <f t="shared" si="96"/>
        <v>21.417435932836455</v>
      </c>
      <c r="X58" s="18">
        <f t="shared" si="97"/>
        <v>36.094383832997764</v>
      </c>
      <c r="Y58" s="18">
        <f t="shared" si="98"/>
        <v>96.68357519964205</v>
      </c>
      <c r="Z58" s="18">
        <f t="shared" si="99"/>
        <v>0.28997287969278235</v>
      </c>
      <c r="AA58" s="18">
        <f t="shared" si="100"/>
        <v>1.0524675983303775</v>
      </c>
      <c r="AB58" s="18">
        <f t="shared" si="101"/>
        <v>1.7808009537986673</v>
      </c>
      <c r="AC58" s="18">
        <f t="shared" si="102"/>
        <v>3.1330229491407535</v>
      </c>
      <c r="AD58" s="18">
        <f t="shared" si="103"/>
        <v>16.356244262263619</v>
      </c>
      <c r="AE58" s="18">
        <f t="shared" si="104"/>
        <v>0.18300376272028887</v>
      </c>
      <c r="AF58" s="18">
        <f t="shared" si="105"/>
        <v>1.2575781589299655</v>
      </c>
      <c r="AG58" s="18">
        <f t="shared" si="106"/>
        <v>3.1411348829632244</v>
      </c>
      <c r="AH58" s="18">
        <f t="shared" si="107"/>
        <v>15.259144279224417</v>
      </c>
      <c r="AI58" s="18">
        <f t="shared" si="108"/>
        <v>140.16218566501502</v>
      </c>
      <c r="AJ58" s="18">
        <f t="shared" si="113"/>
        <v>350.05999628974058</v>
      </c>
      <c r="AL58" t="str">
        <f t="shared" si="114"/>
        <v>cmeat</v>
      </c>
      <c r="AM58" s="18">
        <f>_xlfn.IFNA(INDEX(SAM!$B$8:$HA$215,MATCH($AL58,SAM!$A$8:$A$215,0),MATCH(AM$48,SAM!$B$7:$HA$7,0)),0)</f>
        <v>3.2526125094735097</v>
      </c>
      <c r="AN58" s="18">
        <f>_xlfn.IFNA(INDEX(SAM!$B$8:$HA$215,MATCH($AL58,SAM!$A$8:$A$215,0),MATCH(AN$48,SAM!$B$7:$HA$7,0)),0)</f>
        <v>9.996433422711684</v>
      </c>
      <c r="AO58" s="18">
        <f>_xlfn.IFNA(INDEX(SAM!$B$8:$HA$215,MATCH($AL58,SAM!$A$8:$A$215,0),MATCH(AO$48,SAM!$B$7:$HA$7,0)),0)</f>
        <v>21.417435932836455</v>
      </c>
      <c r="AP58" s="18">
        <f>_xlfn.IFNA(INDEX(SAM!$B$8:$HA$215,MATCH($AL58,SAM!$A$8:$A$215,0),MATCH(AP$48,SAM!$B$7:$HA$7,0)),0)</f>
        <v>36.094383832997764</v>
      </c>
      <c r="AQ58" s="18">
        <f>_xlfn.IFNA(INDEX(SAM!$B$8:$HA$215,MATCH($AL58,SAM!$A$8:$A$215,0),MATCH(AQ$48,SAM!$B$7:$HA$7,0)),0)</f>
        <v>96.68357519964205</v>
      </c>
      <c r="AR58" s="18">
        <f>_xlfn.IFNA(INDEX(SAM!$B$8:$HA$215,MATCH($AL58,SAM!$A$8:$A$215,0),MATCH(AR$48,SAM!$B$7:$HA$7,0)),0)</f>
        <v>0.28997287969278235</v>
      </c>
      <c r="AS58" s="18">
        <f>_xlfn.IFNA(INDEX(SAM!$B$8:$HA$215,MATCH($AL58,SAM!$A$8:$A$215,0),MATCH(AS$48,SAM!$B$7:$HA$7,0)),0)</f>
        <v>1.0524675983303775</v>
      </c>
      <c r="AT58" s="18">
        <f>_xlfn.IFNA(INDEX(SAM!$B$8:$HA$215,MATCH($AL58,SAM!$A$8:$A$215,0),MATCH(AT$48,SAM!$B$7:$HA$7,0)),0)</f>
        <v>1.7808009537986673</v>
      </c>
      <c r="AU58" s="18">
        <f>_xlfn.IFNA(INDEX(SAM!$B$8:$HA$215,MATCH($AL58,SAM!$A$8:$A$215,0),MATCH(AU$48,SAM!$B$7:$HA$7,0)),0)</f>
        <v>3.1330229491407535</v>
      </c>
      <c r="AV58" s="18">
        <f>_xlfn.IFNA(INDEX(SAM!$B$8:$HA$215,MATCH($AL58,SAM!$A$8:$A$215,0),MATCH(AV$48,SAM!$B$7:$HA$7,0)),0)</f>
        <v>16.356244262263619</v>
      </c>
      <c r="AW58" s="18">
        <f>_xlfn.IFNA(INDEX(SAM!$B$8:$HA$215,MATCH($AL58,SAM!$A$8:$A$215,0),MATCH(AW$48,SAM!$B$7:$HA$7,0)),0)</f>
        <v>0.18300376272028887</v>
      </c>
      <c r="AX58" s="18">
        <f>_xlfn.IFNA(INDEX(SAM!$B$8:$HA$215,MATCH($AL58,SAM!$A$8:$A$215,0),MATCH(AX$48,SAM!$B$7:$HA$7,0)),0)</f>
        <v>1.2575781589299655</v>
      </c>
      <c r="AY58" s="18">
        <f>_xlfn.IFNA(INDEX(SAM!$B$8:$HA$215,MATCH($AL58,SAM!$A$8:$A$215,0),MATCH(AY$48,SAM!$B$7:$HA$7,0)),0)</f>
        <v>3.1411348829632244</v>
      </c>
      <c r="AZ58" s="18">
        <f>_xlfn.IFNA(INDEX(SAM!$B$8:$HA$215,MATCH($AL58,SAM!$A$8:$A$215,0),MATCH(AZ$48,SAM!$B$7:$HA$7,0)),0)</f>
        <v>15.259144279224417</v>
      </c>
      <c r="BA58" s="18">
        <f>_xlfn.IFNA(INDEX(SAM!$B$8:$HA$215,MATCH($AL58,SAM!$A$8:$A$215,0),MATCH(BA$48,SAM!$B$7:$HA$7,0)),0)</f>
        <v>140.16218566501502</v>
      </c>
      <c r="BB58" s="18"/>
      <c r="BC58" t="str">
        <f t="shared" si="115"/>
        <v>ameat</v>
      </c>
      <c r="BD58" s="18">
        <f>_xlfn.IFNA(INDEX(SAM!$B$8:$HA$215,MATCH($BC58,SAM!$A$8:$A$215,0),MATCH(BD$48,SAM!$B$7:$HA$7,0)),0)</f>
        <v>0</v>
      </c>
      <c r="BE58" s="18">
        <f>_xlfn.IFNA(INDEX(SAM!$B$8:$HA$215,MATCH($BC58,SAM!$A$8:$A$215,0),MATCH(BE$48,SAM!$B$7:$HA$7,0)),0)</f>
        <v>0</v>
      </c>
      <c r="BF58" s="18">
        <f>_xlfn.IFNA(INDEX(SAM!$B$8:$HA$215,MATCH($BC58,SAM!$A$8:$A$215,0),MATCH(BF$48,SAM!$B$7:$HA$7,0)),0)</f>
        <v>0</v>
      </c>
      <c r="BG58" s="18">
        <f>_xlfn.IFNA(INDEX(SAM!$B$8:$HA$215,MATCH($BC58,SAM!$A$8:$A$215,0),MATCH(BG$48,SAM!$B$7:$HA$7,0)),0)</f>
        <v>0</v>
      </c>
      <c r="BH58" s="18">
        <f>_xlfn.IFNA(INDEX(SAM!$B$8:$HA$215,MATCH($BC58,SAM!$A$8:$A$215,0),MATCH(BH$48,SAM!$B$7:$HA$7,0)),0)</f>
        <v>0</v>
      </c>
      <c r="BI58" s="18">
        <f>_xlfn.IFNA(INDEX(SAM!$B$8:$HA$215,MATCH($BC58,SAM!$A$8:$A$215,0),MATCH(BI$48,SAM!$B$7:$HA$7,0)),0)</f>
        <v>0</v>
      </c>
      <c r="BJ58" s="18">
        <f>_xlfn.IFNA(INDEX(SAM!$B$8:$HA$215,MATCH($BC58,SAM!$A$8:$A$215,0),MATCH(BJ$48,SAM!$B$7:$HA$7,0)),0)</f>
        <v>0</v>
      </c>
      <c r="BK58" s="18">
        <f>_xlfn.IFNA(INDEX(SAM!$B$8:$HA$215,MATCH($BC58,SAM!$A$8:$A$215,0),MATCH(BK$48,SAM!$B$7:$HA$7,0)),0)</f>
        <v>0</v>
      </c>
      <c r="BL58" s="18">
        <f>_xlfn.IFNA(INDEX(SAM!$B$8:$HA$215,MATCH($BC58,SAM!$A$8:$A$215,0),MATCH(BL$48,SAM!$B$7:$HA$7,0)),0)</f>
        <v>0</v>
      </c>
      <c r="BM58" s="18">
        <f>_xlfn.IFNA(INDEX(SAM!$B$8:$HA$215,MATCH($BC58,SAM!$A$8:$A$215,0),MATCH(BM$48,SAM!$B$7:$HA$7,0)),0)</f>
        <v>0</v>
      </c>
      <c r="BN58" s="18">
        <f>_xlfn.IFNA(INDEX(SAM!$B$8:$HA$215,MATCH($BC58,SAM!$A$8:$A$215,0),MATCH(BN$48,SAM!$B$7:$HA$7,0)),0)</f>
        <v>0</v>
      </c>
      <c r="BO58" s="18">
        <f>_xlfn.IFNA(INDEX(SAM!$B$8:$HA$215,MATCH($BC58,SAM!$A$8:$A$215,0),MATCH(BO$48,SAM!$B$7:$HA$7,0)),0)</f>
        <v>0</v>
      </c>
      <c r="BP58" s="18">
        <f>_xlfn.IFNA(INDEX(SAM!$B$8:$HA$215,MATCH($BC58,SAM!$A$8:$A$215,0),MATCH(BP$48,SAM!$B$7:$HA$7,0)),0)</f>
        <v>0</v>
      </c>
      <c r="BQ58" s="18">
        <f>_xlfn.IFNA(INDEX(SAM!$B$8:$HA$215,MATCH($BC58,SAM!$A$8:$A$215,0),MATCH(BQ$48,SAM!$B$7:$HA$7,0)),0)</f>
        <v>0</v>
      </c>
      <c r="BR58" s="18">
        <f>_xlfn.IFNA(INDEX(SAM!$B$8:$HA$215,MATCH($BC58,SAM!$A$8:$A$215,0),MATCH(BR$48,SAM!$B$7:$HA$7,0)),0)</f>
        <v>0</v>
      </c>
      <c r="BT58" t="str">
        <f t="shared" si="109"/>
        <v>cmeat</v>
      </c>
      <c r="BU58" s="7">
        <f t="shared" si="110"/>
        <v>350.05999628974058</v>
      </c>
      <c r="BW58" s="51" t="s">
        <v>289</v>
      </c>
      <c r="BX58" s="43">
        <f t="shared" si="116"/>
        <v>0.39270299179976997</v>
      </c>
    </row>
    <row r="59" spans="1:76" x14ac:dyDescent="0.35">
      <c r="A59" s="26" t="str">
        <f t="shared" si="117"/>
        <v>fish-meat-egg</v>
      </c>
      <c r="B59" s="26" t="s">
        <v>498</v>
      </c>
      <c r="C59" s="45">
        <f t="shared" si="79"/>
        <v>4.0156552920266453</v>
      </c>
      <c r="D59" s="45">
        <f t="shared" si="80"/>
        <v>3.6662134160495086</v>
      </c>
      <c r="E59" s="45">
        <f t="shared" si="81"/>
        <v>3.9427698739030426</v>
      </c>
      <c r="F59" s="45">
        <f t="shared" si="82"/>
        <v>4.0402835749078676</v>
      </c>
      <c r="G59" s="45">
        <f t="shared" si="83"/>
        <v>3.4004323469132736</v>
      </c>
      <c r="H59" s="45">
        <f t="shared" si="84"/>
        <v>4.6304527448834714</v>
      </c>
      <c r="I59" s="45">
        <f t="shared" si="85"/>
        <v>5.1184472186967316</v>
      </c>
      <c r="J59" s="45">
        <f t="shared" si="86"/>
        <v>4.8162560958154215</v>
      </c>
      <c r="K59" s="45">
        <f t="shared" si="87"/>
        <v>4.3267556303723689</v>
      </c>
      <c r="L59" s="45">
        <f t="shared" si="88"/>
        <v>2.2499080508611633</v>
      </c>
      <c r="M59" s="45">
        <f t="shared" si="89"/>
        <v>6.4815669091325425</v>
      </c>
      <c r="N59" s="45">
        <f t="shared" si="90"/>
        <v>5.3417858705491765</v>
      </c>
      <c r="O59" s="45">
        <f t="shared" si="91"/>
        <v>5.0777191209282933</v>
      </c>
      <c r="P59" s="45">
        <f t="shared" si="92"/>
        <v>4.3996752029106014</v>
      </c>
      <c r="Q59" s="45">
        <f t="shared" si="93"/>
        <v>2.115966853520916</v>
      </c>
      <c r="R59" s="45">
        <f t="shared" si="94"/>
        <v>3.1714307351978941</v>
      </c>
      <c r="S59" s="26"/>
      <c r="T59" s="26" t="str">
        <f t="shared" si="111"/>
        <v>fsea</v>
      </c>
      <c r="U59" s="45">
        <f t="shared" si="112"/>
        <v>10.538102459053173</v>
      </c>
      <c r="V59" s="45">
        <f t="shared" si="95"/>
        <v>13.705524493443455</v>
      </c>
      <c r="W59" s="45">
        <f t="shared" si="96"/>
        <v>22.982466329808243</v>
      </c>
      <c r="X59" s="45">
        <f t="shared" si="97"/>
        <v>32.267527219766073</v>
      </c>
      <c r="Y59" s="45">
        <f t="shared" si="98"/>
        <v>48.617702111605759</v>
      </c>
      <c r="Z59" s="45">
        <f t="shared" si="99"/>
        <v>0.80016569804315618</v>
      </c>
      <c r="AA59" s="45">
        <f t="shared" si="100"/>
        <v>1.1416250141106656</v>
      </c>
      <c r="AB59" s="45">
        <f t="shared" si="101"/>
        <v>1.3233745245206845</v>
      </c>
      <c r="AC59" s="45">
        <f t="shared" si="102"/>
        <v>2.3458752111793224</v>
      </c>
      <c r="AD59" s="45">
        <f t="shared" si="103"/>
        <v>4.9477932474613935</v>
      </c>
      <c r="AE59" s="45">
        <f t="shared" si="104"/>
        <v>0.77383867612593704</v>
      </c>
      <c r="AF59" s="45">
        <f t="shared" si="105"/>
        <v>1.9450164712049511</v>
      </c>
      <c r="AG59" s="45">
        <f t="shared" si="106"/>
        <v>5.2344277988767516</v>
      </c>
      <c r="AH59" s="45">
        <f t="shared" si="107"/>
        <v>10.961697870282698</v>
      </c>
      <c r="AI59" s="45">
        <f t="shared" si="108"/>
        <v>49.564839165880471</v>
      </c>
      <c r="AJ59" s="45">
        <f t="shared" si="113"/>
        <v>207.14997629136275</v>
      </c>
      <c r="AK59" s="26"/>
      <c r="AL59" s="26" t="str">
        <f t="shared" si="114"/>
        <v>cfsea</v>
      </c>
      <c r="AM59" s="45">
        <f>_xlfn.IFNA(INDEX(SAM!$B$8:$HA$215,MATCH($AL59,SAM!$A$8:$A$215,0),MATCH(AM$48,SAM!$B$7:$HA$7,0)),0)</f>
        <v>10.538102459053173</v>
      </c>
      <c r="AN59" s="45">
        <f>_xlfn.IFNA(INDEX(SAM!$B$8:$HA$215,MATCH($AL59,SAM!$A$8:$A$215,0),MATCH(AN$48,SAM!$B$7:$HA$7,0)),0)</f>
        <v>13.705524493443455</v>
      </c>
      <c r="AO59" s="45">
        <f>_xlfn.IFNA(INDEX(SAM!$B$8:$HA$215,MATCH($AL59,SAM!$A$8:$A$215,0),MATCH(AO$48,SAM!$B$7:$HA$7,0)),0)</f>
        <v>22.982466329808243</v>
      </c>
      <c r="AP59" s="45">
        <f>_xlfn.IFNA(INDEX(SAM!$B$8:$HA$215,MATCH($AL59,SAM!$A$8:$A$215,0),MATCH(AP$48,SAM!$B$7:$HA$7,0)),0)</f>
        <v>32.267527219766073</v>
      </c>
      <c r="AQ59" s="45">
        <f>_xlfn.IFNA(INDEX(SAM!$B$8:$HA$215,MATCH($AL59,SAM!$A$8:$A$215,0),MATCH(AQ$48,SAM!$B$7:$HA$7,0)),0)</f>
        <v>48.617702111605759</v>
      </c>
      <c r="AR59" s="45">
        <f>_xlfn.IFNA(INDEX(SAM!$B$8:$HA$215,MATCH($AL59,SAM!$A$8:$A$215,0),MATCH(AR$48,SAM!$B$7:$HA$7,0)),0)</f>
        <v>0.80016569804315618</v>
      </c>
      <c r="AS59" s="45">
        <f>_xlfn.IFNA(INDEX(SAM!$B$8:$HA$215,MATCH($AL59,SAM!$A$8:$A$215,0),MATCH(AS$48,SAM!$B$7:$HA$7,0)),0)</f>
        <v>1.1416250141106656</v>
      </c>
      <c r="AT59" s="45">
        <f>_xlfn.IFNA(INDEX(SAM!$B$8:$HA$215,MATCH($AL59,SAM!$A$8:$A$215,0),MATCH(AT$48,SAM!$B$7:$HA$7,0)),0)</f>
        <v>1.3233745245206845</v>
      </c>
      <c r="AU59" s="45">
        <f>_xlfn.IFNA(INDEX(SAM!$B$8:$HA$215,MATCH($AL59,SAM!$A$8:$A$215,0),MATCH(AU$48,SAM!$B$7:$HA$7,0)),0)</f>
        <v>2.3458752111793224</v>
      </c>
      <c r="AV59" s="45">
        <f>_xlfn.IFNA(INDEX(SAM!$B$8:$HA$215,MATCH($AL59,SAM!$A$8:$A$215,0),MATCH(AV$48,SAM!$B$7:$HA$7,0)),0)</f>
        <v>4.9477932474613935</v>
      </c>
      <c r="AW59" s="45">
        <f>_xlfn.IFNA(INDEX(SAM!$B$8:$HA$215,MATCH($AL59,SAM!$A$8:$A$215,0),MATCH(AW$48,SAM!$B$7:$HA$7,0)),0)</f>
        <v>0.77383867612593704</v>
      </c>
      <c r="AX59" s="45">
        <f>_xlfn.IFNA(INDEX(SAM!$B$8:$HA$215,MATCH($AL59,SAM!$A$8:$A$215,0),MATCH(AX$48,SAM!$B$7:$HA$7,0)),0)</f>
        <v>1.9450164712049511</v>
      </c>
      <c r="AY59" s="45">
        <f>_xlfn.IFNA(INDEX(SAM!$B$8:$HA$215,MATCH($AL59,SAM!$A$8:$A$215,0),MATCH(AY$48,SAM!$B$7:$HA$7,0)),0)</f>
        <v>5.2344277988767516</v>
      </c>
      <c r="AZ59" s="45">
        <f>_xlfn.IFNA(INDEX(SAM!$B$8:$HA$215,MATCH($AL59,SAM!$A$8:$A$215,0),MATCH(AZ$48,SAM!$B$7:$HA$7,0)),0)</f>
        <v>10.961697870282698</v>
      </c>
      <c r="BA59" s="45">
        <f>_xlfn.IFNA(INDEX(SAM!$B$8:$HA$215,MATCH($AL59,SAM!$A$8:$A$215,0),MATCH(BA$48,SAM!$B$7:$HA$7,0)),0)</f>
        <v>49.564839165880471</v>
      </c>
      <c r="BB59" s="45"/>
      <c r="BC59" s="26" t="str">
        <f t="shared" si="115"/>
        <v>afsea</v>
      </c>
      <c r="BD59" s="45">
        <f>_xlfn.IFNA(INDEX(SAM!$B$8:$HA$215,MATCH($BC59,SAM!$A$8:$A$215,0),MATCH(BD$48,SAM!$B$7:$HA$7,0)),0)</f>
        <v>0</v>
      </c>
      <c r="BE59" s="45">
        <f>_xlfn.IFNA(INDEX(SAM!$B$8:$HA$215,MATCH($BC59,SAM!$A$8:$A$215,0),MATCH(BE$48,SAM!$B$7:$HA$7,0)),0)</f>
        <v>0</v>
      </c>
      <c r="BF59" s="45">
        <f>_xlfn.IFNA(INDEX(SAM!$B$8:$HA$215,MATCH($BC59,SAM!$A$8:$A$215,0),MATCH(BF$48,SAM!$B$7:$HA$7,0)),0)</f>
        <v>0</v>
      </c>
      <c r="BG59" s="45">
        <f>_xlfn.IFNA(INDEX(SAM!$B$8:$HA$215,MATCH($BC59,SAM!$A$8:$A$215,0),MATCH(BG$48,SAM!$B$7:$HA$7,0)),0)</f>
        <v>0</v>
      </c>
      <c r="BH59" s="45">
        <f>_xlfn.IFNA(INDEX(SAM!$B$8:$HA$215,MATCH($BC59,SAM!$A$8:$A$215,0),MATCH(BH$48,SAM!$B$7:$HA$7,0)),0)</f>
        <v>0</v>
      </c>
      <c r="BI59" s="45">
        <f>_xlfn.IFNA(INDEX(SAM!$B$8:$HA$215,MATCH($BC59,SAM!$A$8:$A$215,0),MATCH(BI$48,SAM!$B$7:$HA$7,0)),0)</f>
        <v>0</v>
      </c>
      <c r="BJ59" s="45">
        <f>_xlfn.IFNA(INDEX(SAM!$B$8:$HA$215,MATCH($BC59,SAM!$A$8:$A$215,0),MATCH(BJ$48,SAM!$B$7:$HA$7,0)),0)</f>
        <v>0</v>
      </c>
      <c r="BK59" s="45">
        <f>_xlfn.IFNA(INDEX(SAM!$B$8:$HA$215,MATCH($BC59,SAM!$A$8:$A$215,0),MATCH(BK$48,SAM!$B$7:$HA$7,0)),0)</f>
        <v>0</v>
      </c>
      <c r="BL59" s="45">
        <f>_xlfn.IFNA(INDEX(SAM!$B$8:$HA$215,MATCH($BC59,SAM!$A$8:$A$215,0),MATCH(BL$48,SAM!$B$7:$HA$7,0)),0)</f>
        <v>0</v>
      </c>
      <c r="BM59" s="45">
        <f>_xlfn.IFNA(INDEX(SAM!$B$8:$HA$215,MATCH($BC59,SAM!$A$8:$A$215,0),MATCH(BM$48,SAM!$B$7:$HA$7,0)),0)</f>
        <v>0</v>
      </c>
      <c r="BN59" s="45">
        <f>_xlfn.IFNA(INDEX(SAM!$B$8:$HA$215,MATCH($BC59,SAM!$A$8:$A$215,0),MATCH(BN$48,SAM!$B$7:$HA$7,0)),0)</f>
        <v>0</v>
      </c>
      <c r="BO59" s="45">
        <f>_xlfn.IFNA(INDEX(SAM!$B$8:$HA$215,MATCH($BC59,SAM!$A$8:$A$215,0),MATCH(BO$48,SAM!$B$7:$HA$7,0)),0)</f>
        <v>0</v>
      </c>
      <c r="BP59" s="45">
        <f>_xlfn.IFNA(INDEX(SAM!$B$8:$HA$215,MATCH($BC59,SAM!$A$8:$A$215,0),MATCH(BP$48,SAM!$B$7:$HA$7,0)),0)</f>
        <v>0</v>
      </c>
      <c r="BQ59" s="45">
        <f>_xlfn.IFNA(INDEX(SAM!$B$8:$HA$215,MATCH($BC59,SAM!$A$8:$A$215,0),MATCH(BQ$48,SAM!$B$7:$HA$7,0)),0)</f>
        <v>0</v>
      </c>
      <c r="BR59" s="45">
        <f>_xlfn.IFNA(INDEX(SAM!$B$8:$HA$215,MATCH($BC59,SAM!$A$8:$A$215,0),MATCH(BR$48,SAM!$B$7:$HA$7,0)),0)</f>
        <v>0</v>
      </c>
      <c r="BT59" t="str">
        <f t="shared" si="109"/>
        <v>cfsea</v>
      </c>
      <c r="BU59" s="7">
        <f t="shared" si="110"/>
        <v>207.14997629136275</v>
      </c>
      <c r="BW59" s="51" t="s">
        <v>183</v>
      </c>
      <c r="BX59" s="43">
        <f t="shared" si="116"/>
        <v>0.20053290094209247</v>
      </c>
    </row>
    <row r="60" spans="1:76" x14ac:dyDescent="0.35">
      <c r="A60" t="str">
        <f t="shared" si="117"/>
        <v>diary</v>
      </c>
      <c r="B60" t="s">
        <v>496</v>
      </c>
      <c r="C60" s="18">
        <f t="shared" si="79"/>
        <v>2.4753034572708738E-2</v>
      </c>
      <c r="D60" s="18">
        <f t="shared" si="80"/>
        <v>0.1112484067002622</v>
      </c>
      <c r="E60" s="18">
        <f t="shared" si="81"/>
        <v>0.15233072896128202</v>
      </c>
      <c r="F60" s="18">
        <f t="shared" si="82"/>
        <v>0.36330092474717496</v>
      </c>
      <c r="G60" s="18">
        <f t="shared" si="83"/>
        <v>0.51592516347505601</v>
      </c>
      <c r="H60" s="18">
        <f t="shared" si="84"/>
        <v>2.9561341816513681E-2</v>
      </c>
      <c r="I60" s="18">
        <f t="shared" si="85"/>
        <v>6.1297280584316619E-2</v>
      </c>
      <c r="J60" s="18">
        <f t="shared" si="86"/>
        <v>6.55591638472557E-2</v>
      </c>
      <c r="K60" s="18">
        <f t="shared" si="87"/>
        <v>0.47718743154407395</v>
      </c>
      <c r="L60" s="18">
        <f t="shared" si="88"/>
        <v>0.45273294553286736</v>
      </c>
      <c r="M60" s="18">
        <f t="shared" si="89"/>
        <v>0.15603791563883732</v>
      </c>
      <c r="N60" s="18">
        <f t="shared" si="90"/>
        <v>0.32769827203564289</v>
      </c>
      <c r="O60" s="18">
        <f t="shared" si="91"/>
        <v>0.4276400022851567</v>
      </c>
      <c r="P60" s="18">
        <f t="shared" si="92"/>
        <v>0.36693238040035869</v>
      </c>
      <c r="Q60" s="18">
        <f t="shared" si="93"/>
        <v>0.47897296990457744</v>
      </c>
      <c r="R60" s="18">
        <f t="shared" si="94"/>
        <v>0.39270299179977003</v>
      </c>
      <c r="T60" t="str">
        <f t="shared" si="111"/>
        <v>milk</v>
      </c>
      <c r="U60" s="18">
        <f t="shared" si="112"/>
        <v>6.495826845935343E-2</v>
      </c>
      <c r="V60" s="18">
        <f t="shared" si="95"/>
        <v>0.41588352609596502</v>
      </c>
      <c r="W60" s="18">
        <f t="shared" si="96"/>
        <v>0.8879381656333265</v>
      </c>
      <c r="X60" s="18">
        <f t="shared" si="97"/>
        <v>2.9014850717534038</v>
      </c>
      <c r="Y60" s="18">
        <f t="shared" si="98"/>
        <v>7.376443155083158</v>
      </c>
      <c r="Z60" s="18">
        <f t="shared" si="99"/>
        <v>5.1083496610218153E-3</v>
      </c>
      <c r="AA60" s="18">
        <f t="shared" si="100"/>
        <v>1.3671823860251498E-2</v>
      </c>
      <c r="AB60" s="18">
        <f t="shared" si="101"/>
        <v>1.8013852577257267E-2</v>
      </c>
      <c r="AC60" s="18">
        <f t="shared" si="102"/>
        <v>0.25872091293707594</v>
      </c>
      <c r="AD60" s="18">
        <f t="shared" si="103"/>
        <v>0.99560913609489332</v>
      </c>
      <c r="AE60" s="18">
        <f t="shared" si="104"/>
        <v>1.8629472742659504E-2</v>
      </c>
      <c r="AF60" s="18">
        <f t="shared" si="105"/>
        <v>0.11931937223631145</v>
      </c>
      <c r="AG60" s="18">
        <f t="shared" si="106"/>
        <v>0.44083783733668097</v>
      </c>
      <c r="AH60" s="18">
        <f t="shared" si="107"/>
        <v>0.91420427810477667</v>
      </c>
      <c r="AI60" s="18">
        <f t="shared" si="108"/>
        <v>11.219560542085693</v>
      </c>
      <c r="AJ60" s="18">
        <f t="shared" si="113"/>
        <v>25.650383764661829</v>
      </c>
      <c r="AL60" t="str">
        <f t="shared" si="114"/>
        <v>cmilk</v>
      </c>
      <c r="AM60" s="18">
        <f>_xlfn.IFNA(INDEX(SAM!$B$8:$HA$215,MATCH($AL60,SAM!$A$8:$A$215,0),MATCH(AM$48,SAM!$B$7:$HA$7,0)),0)</f>
        <v>6.0573621736846314E-2</v>
      </c>
      <c r="AN60" s="18">
        <f>_xlfn.IFNA(INDEX(SAM!$B$8:$HA$215,MATCH($AL60,SAM!$A$8:$A$215,0),MATCH(AN$48,SAM!$B$7:$HA$7,0)),0)</f>
        <v>0.30495918541677913</v>
      </c>
      <c r="AO60" s="18">
        <f>_xlfn.IFNA(INDEX(SAM!$B$8:$HA$215,MATCH($AL60,SAM!$A$8:$A$215,0),MATCH(AO$48,SAM!$B$7:$HA$7,0)),0)</f>
        <v>0.52315584279293847</v>
      </c>
      <c r="AP60" s="18">
        <f>_xlfn.IFNA(INDEX(SAM!$B$8:$HA$215,MATCH($AL60,SAM!$A$8:$A$215,0),MATCH(AP$48,SAM!$B$7:$HA$7,0)),0)</f>
        <v>2.0424825267072793</v>
      </c>
      <c r="AQ60" s="18">
        <f>_xlfn.IFNA(INDEX(SAM!$B$8:$HA$215,MATCH($AL60,SAM!$A$8:$A$215,0),MATCH(AQ$48,SAM!$B$7:$HA$7,0)),0)</f>
        <v>5.5159526073300462</v>
      </c>
      <c r="AR60" s="18">
        <f>_xlfn.IFNA(INDEX(SAM!$B$8:$HA$215,MATCH($AL60,SAM!$A$8:$A$215,0),MATCH(AR$48,SAM!$B$7:$HA$7,0)),0)</f>
        <v>5.1083496610218153E-3</v>
      </c>
      <c r="AS60" s="18">
        <f>_xlfn.IFNA(INDEX(SAM!$B$8:$HA$215,MATCH($AL60,SAM!$A$8:$A$215,0),MATCH(AS$48,SAM!$B$7:$HA$7,0)),0)</f>
        <v>1.3671823860251498E-2</v>
      </c>
      <c r="AT60" s="18">
        <f>_xlfn.IFNA(INDEX(SAM!$B$8:$HA$215,MATCH($AL60,SAM!$A$8:$A$215,0),MATCH(AT$48,SAM!$B$7:$HA$7,0)),0)</f>
        <v>1.8013852577257267E-2</v>
      </c>
      <c r="AU60" s="18">
        <f>_xlfn.IFNA(INDEX(SAM!$B$8:$HA$215,MATCH($AL60,SAM!$A$8:$A$215,0),MATCH(AU$48,SAM!$B$7:$HA$7,0)),0)</f>
        <v>0.25872091293707594</v>
      </c>
      <c r="AV60" s="18">
        <f>_xlfn.IFNA(INDEX(SAM!$B$8:$HA$215,MATCH($AL60,SAM!$A$8:$A$215,0),MATCH(AV$48,SAM!$B$7:$HA$7,0)),0)</f>
        <v>0.99560913609489332</v>
      </c>
      <c r="AW60" s="18">
        <f>_xlfn.IFNA(INDEX(SAM!$B$8:$HA$215,MATCH($AL60,SAM!$A$8:$A$215,0),MATCH(AW$48,SAM!$B$7:$HA$7,0)),0)</f>
        <v>1.8629472742659504E-2</v>
      </c>
      <c r="AX60" s="18">
        <f>_xlfn.IFNA(INDEX(SAM!$B$8:$HA$215,MATCH($AL60,SAM!$A$8:$A$215,0),MATCH(AX$48,SAM!$B$7:$HA$7,0)),0)</f>
        <v>0.11931937223631145</v>
      </c>
      <c r="AY60" s="18">
        <f>_xlfn.IFNA(INDEX(SAM!$B$8:$HA$215,MATCH($AL60,SAM!$A$8:$A$215,0),MATCH(AY$48,SAM!$B$7:$HA$7,0)),0)</f>
        <v>0.44083783733668097</v>
      </c>
      <c r="AZ60" s="18">
        <f>_xlfn.IFNA(INDEX(SAM!$B$8:$HA$215,MATCH($AL60,SAM!$A$8:$A$215,0),MATCH(AZ$48,SAM!$B$7:$HA$7,0)),0)</f>
        <v>0.91420427810477667</v>
      </c>
      <c r="BA60" s="18">
        <f>_xlfn.IFNA(INDEX(SAM!$B$8:$HA$215,MATCH($AL60,SAM!$A$8:$A$215,0),MATCH(BA$48,SAM!$B$7:$HA$7,0)),0)</f>
        <v>11.07558350802244</v>
      </c>
      <c r="BB60" s="18"/>
      <c r="BC60" t="str">
        <f t="shared" si="115"/>
        <v>amilk</v>
      </c>
      <c r="BD60" s="18">
        <f>_xlfn.IFNA(INDEX(SAM!$B$8:$HA$215,MATCH($BC60,SAM!$A$8:$A$215,0),MATCH(BD$48,SAM!$B$7:$HA$7,0)),0)</f>
        <v>4.3846467225071087E-3</v>
      </c>
      <c r="BE60" s="18">
        <f>_xlfn.IFNA(INDEX(SAM!$B$8:$HA$215,MATCH($BC60,SAM!$A$8:$A$215,0),MATCH(BE$48,SAM!$B$7:$HA$7,0)),0)</f>
        <v>0.11092434067918587</v>
      </c>
      <c r="BF60" s="18">
        <f>_xlfn.IFNA(INDEX(SAM!$B$8:$HA$215,MATCH($BC60,SAM!$A$8:$A$215,0),MATCH(BF$48,SAM!$B$7:$HA$7,0)),0)</f>
        <v>0.36478232284038808</v>
      </c>
      <c r="BG60" s="18">
        <f>_xlfn.IFNA(INDEX(SAM!$B$8:$HA$215,MATCH($BC60,SAM!$A$8:$A$215,0),MATCH(BG$48,SAM!$B$7:$HA$7,0)),0)</f>
        <v>0.85900254504612439</v>
      </c>
      <c r="BH60" s="18">
        <f>_xlfn.IFNA(INDEX(SAM!$B$8:$HA$215,MATCH($BC60,SAM!$A$8:$A$215,0),MATCH(BH$48,SAM!$B$7:$HA$7,0)),0)</f>
        <v>1.8604905477531115</v>
      </c>
      <c r="BI60" s="18">
        <f>_xlfn.IFNA(INDEX(SAM!$B$8:$HA$215,MATCH($BC60,SAM!$A$8:$A$215,0),MATCH(BI$48,SAM!$B$7:$HA$7,0)),0)</f>
        <v>0</v>
      </c>
      <c r="BJ60" s="18">
        <f>_xlfn.IFNA(INDEX(SAM!$B$8:$HA$215,MATCH($BC60,SAM!$A$8:$A$215,0),MATCH(BJ$48,SAM!$B$7:$HA$7,0)),0)</f>
        <v>0</v>
      </c>
      <c r="BK60" s="18">
        <f>_xlfn.IFNA(INDEX(SAM!$B$8:$HA$215,MATCH($BC60,SAM!$A$8:$A$215,0),MATCH(BK$48,SAM!$B$7:$HA$7,0)),0)</f>
        <v>0</v>
      </c>
      <c r="BL60" s="18">
        <f>_xlfn.IFNA(INDEX(SAM!$B$8:$HA$215,MATCH($BC60,SAM!$A$8:$A$215,0),MATCH(BL$48,SAM!$B$7:$HA$7,0)),0)</f>
        <v>0</v>
      </c>
      <c r="BM60" s="18">
        <f>_xlfn.IFNA(INDEX(SAM!$B$8:$HA$215,MATCH($BC60,SAM!$A$8:$A$215,0),MATCH(BM$48,SAM!$B$7:$HA$7,0)),0)</f>
        <v>0</v>
      </c>
      <c r="BN60" s="18">
        <f>_xlfn.IFNA(INDEX(SAM!$B$8:$HA$215,MATCH($BC60,SAM!$A$8:$A$215,0),MATCH(BN$48,SAM!$B$7:$HA$7,0)),0)</f>
        <v>0</v>
      </c>
      <c r="BO60" s="18">
        <f>_xlfn.IFNA(INDEX(SAM!$B$8:$HA$215,MATCH($BC60,SAM!$A$8:$A$215,0),MATCH(BO$48,SAM!$B$7:$HA$7,0)),0)</f>
        <v>0</v>
      </c>
      <c r="BP60" s="18">
        <f>_xlfn.IFNA(INDEX(SAM!$B$8:$HA$215,MATCH($BC60,SAM!$A$8:$A$215,0),MATCH(BP$48,SAM!$B$7:$HA$7,0)),0)</f>
        <v>0</v>
      </c>
      <c r="BQ60" s="18">
        <f>_xlfn.IFNA(INDEX(SAM!$B$8:$HA$215,MATCH($BC60,SAM!$A$8:$A$215,0),MATCH(BQ$48,SAM!$B$7:$HA$7,0)),0)</f>
        <v>0</v>
      </c>
      <c r="BR60" s="18">
        <f>_xlfn.IFNA(INDEX(SAM!$B$8:$HA$215,MATCH($BC60,SAM!$A$8:$A$215,0),MATCH(BR$48,SAM!$B$7:$HA$7,0)),0)</f>
        <v>0.14397703406325277</v>
      </c>
      <c r="BT60" t="str">
        <f t="shared" si="109"/>
        <v>cmilk</v>
      </c>
      <c r="BU60" s="7">
        <f t="shared" si="110"/>
        <v>25.650383764661825</v>
      </c>
      <c r="BW60" s="51" t="s">
        <v>184</v>
      </c>
      <c r="BX60" s="43">
        <f t="shared" si="116"/>
        <v>1.1430413600970313</v>
      </c>
    </row>
    <row r="61" spans="1:76" x14ac:dyDescent="0.35">
      <c r="A61" s="26" t="str">
        <f t="shared" si="117"/>
        <v>diary</v>
      </c>
      <c r="B61" s="26" t="s">
        <v>500</v>
      </c>
      <c r="C61" s="45">
        <f t="shared" si="79"/>
        <v>1.9094610867816015E-2</v>
      </c>
      <c r="D61" s="45">
        <f t="shared" si="80"/>
        <v>0.10584058881125476</v>
      </c>
      <c r="E61" s="45">
        <f t="shared" si="81"/>
        <v>0.13098261875528391</v>
      </c>
      <c r="F61" s="45">
        <f t="shared" si="82"/>
        <v>0.25819541047940242</v>
      </c>
      <c r="G61" s="45">
        <f t="shared" si="83"/>
        <v>0.41930769033189053</v>
      </c>
      <c r="H61" s="45">
        <f t="shared" si="84"/>
        <v>0.13821742871128423</v>
      </c>
      <c r="I61" s="45">
        <f t="shared" si="85"/>
        <v>2.0155396435206061E-2</v>
      </c>
      <c r="J61" s="45">
        <f t="shared" si="86"/>
        <v>0.29101044717727492</v>
      </c>
      <c r="K61" s="45">
        <f t="shared" si="87"/>
        <v>0.33841119870247743</v>
      </c>
      <c r="L61" s="45">
        <f t="shared" si="88"/>
        <v>0.63460847330363712</v>
      </c>
      <c r="M61" s="45">
        <f t="shared" si="89"/>
        <v>0.84556572275813979</v>
      </c>
      <c r="N61" s="45">
        <f t="shared" si="90"/>
        <v>9.5083901565286691E-2</v>
      </c>
      <c r="O61" s="45">
        <f t="shared" si="91"/>
        <v>0.24581377403503063</v>
      </c>
      <c r="P61" s="45">
        <f t="shared" si="92"/>
        <v>0.39887843266493528</v>
      </c>
      <c r="Q61" s="45">
        <f t="shared" si="93"/>
        <v>0.4340915604774685</v>
      </c>
      <c r="R61" s="45">
        <f t="shared" si="94"/>
        <v>0.34454480093902157</v>
      </c>
      <c r="S61" s="26"/>
      <c r="T61" s="26" t="str">
        <f t="shared" si="111"/>
        <v>dair</v>
      </c>
      <c r="U61" s="45">
        <f t="shared" si="112"/>
        <v>5.010912319599075E-2</v>
      </c>
      <c r="V61" s="45">
        <f t="shared" si="95"/>
        <v>0.39566730512819137</v>
      </c>
      <c r="W61" s="45">
        <f t="shared" si="96"/>
        <v>0.76349970239410669</v>
      </c>
      <c r="X61" s="45">
        <f t="shared" si="97"/>
        <v>2.0620650212288072</v>
      </c>
      <c r="Y61" s="45">
        <f t="shared" si="98"/>
        <v>5.9950542466067231</v>
      </c>
      <c r="Z61" s="45">
        <f t="shared" si="99"/>
        <v>2.388467206553431E-2</v>
      </c>
      <c r="AA61" s="45">
        <f t="shared" si="100"/>
        <v>4.4954853994971945E-3</v>
      </c>
      <c r="AB61" s="45">
        <f t="shared" si="101"/>
        <v>7.9961655796996295E-2</v>
      </c>
      <c r="AC61" s="45">
        <f t="shared" si="102"/>
        <v>0.18347938040431921</v>
      </c>
      <c r="AD61" s="45">
        <f t="shared" si="103"/>
        <v>1.3955732625569757</v>
      </c>
      <c r="AE61" s="45">
        <f t="shared" si="104"/>
        <v>0.10095266602195768</v>
      </c>
      <c r="AF61" s="45">
        <f t="shared" si="105"/>
        <v>3.4621334357586221E-2</v>
      </c>
      <c r="AG61" s="45">
        <f t="shared" si="106"/>
        <v>0.25340008407565145</v>
      </c>
      <c r="AH61" s="45">
        <f t="shared" si="107"/>
        <v>0.99379719279104384</v>
      </c>
      <c r="AI61" s="45">
        <f t="shared" si="108"/>
        <v>10.16824925330482</v>
      </c>
      <c r="AJ61" s="45">
        <f t="shared" si="113"/>
        <v>22.504810385328202</v>
      </c>
      <c r="AK61" s="26"/>
      <c r="AL61" s="26" t="str">
        <f t="shared" si="114"/>
        <v>cdair</v>
      </c>
      <c r="AM61" s="45">
        <f>_xlfn.IFNA(INDEX(SAM!$B$8:$HA$215,MATCH($AL61,SAM!$A$8:$A$215,0),MATCH(AM$48,SAM!$B$7:$HA$7,0)),0)</f>
        <v>5.010912319599075E-2</v>
      </c>
      <c r="AN61" s="45">
        <f>_xlfn.IFNA(INDEX(SAM!$B$8:$HA$215,MATCH($AL61,SAM!$A$8:$A$215,0),MATCH(AN$48,SAM!$B$7:$HA$7,0)),0)</f>
        <v>0.39566730512819137</v>
      </c>
      <c r="AO61" s="45">
        <f>_xlfn.IFNA(INDEX(SAM!$B$8:$HA$215,MATCH($AL61,SAM!$A$8:$A$215,0),MATCH(AO$48,SAM!$B$7:$HA$7,0)),0)</f>
        <v>0.76349970239410669</v>
      </c>
      <c r="AP61" s="45">
        <f>_xlfn.IFNA(INDEX(SAM!$B$8:$HA$215,MATCH($AL61,SAM!$A$8:$A$215,0),MATCH(AP$48,SAM!$B$7:$HA$7,0)),0)</f>
        <v>2.0620650212288072</v>
      </c>
      <c r="AQ61" s="45">
        <f>_xlfn.IFNA(INDEX(SAM!$B$8:$HA$215,MATCH($AL61,SAM!$A$8:$A$215,0),MATCH(AQ$48,SAM!$B$7:$HA$7,0)),0)</f>
        <v>5.9950542466067231</v>
      </c>
      <c r="AR61" s="45">
        <f>_xlfn.IFNA(INDEX(SAM!$B$8:$HA$215,MATCH($AL61,SAM!$A$8:$A$215,0),MATCH(AR$48,SAM!$B$7:$HA$7,0)),0)</f>
        <v>2.388467206553431E-2</v>
      </c>
      <c r="AS61" s="45">
        <f>_xlfn.IFNA(INDEX(SAM!$B$8:$HA$215,MATCH($AL61,SAM!$A$8:$A$215,0),MATCH(AS$48,SAM!$B$7:$HA$7,0)),0)</f>
        <v>4.4954853994971945E-3</v>
      </c>
      <c r="AT61" s="45">
        <f>_xlfn.IFNA(INDEX(SAM!$B$8:$HA$215,MATCH($AL61,SAM!$A$8:$A$215,0),MATCH(AT$48,SAM!$B$7:$HA$7,0)),0)</f>
        <v>7.9961655796996295E-2</v>
      </c>
      <c r="AU61" s="45">
        <f>_xlfn.IFNA(INDEX(SAM!$B$8:$HA$215,MATCH($AL61,SAM!$A$8:$A$215,0),MATCH(AU$48,SAM!$B$7:$HA$7,0)),0)</f>
        <v>0.18347938040431921</v>
      </c>
      <c r="AV61" s="45">
        <f>_xlfn.IFNA(INDEX(SAM!$B$8:$HA$215,MATCH($AL61,SAM!$A$8:$A$215,0),MATCH(AV$48,SAM!$B$7:$HA$7,0)),0)</f>
        <v>1.3955732625569757</v>
      </c>
      <c r="AW61" s="45">
        <f>_xlfn.IFNA(INDEX(SAM!$B$8:$HA$215,MATCH($AL61,SAM!$A$8:$A$215,0),MATCH(AW$48,SAM!$B$7:$HA$7,0)),0)</f>
        <v>0.10095266602195768</v>
      </c>
      <c r="AX61" s="45">
        <f>_xlfn.IFNA(INDEX(SAM!$B$8:$HA$215,MATCH($AL61,SAM!$A$8:$A$215,0),MATCH(AX$48,SAM!$B$7:$HA$7,0)),0)</f>
        <v>3.4621334357586221E-2</v>
      </c>
      <c r="AY61" s="45">
        <f>_xlfn.IFNA(INDEX(SAM!$B$8:$HA$215,MATCH($AL61,SAM!$A$8:$A$215,0),MATCH(AY$48,SAM!$B$7:$HA$7,0)),0)</f>
        <v>0.25340008407565145</v>
      </c>
      <c r="AZ61" s="45">
        <f>_xlfn.IFNA(INDEX(SAM!$B$8:$HA$215,MATCH($AL61,SAM!$A$8:$A$215,0),MATCH(AZ$48,SAM!$B$7:$HA$7,0)),0)</f>
        <v>0.99379719279104384</v>
      </c>
      <c r="BA61" s="45">
        <f>_xlfn.IFNA(INDEX(SAM!$B$8:$HA$215,MATCH($AL61,SAM!$A$8:$A$215,0),MATCH(BA$48,SAM!$B$7:$HA$7,0)),0)</f>
        <v>10.16824925330482</v>
      </c>
      <c r="BB61" s="45"/>
      <c r="BC61" s="26" t="str">
        <f t="shared" si="115"/>
        <v>adair</v>
      </c>
      <c r="BD61" s="45">
        <f>_xlfn.IFNA(INDEX(SAM!$B$8:$HA$215,MATCH($BC61,SAM!$A$8:$A$215,0),MATCH(BD$48,SAM!$B$7:$HA$7,0)),0)</f>
        <v>0</v>
      </c>
      <c r="BE61" s="45">
        <f>_xlfn.IFNA(INDEX(SAM!$B$8:$HA$215,MATCH($BC61,SAM!$A$8:$A$215,0),MATCH(BE$48,SAM!$B$7:$HA$7,0)),0)</f>
        <v>0</v>
      </c>
      <c r="BF61" s="45">
        <f>_xlfn.IFNA(INDEX(SAM!$B$8:$HA$215,MATCH($BC61,SAM!$A$8:$A$215,0),MATCH(BF$48,SAM!$B$7:$HA$7,0)),0)</f>
        <v>0</v>
      </c>
      <c r="BG61" s="45">
        <f>_xlfn.IFNA(INDEX(SAM!$B$8:$HA$215,MATCH($BC61,SAM!$A$8:$A$215,0),MATCH(BG$48,SAM!$B$7:$HA$7,0)),0)</f>
        <v>0</v>
      </c>
      <c r="BH61" s="45">
        <f>_xlfn.IFNA(INDEX(SAM!$B$8:$HA$215,MATCH($BC61,SAM!$A$8:$A$215,0),MATCH(BH$48,SAM!$B$7:$HA$7,0)),0)</f>
        <v>0</v>
      </c>
      <c r="BI61" s="45">
        <f>_xlfn.IFNA(INDEX(SAM!$B$8:$HA$215,MATCH($BC61,SAM!$A$8:$A$215,0),MATCH(BI$48,SAM!$B$7:$HA$7,0)),0)</f>
        <v>0</v>
      </c>
      <c r="BJ61" s="45">
        <f>_xlfn.IFNA(INDEX(SAM!$B$8:$HA$215,MATCH($BC61,SAM!$A$8:$A$215,0),MATCH(BJ$48,SAM!$B$7:$HA$7,0)),0)</f>
        <v>0</v>
      </c>
      <c r="BK61" s="45">
        <f>_xlfn.IFNA(INDEX(SAM!$B$8:$HA$215,MATCH($BC61,SAM!$A$8:$A$215,0),MATCH(BK$48,SAM!$B$7:$HA$7,0)),0)</f>
        <v>0</v>
      </c>
      <c r="BL61" s="45">
        <f>_xlfn.IFNA(INDEX(SAM!$B$8:$HA$215,MATCH($BC61,SAM!$A$8:$A$215,0),MATCH(BL$48,SAM!$B$7:$HA$7,0)),0)</f>
        <v>0</v>
      </c>
      <c r="BM61" s="45">
        <f>_xlfn.IFNA(INDEX(SAM!$B$8:$HA$215,MATCH($BC61,SAM!$A$8:$A$215,0),MATCH(BM$48,SAM!$B$7:$HA$7,0)),0)</f>
        <v>0</v>
      </c>
      <c r="BN61" s="45">
        <f>_xlfn.IFNA(INDEX(SAM!$B$8:$HA$215,MATCH($BC61,SAM!$A$8:$A$215,0),MATCH(BN$48,SAM!$B$7:$HA$7,0)),0)</f>
        <v>0</v>
      </c>
      <c r="BO61" s="45">
        <f>_xlfn.IFNA(INDEX(SAM!$B$8:$HA$215,MATCH($BC61,SAM!$A$8:$A$215,0),MATCH(BO$48,SAM!$B$7:$HA$7,0)),0)</f>
        <v>0</v>
      </c>
      <c r="BP61" s="45">
        <f>_xlfn.IFNA(INDEX(SAM!$B$8:$HA$215,MATCH($BC61,SAM!$A$8:$A$215,0),MATCH(BP$48,SAM!$B$7:$HA$7,0)),0)</f>
        <v>0</v>
      </c>
      <c r="BQ61" s="45">
        <f>_xlfn.IFNA(INDEX(SAM!$B$8:$HA$215,MATCH($BC61,SAM!$A$8:$A$215,0),MATCH(BQ$48,SAM!$B$7:$HA$7,0)),0)</f>
        <v>0</v>
      </c>
      <c r="BR61" s="45">
        <f>_xlfn.IFNA(INDEX(SAM!$B$8:$HA$215,MATCH($BC61,SAM!$A$8:$A$215,0),MATCH(BR$48,SAM!$B$7:$HA$7,0)),0)</f>
        <v>0</v>
      </c>
      <c r="BT61" t="str">
        <f t="shared" si="109"/>
        <v>cdair</v>
      </c>
      <c r="BU61" s="7">
        <f t="shared" si="110"/>
        <v>22.504810385328202</v>
      </c>
      <c r="BW61" s="51" t="s">
        <v>682</v>
      </c>
      <c r="BX61" s="43">
        <f t="shared" si="116"/>
        <v>0</v>
      </c>
    </row>
    <row r="62" spans="1:76" x14ac:dyDescent="0.35">
      <c r="A62" t="str">
        <f t="shared" si="117"/>
        <v>fats &amp; oils</v>
      </c>
      <c r="B62" t="s">
        <v>25</v>
      </c>
      <c r="C62" s="18">
        <f t="shared" si="79"/>
        <v>0.71892293472909208</v>
      </c>
      <c r="D62" s="18">
        <f t="shared" si="80"/>
        <v>0.90265201149577445</v>
      </c>
      <c r="E62" s="18">
        <f t="shared" si="81"/>
        <v>1.1596382145252435</v>
      </c>
      <c r="F62" s="18">
        <f t="shared" si="82"/>
        <v>1.6663037171896748</v>
      </c>
      <c r="G62" s="18">
        <f t="shared" si="83"/>
        <v>1.2676055084313631</v>
      </c>
      <c r="H62" s="18">
        <f t="shared" si="84"/>
        <v>0.38963216765797226</v>
      </c>
      <c r="I62" s="18">
        <f t="shared" si="85"/>
        <v>1.0133195371151655</v>
      </c>
      <c r="J62" s="18">
        <f t="shared" si="86"/>
        <v>0.28578593817075765</v>
      </c>
      <c r="K62" s="18">
        <f t="shared" si="87"/>
        <v>0.52004025995621184</v>
      </c>
      <c r="L62" s="18">
        <f t="shared" si="88"/>
        <v>0.3555026391526302</v>
      </c>
      <c r="M62" s="18">
        <f t="shared" si="89"/>
        <v>8.3549126271709906E-2</v>
      </c>
      <c r="N62" s="18">
        <f t="shared" si="90"/>
        <v>0.10915513877693725</v>
      </c>
      <c r="O62" s="18">
        <f t="shared" si="91"/>
        <v>0.19217707733216663</v>
      </c>
      <c r="P62" s="18">
        <f t="shared" si="92"/>
        <v>0.42409478622711505</v>
      </c>
      <c r="Q62" s="18">
        <f t="shared" si="93"/>
        <v>0.21646432307230742</v>
      </c>
      <c r="R62" s="18">
        <f t="shared" si="94"/>
        <v>0.78482191915382737</v>
      </c>
      <c r="T62" t="str">
        <f t="shared" si="111"/>
        <v>oils</v>
      </c>
      <c r="U62" s="18">
        <f t="shared" si="112"/>
        <v>1.8866369235878371</v>
      </c>
      <c r="V62" s="18">
        <f t="shared" si="95"/>
        <v>3.374413283867673</v>
      </c>
      <c r="W62" s="18">
        <f t="shared" si="96"/>
        <v>6.7595490156524285</v>
      </c>
      <c r="X62" s="18">
        <f t="shared" si="97"/>
        <v>13.307853162767493</v>
      </c>
      <c r="Y62" s="18">
        <f t="shared" si="98"/>
        <v>18.123597447803707</v>
      </c>
      <c r="Z62" s="18">
        <f t="shared" si="99"/>
        <v>6.7330412940420872E-2</v>
      </c>
      <c r="AA62" s="18">
        <f t="shared" si="100"/>
        <v>0.22601208558564923</v>
      </c>
      <c r="AB62" s="18">
        <f t="shared" si="101"/>
        <v>7.8526104616825243E-2</v>
      </c>
      <c r="AC62" s="18">
        <f t="shared" si="102"/>
        <v>0.2819548083748693</v>
      </c>
      <c r="AD62" s="18">
        <f t="shared" si="103"/>
        <v>0.78178908546099912</v>
      </c>
      <c r="AE62" s="18">
        <f t="shared" si="104"/>
        <v>9.9749869394207373E-3</v>
      </c>
      <c r="AF62" s="18">
        <f t="shared" si="105"/>
        <v>3.9744862108442816E-2</v>
      </c>
      <c r="AG62" s="18">
        <f t="shared" si="106"/>
        <v>0.19810805047256688</v>
      </c>
      <c r="AH62" s="18">
        <f t="shared" si="107"/>
        <v>1.0566232052557776</v>
      </c>
      <c r="AI62" s="18">
        <f t="shared" si="108"/>
        <v>5.0705044553875158</v>
      </c>
      <c r="AJ62" s="18">
        <f t="shared" si="113"/>
        <v>51.26261789082163</v>
      </c>
      <c r="AL62" t="str">
        <f t="shared" si="114"/>
        <v>coils</v>
      </c>
      <c r="AM62" s="18">
        <f>_xlfn.IFNA(INDEX(SAM!$B$8:$HA$215,MATCH($AL62,SAM!$A$8:$A$215,0),MATCH(AM$48,SAM!$B$7:$HA$7,0)),0)</f>
        <v>0.86159657628924813</v>
      </c>
      <c r="AN62" s="18">
        <f>_xlfn.IFNA(INDEX(SAM!$B$8:$HA$215,MATCH($AL62,SAM!$A$8:$A$215,0),MATCH(AN$48,SAM!$B$7:$HA$7,0)),0)</f>
        <v>0.98152285312411558</v>
      </c>
      <c r="AO62" s="18">
        <f>_xlfn.IFNA(INDEX(SAM!$B$8:$HA$215,MATCH($AL62,SAM!$A$8:$A$215,0),MATCH(AO$48,SAM!$B$7:$HA$7,0)),0)</f>
        <v>1.8291439257937026</v>
      </c>
      <c r="AP62" s="18">
        <f>_xlfn.IFNA(INDEX(SAM!$B$8:$HA$215,MATCH($AL62,SAM!$A$8:$A$215,0),MATCH(AP$48,SAM!$B$7:$HA$7,0)),0)</f>
        <v>3.5050146705586465</v>
      </c>
      <c r="AQ62" s="18">
        <f>_xlfn.IFNA(INDEX(SAM!$B$8:$HA$215,MATCH($AL62,SAM!$A$8:$A$215,0),MATCH(AQ$48,SAM!$B$7:$HA$7,0)),0)</f>
        <v>4.8155546419323256</v>
      </c>
      <c r="AR62" s="18">
        <f>_xlfn.IFNA(INDEX(SAM!$B$8:$HA$215,MATCH($AL62,SAM!$A$8:$A$215,0),MATCH(AR$48,SAM!$B$7:$HA$7,0)),0)</f>
        <v>6.7330412940420872E-2</v>
      </c>
      <c r="AS62" s="18">
        <f>_xlfn.IFNA(INDEX(SAM!$B$8:$HA$215,MATCH($AL62,SAM!$A$8:$A$215,0),MATCH(AS$48,SAM!$B$7:$HA$7,0)),0)</f>
        <v>0.22601208558564923</v>
      </c>
      <c r="AT62" s="18">
        <f>_xlfn.IFNA(INDEX(SAM!$B$8:$HA$215,MATCH($AL62,SAM!$A$8:$A$215,0),MATCH(AT$48,SAM!$B$7:$HA$7,0)),0)</f>
        <v>7.8526104616825243E-2</v>
      </c>
      <c r="AU62" s="18">
        <f>_xlfn.IFNA(INDEX(SAM!$B$8:$HA$215,MATCH($AL62,SAM!$A$8:$A$215,0),MATCH(AU$48,SAM!$B$7:$HA$7,0)),0)</f>
        <v>0.2819548083748693</v>
      </c>
      <c r="AV62" s="18">
        <f>_xlfn.IFNA(INDEX(SAM!$B$8:$HA$215,MATCH($AL62,SAM!$A$8:$A$215,0),MATCH(AV$48,SAM!$B$7:$HA$7,0)),0)</f>
        <v>0.78178908546099912</v>
      </c>
      <c r="AW62" s="18">
        <f>_xlfn.IFNA(INDEX(SAM!$B$8:$HA$215,MATCH($AL62,SAM!$A$8:$A$215,0),MATCH(AW$48,SAM!$B$7:$HA$7,0)),0)</f>
        <v>9.9749869394207373E-3</v>
      </c>
      <c r="AX62" s="18">
        <f>_xlfn.IFNA(INDEX(SAM!$B$8:$HA$215,MATCH($AL62,SAM!$A$8:$A$215,0),MATCH(AX$48,SAM!$B$7:$HA$7,0)),0)</f>
        <v>3.9744862108442816E-2</v>
      </c>
      <c r="AY62" s="18">
        <f>_xlfn.IFNA(INDEX(SAM!$B$8:$HA$215,MATCH($AL62,SAM!$A$8:$A$215,0),MATCH(AY$48,SAM!$B$7:$HA$7,0)),0)</f>
        <v>0.16173819673242404</v>
      </c>
      <c r="AZ62" s="18">
        <f>_xlfn.IFNA(INDEX(SAM!$B$8:$HA$215,MATCH($AL62,SAM!$A$8:$A$215,0),MATCH(AZ$48,SAM!$B$7:$HA$7,0)),0)</f>
        <v>0.76288805304284235</v>
      </c>
      <c r="BA62" s="18">
        <f>_xlfn.IFNA(INDEX(SAM!$B$8:$HA$215,MATCH($AL62,SAM!$A$8:$A$215,0),MATCH(BA$48,SAM!$B$7:$HA$7,0)),0)</f>
        <v>4.1145220918233125</v>
      </c>
      <c r="BB62" s="18"/>
      <c r="BC62" t="str">
        <f t="shared" si="115"/>
        <v>aoils</v>
      </c>
      <c r="BD62" s="18">
        <f>_xlfn.IFNA(INDEX(SAM!$B$8:$HA$215,MATCH($BC62,SAM!$A$8:$A$215,0),MATCH(BD$48,SAM!$B$7:$HA$7,0)),0)</f>
        <v>1.0250403472985889</v>
      </c>
      <c r="BE62" s="18">
        <f>_xlfn.IFNA(INDEX(SAM!$B$8:$HA$215,MATCH($BC62,SAM!$A$8:$A$215,0),MATCH(BE$48,SAM!$B$7:$HA$7,0)),0)</f>
        <v>2.3928904307435577</v>
      </c>
      <c r="BF62" s="18">
        <f>_xlfn.IFNA(INDEX(SAM!$B$8:$HA$215,MATCH($BC62,SAM!$A$8:$A$215,0),MATCH(BF$48,SAM!$B$7:$HA$7,0)),0)</f>
        <v>4.9304050898587262</v>
      </c>
      <c r="BG62" s="18">
        <f>_xlfn.IFNA(INDEX(SAM!$B$8:$HA$215,MATCH($BC62,SAM!$A$8:$A$215,0),MATCH(BG$48,SAM!$B$7:$HA$7,0)),0)</f>
        <v>9.8028384922088474</v>
      </c>
      <c r="BH62" s="18">
        <f>_xlfn.IFNA(INDEX(SAM!$B$8:$HA$215,MATCH($BC62,SAM!$A$8:$A$215,0),MATCH(BH$48,SAM!$B$7:$HA$7,0)),0)</f>
        <v>13.308042805871382</v>
      </c>
      <c r="BI62" s="18">
        <f>_xlfn.IFNA(INDEX(SAM!$B$8:$HA$215,MATCH($BC62,SAM!$A$8:$A$215,0),MATCH(BI$48,SAM!$B$7:$HA$7,0)),0)</f>
        <v>0</v>
      </c>
      <c r="BJ62" s="18">
        <f>_xlfn.IFNA(INDEX(SAM!$B$8:$HA$215,MATCH($BC62,SAM!$A$8:$A$215,0),MATCH(BJ$48,SAM!$B$7:$HA$7,0)),0)</f>
        <v>0</v>
      </c>
      <c r="BK62" s="18">
        <f>_xlfn.IFNA(INDEX(SAM!$B$8:$HA$215,MATCH($BC62,SAM!$A$8:$A$215,0),MATCH(BK$48,SAM!$B$7:$HA$7,0)),0)</f>
        <v>0</v>
      </c>
      <c r="BL62" s="18">
        <f>_xlfn.IFNA(INDEX(SAM!$B$8:$HA$215,MATCH($BC62,SAM!$A$8:$A$215,0),MATCH(BL$48,SAM!$B$7:$HA$7,0)),0)</f>
        <v>0</v>
      </c>
      <c r="BM62" s="18">
        <f>_xlfn.IFNA(INDEX(SAM!$B$8:$HA$215,MATCH($BC62,SAM!$A$8:$A$215,0),MATCH(BM$48,SAM!$B$7:$HA$7,0)),0)</f>
        <v>0</v>
      </c>
      <c r="BN62" s="18">
        <f>_xlfn.IFNA(INDEX(SAM!$B$8:$HA$215,MATCH($BC62,SAM!$A$8:$A$215,0),MATCH(BN$48,SAM!$B$7:$HA$7,0)),0)</f>
        <v>0</v>
      </c>
      <c r="BO62" s="18">
        <f>_xlfn.IFNA(INDEX(SAM!$B$8:$HA$215,MATCH($BC62,SAM!$A$8:$A$215,0),MATCH(BO$48,SAM!$B$7:$HA$7,0)),0)</f>
        <v>0</v>
      </c>
      <c r="BP62" s="18">
        <f>_xlfn.IFNA(INDEX(SAM!$B$8:$HA$215,MATCH($BC62,SAM!$A$8:$A$215,0),MATCH(BP$48,SAM!$B$7:$HA$7,0)),0)</f>
        <v>3.6369853740142837E-2</v>
      </c>
      <c r="BQ62" s="18">
        <f>_xlfn.IFNA(INDEX(SAM!$B$8:$HA$215,MATCH($BC62,SAM!$A$8:$A$215,0),MATCH(BQ$48,SAM!$B$7:$HA$7,0)),0)</f>
        <v>0.29373515221293528</v>
      </c>
      <c r="BR62" s="18">
        <f>_xlfn.IFNA(INDEX(SAM!$B$8:$HA$215,MATCH($BC62,SAM!$A$8:$A$215,0),MATCH(BR$48,SAM!$B$7:$HA$7,0)),0)</f>
        <v>0.95598236356420285</v>
      </c>
      <c r="BT62" t="str">
        <f t="shared" si="109"/>
        <v>coils</v>
      </c>
      <c r="BU62" s="7">
        <f t="shared" si="110"/>
        <v>51.26261789082163</v>
      </c>
      <c r="BW62" s="51" t="s">
        <v>683</v>
      </c>
      <c r="BX62" s="43">
        <f t="shared" si="116"/>
        <v>0</v>
      </c>
    </row>
    <row r="63" spans="1:76" x14ac:dyDescent="0.35">
      <c r="A63" s="26" t="str">
        <f t="shared" si="117"/>
        <v>fats &amp; oils</v>
      </c>
      <c r="B63" s="26" t="s">
        <v>34</v>
      </c>
      <c r="C63" s="45">
        <f t="shared" si="79"/>
        <v>1.298595292205075</v>
      </c>
      <c r="D63" s="45">
        <f t="shared" si="80"/>
        <v>1.7719068652561962</v>
      </c>
      <c r="E63" s="45">
        <f t="shared" si="81"/>
        <v>2.0049543723471044</v>
      </c>
      <c r="F63" s="45">
        <f t="shared" si="82"/>
        <v>2.2637687127347634</v>
      </c>
      <c r="G63" s="45">
        <f t="shared" si="83"/>
        <v>2.8803546221982477</v>
      </c>
      <c r="H63" s="45">
        <f t="shared" si="84"/>
        <v>1.9933365392166511</v>
      </c>
      <c r="I63" s="45">
        <f t="shared" si="85"/>
        <v>1.8686904487939242</v>
      </c>
      <c r="J63" s="45">
        <f t="shared" si="86"/>
        <v>2.8445368908191901</v>
      </c>
      <c r="K63" s="45">
        <f t="shared" si="87"/>
        <v>2.6989162315925812</v>
      </c>
      <c r="L63" s="45">
        <f t="shared" si="88"/>
        <v>10.797879048034746</v>
      </c>
      <c r="M63" s="45">
        <f t="shared" si="89"/>
        <v>2.1377831973905477</v>
      </c>
      <c r="N63" s="45">
        <f t="shared" si="90"/>
        <v>2.8012560132441209</v>
      </c>
      <c r="O63" s="45">
        <f t="shared" si="91"/>
        <v>2.9867101890783929</v>
      </c>
      <c r="P63" s="45">
        <f t="shared" si="92"/>
        <v>2.9485857980743506</v>
      </c>
      <c r="Q63" s="45">
        <f t="shared" si="93"/>
        <v>7.3421771068306434</v>
      </c>
      <c r="R63" s="45">
        <f t="shared" si="94"/>
        <v>4.4615451845502196</v>
      </c>
      <c r="S63" s="26"/>
      <c r="T63" s="26" t="str">
        <f t="shared" si="111"/>
        <v>foil</v>
      </c>
      <c r="U63" s="45">
        <f t="shared" si="112"/>
        <v>3.4078448589133457</v>
      </c>
      <c r="V63" s="45">
        <f t="shared" si="95"/>
        <v>6.6239768900407805</v>
      </c>
      <c r="W63" s="45">
        <f t="shared" si="96"/>
        <v>11.686909920931967</v>
      </c>
      <c r="X63" s="45">
        <f t="shared" si="97"/>
        <v>18.079478136405186</v>
      </c>
      <c r="Y63" s="45">
        <f t="shared" si="98"/>
        <v>41.18188768699909</v>
      </c>
      <c r="Z63" s="45">
        <f t="shared" si="99"/>
        <v>0.34445865473946441</v>
      </c>
      <c r="AA63" s="45">
        <f t="shared" si="100"/>
        <v>0.41679510773894934</v>
      </c>
      <c r="AB63" s="45">
        <f t="shared" si="101"/>
        <v>0.78160039260371972</v>
      </c>
      <c r="AC63" s="45">
        <f t="shared" si="102"/>
        <v>1.4632951859584593</v>
      </c>
      <c r="AD63" s="45">
        <f t="shared" si="103"/>
        <v>23.745713972765348</v>
      </c>
      <c r="AE63" s="45">
        <f t="shared" si="104"/>
        <v>0.25523138810494461</v>
      </c>
      <c r="AF63" s="45">
        <f t="shared" si="105"/>
        <v>1.0199751951610114</v>
      </c>
      <c r="AG63" s="45">
        <f t="shared" si="106"/>
        <v>3.0788861038934878</v>
      </c>
      <c r="AH63" s="45">
        <f t="shared" si="107"/>
        <v>7.3463392574331747</v>
      </c>
      <c r="AI63" s="45">
        <f t="shared" si="108"/>
        <v>171.98465411777454</v>
      </c>
      <c r="AJ63" s="45">
        <f t="shared" si="113"/>
        <v>291.41704686946343</v>
      </c>
      <c r="AK63" s="26"/>
      <c r="AL63" s="26" t="str">
        <f t="shared" si="114"/>
        <v>cfoil</v>
      </c>
      <c r="AM63" s="45">
        <f>_xlfn.IFNA(INDEX(SAM!$B$8:$HA$215,MATCH($AL63,SAM!$A$8:$A$215,0),MATCH(AM$48,SAM!$B$7:$HA$7,0)),0)</f>
        <v>3.4078448589133457</v>
      </c>
      <c r="AN63" s="45">
        <f>_xlfn.IFNA(INDEX(SAM!$B$8:$HA$215,MATCH($AL63,SAM!$A$8:$A$215,0),MATCH(AN$48,SAM!$B$7:$HA$7,0)),0)</f>
        <v>6.6239768900407805</v>
      </c>
      <c r="AO63" s="45">
        <f>_xlfn.IFNA(INDEX(SAM!$B$8:$HA$215,MATCH($AL63,SAM!$A$8:$A$215,0),MATCH(AO$48,SAM!$B$7:$HA$7,0)),0)</f>
        <v>11.686909920931967</v>
      </c>
      <c r="AP63" s="45">
        <f>_xlfn.IFNA(INDEX(SAM!$B$8:$HA$215,MATCH($AL63,SAM!$A$8:$A$215,0),MATCH(AP$48,SAM!$B$7:$HA$7,0)),0)</f>
        <v>18.079478136405186</v>
      </c>
      <c r="AQ63" s="45">
        <f>_xlfn.IFNA(INDEX(SAM!$B$8:$HA$215,MATCH($AL63,SAM!$A$8:$A$215,0),MATCH(AQ$48,SAM!$B$7:$HA$7,0)),0)</f>
        <v>41.18188768699909</v>
      </c>
      <c r="AR63" s="45">
        <f>_xlfn.IFNA(INDEX(SAM!$B$8:$HA$215,MATCH($AL63,SAM!$A$8:$A$215,0),MATCH(AR$48,SAM!$B$7:$HA$7,0)),0)</f>
        <v>0.34445865473946441</v>
      </c>
      <c r="AS63" s="45">
        <f>_xlfn.IFNA(INDEX(SAM!$B$8:$HA$215,MATCH($AL63,SAM!$A$8:$A$215,0),MATCH(AS$48,SAM!$B$7:$HA$7,0)),0)</f>
        <v>0.41679510773894934</v>
      </c>
      <c r="AT63" s="45">
        <f>_xlfn.IFNA(INDEX(SAM!$B$8:$HA$215,MATCH($AL63,SAM!$A$8:$A$215,0),MATCH(AT$48,SAM!$B$7:$HA$7,0)),0)</f>
        <v>0.78160039260371972</v>
      </c>
      <c r="AU63" s="45">
        <f>_xlfn.IFNA(INDEX(SAM!$B$8:$HA$215,MATCH($AL63,SAM!$A$8:$A$215,0),MATCH(AU$48,SAM!$B$7:$HA$7,0)),0)</f>
        <v>1.4632951859584593</v>
      </c>
      <c r="AV63" s="45">
        <f>_xlfn.IFNA(INDEX(SAM!$B$8:$HA$215,MATCH($AL63,SAM!$A$8:$A$215,0),MATCH(AV$48,SAM!$B$7:$HA$7,0)),0)</f>
        <v>23.745713972765348</v>
      </c>
      <c r="AW63" s="45">
        <f>_xlfn.IFNA(INDEX(SAM!$B$8:$HA$215,MATCH($AL63,SAM!$A$8:$A$215,0),MATCH(AW$48,SAM!$B$7:$HA$7,0)),0)</f>
        <v>0.25523138810494461</v>
      </c>
      <c r="AX63" s="45">
        <f>_xlfn.IFNA(INDEX(SAM!$B$8:$HA$215,MATCH($AL63,SAM!$A$8:$A$215,0),MATCH(AX$48,SAM!$B$7:$HA$7,0)),0)</f>
        <v>1.0199751951610114</v>
      </c>
      <c r="AY63" s="45">
        <f>_xlfn.IFNA(INDEX(SAM!$B$8:$HA$215,MATCH($AL63,SAM!$A$8:$A$215,0),MATCH(AY$48,SAM!$B$7:$HA$7,0)),0)</f>
        <v>3.0788861038934878</v>
      </c>
      <c r="AZ63" s="45">
        <f>_xlfn.IFNA(INDEX(SAM!$B$8:$HA$215,MATCH($AL63,SAM!$A$8:$A$215,0),MATCH(AZ$48,SAM!$B$7:$HA$7,0)),0)</f>
        <v>7.3463392574331747</v>
      </c>
      <c r="BA63" s="45">
        <f>_xlfn.IFNA(INDEX(SAM!$B$8:$HA$215,MATCH($AL63,SAM!$A$8:$A$215,0),MATCH(BA$48,SAM!$B$7:$HA$7,0)),0)</f>
        <v>171.98465411777454</v>
      </c>
      <c r="BB63" s="45"/>
      <c r="BC63" s="26" t="str">
        <f t="shared" si="115"/>
        <v>afoil</v>
      </c>
      <c r="BD63" s="45">
        <f>_xlfn.IFNA(INDEX(SAM!$B$8:$HA$215,MATCH($BC63,SAM!$A$8:$A$215,0),MATCH(BD$48,SAM!$B$7:$HA$7,0)),0)</f>
        <v>0</v>
      </c>
      <c r="BE63" s="45">
        <f>_xlfn.IFNA(INDEX(SAM!$B$8:$HA$215,MATCH($BC63,SAM!$A$8:$A$215,0),MATCH(BE$48,SAM!$B$7:$HA$7,0)),0)</f>
        <v>0</v>
      </c>
      <c r="BF63" s="45">
        <f>_xlfn.IFNA(INDEX(SAM!$B$8:$HA$215,MATCH($BC63,SAM!$A$8:$A$215,0),MATCH(BF$48,SAM!$B$7:$HA$7,0)),0)</f>
        <v>0</v>
      </c>
      <c r="BG63" s="45">
        <f>_xlfn.IFNA(INDEX(SAM!$B$8:$HA$215,MATCH($BC63,SAM!$A$8:$A$215,0),MATCH(BG$48,SAM!$B$7:$HA$7,0)),0)</f>
        <v>0</v>
      </c>
      <c r="BH63" s="45">
        <f>_xlfn.IFNA(INDEX(SAM!$B$8:$HA$215,MATCH($BC63,SAM!$A$8:$A$215,0),MATCH(BH$48,SAM!$B$7:$HA$7,0)),0)</f>
        <v>0</v>
      </c>
      <c r="BI63" s="45">
        <f>_xlfn.IFNA(INDEX(SAM!$B$8:$HA$215,MATCH($BC63,SAM!$A$8:$A$215,0),MATCH(BI$48,SAM!$B$7:$HA$7,0)),0)</f>
        <v>0</v>
      </c>
      <c r="BJ63" s="45">
        <f>_xlfn.IFNA(INDEX(SAM!$B$8:$HA$215,MATCH($BC63,SAM!$A$8:$A$215,0),MATCH(BJ$48,SAM!$B$7:$HA$7,0)),0)</f>
        <v>0</v>
      </c>
      <c r="BK63" s="45">
        <f>_xlfn.IFNA(INDEX(SAM!$B$8:$HA$215,MATCH($BC63,SAM!$A$8:$A$215,0),MATCH(BK$48,SAM!$B$7:$HA$7,0)),0)</f>
        <v>0</v>
      </c>
      <c r="BL63" s="45">
        <f>_xlfn.IFNA(INDEX(SAM!$B$8:$HA$215,MATCH($BC63,SAM!$A$8:$A$215,0),MATCH(BL$48,SAM!$B$7:$HA$7,0)),0)</f>
        <v>0</v>
      </c>
      <c r="BM63" s="45">
        <f>_xlfn.IFNA(INDEX(SAM!$B$8:$HA$215,MATCH($BC63,SAM!$A$8:$A$215,0),MATCH(BM$48,SAM!$B$7:$HA$7,0)),0)</f>
        <v>0</v>
      </c>
      <c r="BN63" s="45">
        <f>_xlfn.IFNA(INDEX(SAM!$B$8:$HA$215,MATCH($BC63,SAM!$A$8:$A$215,0),MATCH(BN$48,SAM!$B$7:$HA$7,0)),0)</f>
        <v>0</v>
      </c>
      <c r="BO63" s="45">
        <f>_xlfn.IFNA(INDEX(SAM!$B$8:$HA$215,MATCH($BC63,SAM!$A$8:$A$215,0),MATCH(BO$48,SAM!$B$7:$HA$7,0)),0)</f>
        <v>0</v>
      </c>
      <c r="BP63" s="45">
        <f>_xlfn.IFNA(INDEX(SAM!$B$8:$HA$215,MATCH($BC63,SAM!$A$8:$A$215,0),MATCH(BP$48,SAM!$B$7:$HA$7,0)),0)</f>
        <v>0</v>
      </c>
      <c r="BQ63" s="45">
        <f>_xlfn.IFNA(INDEX(SAM!$B$8:$HA$215,MATCH($BC63,SAM!$A$8:$A$215,0),MATCH(BQ$48,SAM!$B$7:$HA$7,0)),0)</f>
        <v>0</v>
      </c>
      <c r="BR63" s="45">
        <f>_xlfn.IFNA(INDEX(SAM!$B$8:$HA$215,MATCH($BC63,SAM!$A$8:$A$215,0),MATCH(BR$48,SAM!$B$7:$HA$7,0)),0)</f>
        <v>0</v>
      </c>
      <c r="BT63" t="str">
        <f t="shared" si="109"/>
        <v>cfoil</v>
      </c>
      <c r="BU63" s="7">
        <f t="shared" si="110"/>
        <v>291.41704686946343</v>
      </c>
      <c r="BW63" s="51" t="s">
        <v>186</v>
      </c>
      <c r="BX63" s="43">
        <f t="shared" si="116"/>
        <v>8.7780825433911573</v>
      </c>
    </row>
    <row r="64" spans="1:76" x14ac:dyDescent="0.35">
      <c r="A64" s="47" t="s">
        <v>624</v>
      </c>
      <c r="B64" s="47" t="s">
        <v>707</v>
      </c>
      <c r="C64" s="48">
        <f t="shared" si="79"/>
        <v>3.8361330078250853</v>
      </c>
      <c r="D64" s="48">
        <f t="shared" si="80"/>
        <v>5.0076941460135149</v>
      </c>
      <c r="E64" s="48">
        <f t="shared" si="81"/>
        <v>5.7914939641940819</v>
      </c>
      <c r="F64" s="48">
        <f t="shared" si="82"/>
        <v>7.0764406351981899</v>
      </c>
      <c r="G64" s="48">
        <f t="shared" si="83"/>
        <v>7.2534208562262181</v>
      </c>
      <c r="H64" s="48">
        <f t="shared" si="84"/>
        <v>4.7669588685001614</v>
      </c>
      <c r="I64" s="48">
        <f t="shared" si="85"/>
        <v>4.1139951679535258</v>
      </c>
      <c r="J64" s="48">
        <f t="shared" si="86"/>
        <v>5.9117649377918244</v>
      </c>
      <c r="K64" s="48">
        <f t="shared" si="87"/>
        <v>6.9848224849410103</v>
      </c>
      <c r="L64" s="48">
        <f t="shared" si="88"/>
        <v>6.887534205503516</v>
      </c>
      <c r="M64" s="48">
        <f t="shared" si="89"/>
        <v>4.5780598721498578</v>
      </c>
      <c r="N64" s="48">
        <f t="shared" si="90"/>
        <v>6.7911495474831369</v>
      </c>
      <c r="O64" s="48">
        <f t="shared" si="91"/>
        <v>6.9703656842855972</v>
      </c>
      <c r="P64" s="48">
        <f t="shared" si="92"/>
        <v>7.8916292893342055</v>
      </c>
      <c r="Q64" s="48">
        <f t="shared" si="93"/>
        <v>6.7295780997079362</v>
      </c>
      <c r="R64" s="48">
        <f t="shared" si="94"/>
        <v>6.6225489901541854</v>
      </c>
      <c r="S64" s="47"/>
      <c r="T64" s="47" t="str">
        <f t="shared" si="111"/>
        <v>fobe</v>
      </c>
      <c r="U64" s="48">
        <f t="shared" si="112"/>
        <v>10.066990252695309</v>
      </c>
      <c r="V64" s="48">
        <f t="shared" si="95"/>
        <v>18.720425404971792</v>
      </c>
      <c r="W64" s="48">
        <f t="shared" si="96"/>
        <v>33.758707530048284</v>
      </c>
      <c r="X64" s="48">
        <f t="shared" si="97"/>
        <v>56.515647127695303</v>
      </c>
      <c r="Y64" s="48">
        <f t="shared" si="98"/>
        <v>103.70582870093745</v>
      </c>
      <c r="Z64" s="48">
        <f t="shared" si="99"/>
        <v>0.82375464791670971</v>
      </c>
      <c r="AA64" s="48">
        <f t="shared" si="100"/>
        <v>0.91759074402686158</v>
      </c>
      <c r="AB64" s="48">
        <f t="shared" si="101"/>
        <v>1.6243901814992143</v>
      </c>
      <c r="AC64" s="48">
        <f t="shared" si="102"/>
        <v>3.7870227305859889</v>
      </c>
      <c r="AD64" s="48">
        <f t="shared" si="103"/>
        <v>15.146439082524335</v>
      </c>
      <c r="AE64" s="48">
        <f t="shared" si="104"/>
        <v>0.54657767795285406</v>
      </c>
      <c r="AF64" s="48">
        <f t="shared" si="105"/>
        <v>2.472749385387246</v>
      </c>
      <c r="AG64" s="48">
        <f t="shared" si="106"/>
        <v>7.1854852616366989</v>
      </c>
      <c r="AH64" s="48">
        <f t="shared" si="107"/>
        <v>19.661827745086178</v>
      </c>
      <c r="AI64" s="48">
        <f t="shared" si="108"/>
        <v>157.63501002448871</v>
      </c>
      <c r="AJ64" s="48">
        <f t="shared" si="113"/>
        <v>432.5684464974529</v>
      </c>
      <c r="AK64" s="47"/>
      <c r="AL64" s="47" t="str">
        <f t="shared" si="114"/>
        <v>cfobe</v>
      </c>
      <c r="AM64" s="48">
        <f>_xlfn.IFNA(INDEX(SAM!$B$8:$HA$215,MATCH($AL64,SAM!$A$8:$A$215,0),MATCH(AM$48,SAM!$B$7:$HA$7,0)),0)</f>
        <v>8.7908457583123205</v>
      </c>
      <c r="AN64" s="48">
        <f>_xlfn.IFNA(INDEX(SAM!$B$8:$HA$215,MATCH($AL64,SAM!$A$8:$A$215,0),MATCH(AN$48,SAM!$B$7:$HA$7,0)),0)</f>
        <v>14.097708209669758</v>
      </c>
      <c r="AO64" s="48">
        <f>_xlfn.IFNA(INDEX(SAM!$B$8:$HA$215,MATCH($AL64,SAM!$A$8:$A$215,0),MATCH(AO$48,SAM!$B$7:$HA$7,0)),0)</f>
        <v>24.016984871992687</v>
      </c>
      <c r="AP64" s="48">
        <f>_xlfn.IFNA(INDEX(SAM!$B$8:$HA$215,MATCH($AL64,SAM!$A$8:$A$215,0),MATCH(AP$48,SAM!$B$7:$HA$7,0)),0)</f>
        <v>42.321773823164193</v>
      </c>
      <c r="AQ64" s="48">
        <f>_xlfn.IFNA(INDEX(SAM!$B$8:$HA$215,MATCH($AL64,SAM!$A$8:$A$215,0),MATCH(AQ$48,SAM!$B$7:$HA$7,0)),0)</f>
        <v>83.645609367181621</v>
      </c>
      <c r="AR64" s="48">
        <f>_xlfn.IFNA(INDEX(SAM!$B$8:$HA$215,MATCH($AL64,SAM!$A$8:$A$215,0),MATCH(AR$48,SAM!$B$7:$HA$7,0)),0)</f>
        <v>0.82375464791670971</v>
      </c>
      <c r="AS64" s="48">
        <f>_xlfn.IFNA(INDEX(SAM!$B$8:$HA$215,MATCH($AL64,SAM!$A$8:$A$215,0),MATCH(AS$48,SAM!$B$7:$HA$7,0)),0)</f>
        <v>0.91759074402686158</v>
      </c>
      <c r="AT64" s="48">
        <f>_xlfn.IFNA(INDEX(SAM!$B$8:$HA$215,MATCH($AL64,SAM!$A$8:$A$215,0),MATCH(AT$48,SAM!$B$7:$HA$7,0)),0)</f>
        <v>1.6243901814992143</v>
      </c>
      <c r="AU64" s="48">
        <f>_xlfn.IFNA(INDEX(SAM!$B$8:$HA$215,MATCH($AL64,SAM!$A$8:$A$215,0),MATCH(AU$48,SAM!$B$7:$HA$7,0)),0)</f>
        <v>3.7870227305859889</v>
      </c>
      <c r="AV64" s="48">
        <f>_xlfn.IFNA(INDEX(SAM!$B$8:$HA$215,MATCH($AL64,SAM!$A$8:$A$215,0),MATCH(AV$48,SAM!$B$7:$HA$7,0)),0)</f>
        <v>15.146439082524335</v>
      </c>
      <c r="AW64" s="48">
        <f>_xlfn.IFNA(INDEX(SAM!$B$8:$HA$215,MATCH($AL64,SAM!$A$8:$A$215,0),MATCH(AW$48,SAM!$B$7:$HA$7,0)),0)</f>
        <v>0.54547105866996493</v>
      </c>
      <c r="AX64" s="48">
        <f>_xlfn.IFNA(INDEX(SAM!$B$8:$HA$215,MATCH($AL64,SAM!$A$8:$A$215,0),MATCH(AX$48,SAM!$B$7:$HA$7,0)),0)</f>
        <v>2.3568858803759594</v>
      </c>
      <c r="AY64" s="48">
        <f>_xlfn.IFNA(INDEX(SAM!$B$8:$HA$215,MATCH($AL64,SAM!$A$8:$A$215,0),MATCH(AY$48,SAM!$B$7:$HA$7,0)),0)</f>
        <v>7.1050478009692108</v>
      </c>
      <c r="AZ64" s="48">
        <f>_xlfn.IFNA(INDEX(SAM!$B$8:$HA$215,MATCH($AL64,SAM!$A$8:$A$215,0),MATCH(AZ$48,SAM!$B$7:$HA$7,0)),0)</f>
        <v>19.000321915729423</v>
      </c>
      <c r="BA64" s="48">
        <f>_xlfn.IFNA(INDEX(SAM!$B$8:$HA$215,MATCH($AL64,SAM!$A$8:$A$215,0),MATCH(BA$48,SAM!$B$7:$HA$7,0)),0)</f>
        <v>154.69289982190605</v>
      </c>
      <c r="BB64" s="48"/>
      <c r="BC64" s="47" t="str">
        <f t="shared" si="115"/>
        <v>afobe</v>
      </c>
      <c r="BD64" s="48">
        <f>_xlfn.IFNA(INDEX(SAM!$B$8:$HA$215,MATCH($BC64,SAM!$A$8:$A$215,0),MATCH(BD$48,SAM!$B$7:$HA$7,0)),0)</f>
        <v>1.2761444943829876</v>
      </c>
      <c r="BE64" s="48">
        <f>_xlfn.IFNA(INDEX(SAM!$B$8:$HA$215,MATCH($BC64,SAM!$A$8:$A$215,0),MATCH(BE$48,SAM!$B$7:$HA$7,0)),0)</f>
        <v>4.6227171953020347</v>
      </c>
      <c r="BF64" s="48">
        <f>_xlfn.IFNA(INDEX(SAM!$B$8:$HA$215,MATCH($BC64,SAM!$A$8:$A$215,0),MATCH(BF$48,SAM!$B$7:$HA$7,0)),0)</f>
        <v>9.7417226580555969</v>
      </c>
      <c r="BG64" s="48">
        <f>_xlfn.IFNA(INDEX(SAM!$B$8:$HA$215,MATCH($BC64,SAM!$A$8:$A$215,0),MATCH(BG$48,SAM!$B$7:$HA$7,0)),0)</f>
        <v>14.193873304531111</v>
      </c>
      <c r="BH64" s="48">
        <f>_xlfn.IFNA(INDEX(SAM!$B$8:$HA$215,MATCH($BC64,SAM!$A$8:$A$215,0),MATCH(BH$48,SAM!$B$7:$HA$7,0)),0)</f>
        <v>20.060219333755825</v>
      </c>
      <c r="BI64" s="48">
        <f>_xlfn.IFNA(INDEX(SAM!$B$8:$HA$215,MATCH($BC64,SAM!$A$8:$A$215,0),MATCH(BI$48,SAM!$B$7:$HA$7,0)),0)</f>
        <v>0</v>
      </c>
      <c r="BJ64" s="48">
        <f>_xlfn.IFNA(INDEX(SAM!$B$8:$HA$215,MATCH($BC64,SAM!$A$8:$A$215,0),MATCH(BJ$48,SAM!$B$7:$HA$7,0)),0)</f>
        <v>0</v>
      </c>
      <c r="BK64" s="48">
        <f>_xlfn.IFNA(INDEX(SAM!$B$8:$HA$215,MATCH($BC64,SAM!$A$8:$A$215,0),MATCH(BK$48,SAM!$B$7:$HA$7,0)),0)</f>
        <v>0</v>
      </c>
      <c r="BL64" s="48">
        <f>_xlfn.IFNA(INDEX(SAM!$B$8:$HA$215,MATCH($BC64,SAM!$A$8:$A$215,0),MATCH(BL$48,SAM!$B$7:$HA$7,0)),0)</f>
        <v>0</v>
      </c>
      <c r="BM64" s="48">
        <f>_xlfn.IFNA(INDEX(SAM!$B$8:$HA$215,MATCH($BC64,SAM!$A$8:$A$215,0),MATCH(BM$48,SAM!$B$7:$HA$7,0)),0)</f>
        <v>0</v>
      </c>
      <c r="BN64" s="48">
        <f>_xlfn.IFNA(INDEX(SAM!$B$8:$HA$215,MATCH($BC64,SAM!$A$8:$A$215,0),MATCH(BN$48,SAM!$B$7:$HA$7,0)),0)</f>
        <v>1.1066192828891204E-3</v>
      </c>
      <c r="BO64" s="48">
        <f>_xlfn.IFNA(INDEX(SAM!$B$8:$HA$215,MATCH($BC64,SAM!$A$8:$A$215,0),MATCH(BO$48,SAM!$B$7:$HA$7,0)),0)</f>
        <v>0.11586350501128655</v>
      </c>
      <c r="BP64" s="48">
        <f>_xlfn.IFNA(INDEX(SAM!$B$8:$HA$215,MATCH($BC64,SAM!$A$8:$A$215,0),MATCH(BP$48,SAM!$B$7:$HA$7,0)),0)</f>
        <v>8.0437460667487623E-2</v>
      </c>
      <c r="BQ64" s="48">
        <f>_xlfn.IFNA(INDEX(SAM!$B$8:$HA$215,MATCH($BC64,SAM!$A$8:$A$215,0),MATCH(BQ$48,SAM!$B$7:$HA$7,0)),0)</f>
        <v>0.66150582935675417</v>
      </c>
      <c r="BR64" s="48">
        <f>_xlfn.IFNA(INDEX(SAM!$B$8:$HA$215,MATCH($BC64,SAM!$A$8:$A$215,0),MATCH(BR$48,SAM!$B$7:$HA$7,0)),0)</f>
        <v>2.9421102025826436</v>
      </c>
      <c r="BT64" t="str">
        <f t="shared" si="109"/>
        <v>cfobe</v>
      </c>
      <c r="BU64" s="7">
        <f t="shared" si="110"/>
        <v>432.56844649745295</v>
      </c>
      <c r="BW64" s="51" t="s">
        <v>293</v>
      </c>
      <c r="BX64" s="43">
        <f t="shared" si="116"/>
        <v>4.4615451845502196</v>
      </c>
    </row>
    <row r="65" spans="1:76" x14ac:dyDescent="0.35">
      <c r="A65" t="str">
        <f t="shared" ref="A65:A72" si="118">HLOOKUP(B65,$B$6:$BR$9,4,FALSE)</f>
        <v>clothing and textile</v>
      </c>
      <c r="B65" t="s">
        <v>36</v>
      </c>
      <c r="C65" s="18">
        <f t="shared" si="79"/>
        <v>1.8503207275366613</v>
      </c>
      <c r="D65" s="18">
        <f t="shared" si="80"/>
        <v>1.920017708154387</v>
      </c>
      <c r="E65" s="18">
        <f t="shared" si="81"/>
        <v>2.1531963245409047</v>
      </c>
      <c r="F65" s="18">
        <f t="shared" si="82"/>
        <v>2.2573789270531477</v>
      </c>
      <c r="G65" s="18">
        <f t="shared" si="83"/>
        <v>2.3057149747576107</v>
      </c>
      <c r="H65" s="18">
        <f t="shared" si="84"/>
        <v>1.7677367693318882</v>
      </c>
      <c r="I65" s="18">
        <f t="shared" si="85"/>
        <v>1.8204844075528164</v>
      </c>
      <c r="J65" s="18">
        <f t="shared" si="86"/>
        <v>1.7634530889534381</v>
      </c>
      <c r="K65" s="18">
        <f t="shared" si="87"/>
        <v>2.3486486044249197</v>
      </c>
      <c r="L65" s="18">
        <f t="shared" si="88"/>
        <v>2.5516734260962832</v>
      </c>
      <c r="M65" s="18">
        <f t="shared" si="89"/>
        <v>1.1311953818896616</v>
      </c>
      <c r="N65" s="18">
        <f t="shared" si="90"/>
        <v>2.2499355178989973</v>
      </c>
      <c r="O65" s="18">
        <f t="shared" si="91"/>
        <v>1.8643615597131582</v>
      </c>
      <c r="P65" s="18">
        <f t="shared" si="92"/>
        <v>2.3969472572295478</v>
      </c>
      <c r="Q65" s="18">
        <f t="shared" si="93"/>
        <v>2.125287878539639</v>
      </c>
      <c r="R65" s="18">
        <f t="shared" si="94"/>
        <v>2.1784505744831737</v>
      </c>
      <c r="T65" t="str">
        <f t="shared" si="111"/>
        <v>text</v>
      </c>
      <c r="U65" s="18">
        <f t="shared" ref="U65:AI65" si="119">IFERROR(AM65+BD65,"")</f>
        <v>4.8557129511607897</v>
      </c>
      <c r="V65" s="18">
        <f t="shared" si="119"/>
        <v>7.1776644566726899</v>
      </c>
      <c r="W65" s="18">
        <f t="shared" si="119"/>
        <v>12.55101454380371</v>
      </c>
      <c r="X65" s="18">
        <f t="shared" si="119"/>
        <v>18.028446425490017</v>
      </c>
      <c r="Y65" s="18">
        <f t="shared" si="119"/>
        <v>32.965973841176712</v>
      </c>
      <c r="Z65" s="18">
        <f t="shared" si="119"/>
        <v>0.30547387132974629</v>
      </c>
      <c r="AA65" s="18">
        <f t="shared" si="119"/>
        <v>0.40604317064539625</v>
      </c>
      <c r="AB65" s="18">
        <f t="shared" si="119"/>
        <v>0.48454833934929636</v>
      </c>
      <c r="AC65" s="18">
        <f t="shared" si="119"/>
        <v>1.2733875012990181</v>
      </c>
      <c r="AD65" s="18">
        <f t="shared" si="119"/>
        <v>5.6114082273422374</v>
      </c>
      <c r="AE65" s="18">
        <f t="shared" si="119"/>
        <v>0.13505418505020469</v>
      </c>
      <c r="AF65" s="18">
        <f t="shared" si="119"/>
        <v>0.81923194742598116</v>
      </c>
      <c r="AG65" s="18">
        <f t="shared" si="119"/>
        <v>1.9218995267181476</v>
      </c>
      <c r="AH65" s="18">
        <f t="shared" si="119"/>
        <v>5.9719434805940086</v>
      </c>
      <c r="AI65" s="18">
        <f t="shared" si="119"/>
        <v>49.783176757107576</v>
      </c>
      <c r="AJ65" s="18">
        <f>SUM(U65:AI65)</f>
        <v>142.29097922516553</v>
      </c>
      <c r="AL65" t="str">
        <f t="shared" si="114"/>
        <v>ctext</v>
      </c>
      <c r="AM65" s="18">
        <f>_xlfn.IFNA(INDEX(SAM!$B$8:$HA$215,MATCH($AL65,SAM!$A$8:$A$215,0),MATCH(AM$48,SAM!$B$7:$HA$7,0)),0)</f>
        <v>4.8557129511607897</v>
      </c>
      <c r="AN65" s="18">
        <f>_xlfn.IFNA(INDEX(SAM!$B$8:$HA$215,MATCH($AL65,SAM!$A$8:$A$215,0),MATCH(AN$48,SAM!$B$7:$HA$7,0)),0)</f>
        <v>7.1776644566726899</v>
      </c>
      <c r="AO65" s="18">
        <f>_xlfn.IFNA(INDEX(SAM!$B$8:$HA$215,MATCH($AL65,SAM!$A$8:$A$215,0),MATCH(AO$48,SAM!$B$7:$HA$7,0)),0)</f>
        <v>12.55101454380371</v>
      </c>
      <c r="AP65" s="18">
        <f>_xlfn.IFNA(INDEX(SAM!$B$8:$HA$215,MATCH($AL65,SAM!$A$8:$A$215,0),MATCH(AP$48,SAM!$B$7:$HA$7,0)),0)</f>
        <v>18.028446425490017</v>
      </c>
      <c r="AQ65" s="18">
        <f>_xlfn.IFNA(INDEX(SAM!$B$8:$HA$215,MATCH($AL65,SAM!$A$8:$A$215,0),MATCH(AQ$48,SAM!$B$7:$HA$7,0)),0)</f>
        <v>32.965973841176712</v>
      </c>
      <c r="AR65" s="18">
        <f>_xlfn.IFNA(INDEX(SAM!$B$8:$HA$215,MATCH($AL65,SAM!$A$8:$A$215,0),MATCH(AR$48,SAM!$B$7:$HA$7,0)),0)</f>
        <v>0.30547387132974629</v>
      </c>
      <c r="AS65" s="18">
        <f>_xlfn.IFNA(INDEX(SAM!$B$8:$HA$215,MATCH($AL65,SAM!$A$8:$A$215,0),MATCH(AS$48,SAM!$B$7:$HA$7,0)),0)</f>
        <v>0.40604317064539625</v>
      </c>
      <c r="AT65" s="18">
        <f>_xlfn.IFNA(INDEX(SAM!$B$8:$HA$215,MATCH($AL65,SAM!$A$8:$A$215,0),MATCH(AT$48,SAM!$B$7:$HA$7,0)),0)</f>
        <v>0.48454833934929636</v>
      </c>
      <c r="AU65" s="18">
        <f>_xlfn.IFNA(INDEX(SAM!$B$8:$HA$215,MATCH($AL65,SAM!$A$8:$A$215,0),MATCH(AU$48,SAM!$B$7:$HA$7,0)),0)</f>
        <v>1.2733875012990181</v>
      </c>
      <c r="AV65" s="18">
        <f>_xlfn.IFNA(INDEX(SAM!$B$8:$HA$215,MATCH($AL65,SAM!$A$8:$A$215,0),MATCH(AV$48,SAM!$B$7:$HA$7,0)),0)</f>
        <v>5.6114082273422374</v>
      </c>
      <c r="AW65" s="18">
        <f>_xlfn.IFNA(INDEX(SAM!$B$8:$HA$215,MATCH($AL65,SAM!$A$8:$A$215,0),MATCH(AW$48,SAM!$B$7:$HA$7,0)),0)</f>
        <v>0.13505418505020469</v>
      </c>
      <c r="AX65" s="18">
        <f>_xlfn.IFNA(INDEX(SAM!$B$8:$HA$215,MATCH($AL65,SAM!$A$8:$A$215,0),MATCH(AX$48,SAM!$B$7:$HA$7,0)),0)</f>
        <v>0.81923194742598116</v>
      </c>
      <c r="AY65" s="18">
        <f>_xlfn.IFNA(INDEX(SAM!$B$8:$HA$215,MATCH($AL65,SAM!$A$8:$A$215,0),MATCH(AY$48,SAM!$B$7:$HA$7,0)),0)</f>
        <v>1.9218995267181476</v>
      </c>
      <c r="AZ65" s="18">
        <f>_xlfn.IFNA(INDEX(SAM!$B$8:$HA$215,MATCH($AL65,SAM!$A$8:$A$215,0),MATCH(AZ$48,SAM!$B$7:$HA$7,0)),0)</f>
        <v>5.9719434805940086</v>
      </c>
      <c r="BA65" s="18">
        <f>_xlfn.IFNA(INDEX(SAM!$B$8:$HA$215,MATCH($AL65,SAM!$A$8:$A$215,0),MATCH(BA$48,SAM!$B$7:$HA$7,0)),0)</f>
        <v>49.783176757107576</v>
      </c>
      <c r="BB65" s="18"/>
      <c r="BC65" t="str">
        <f t="shared" si="115"/>
        <v>atext</v>
      </c>
      <c r="BD65" s="18">
        <f>_xlfn.IFNA(INDEX(SAM!$B$8:$HA$215,MATCH($BC65,SAM!$A$8:$A$215,0),MATCH(BD$48,SAM!$B$7:$HA$7,0)),0)</f>
        <v>0</v>
      </c>
      <c r="BE65" s="18">
        <f>_xlfn.IFNA(INDEX(SAM!$B$8:$HA$215,MATCH($BC65,SAM!$A$8:$A$215,0),MATCH(BE$48,SAM!$B$7:$HA$7,0)),0)</f>
        <v>0</v>
      </c>
      <c r="BF65" s="18">
        <f>_xlfn.IFNA(INDEX(SAM!$B$8:$HA$215,MATCH($BC65,SAM!$A$8:$A$215,0),MATCH(BF$48,SAM!$B$7:$HA$7,0)),0)</f>
        <v>0</v>
      </c>
      <c r="BG65" s="18">
        <f>_xlfn.IFNA(INDEX(SAM!$B$8:$HA$215,MATCH($BC65,SAM!$A$8:$A$215,0),MATCH(BG$48,SAM!$B$7:$HA$7,0)),0)</f>
        <v>0</v>
      </c>
      <c r="BH65" s="18">
        <f>_xlfn.IFNA(INDEX(SAM!$B$8:$HA$215,MATCH($BC65,SAM!$A$8:$A$215,0),MATCH(BH$48,SAM!$B$7:$HA$7,0)),0)</f>
        <v>0</v>
      </c>
      <c r="BI65" s="18">
        <f>_xlfn.IFNA(INDEX(SAM!$B$8:$HA$215,MATCH($BC65,SAM!$A$8:$A$215,0),MATCH(BI$48,SAM!$B$7:$HA$7,0)),0)</f>
        <v>0</v>
      </c>
      <c r="BJ65" s="18">
        <f>_xlfn.IFNA(INDEX(SAM!$B$8:$HA$215,MATCH($BC65,SAM!$A$8:$A$215,0),MATCH(BJ$48,SAM!$B$7:$HA$7,0)),0)</f>
        <v>0</v>
      </c>
      <c r="BK65" s="18">
        <f>_xlfn.IFNA(INDEX(SAM!$B$8:$HA$215,MATCH($BC65,SAM!$A$8:$A$215,0),MATCH(BK$48,SAM!$B$7:$HA$7,0)),0)</f>
        <v>0</v>
      </c>
      <c r="BL65" s="18">
        <f>_xlfn.IFNA(INDEX(SAM!$B$8:$HA$215,MATCH($BC65,SAM!$A$8:$A$215,0),MATCH(BL$48,SAM!$B$7:$HA$7,0)),0)</f>
        <v>0</v>
      </c>
      <c r="BM65" s="18">
        <f>_xlfn.IFNA(INDEX(SAM!$B$8:$HA$215,MATCH($BC65,SAM!$A$8:$A$215,0),MATCH(BM$48,SAM!$B$7:$HA$7,0)),0)</f>
        <v>0</v>
      </c>
      <c r="BN65" s="18">
        <f>_xlfn.IFNA(INDEX(SAM!$B$8:$HA$215,MATCH($BC65,SAM!$A$8:$A$215,0),MATCH(BN$48,SAM!$B$7:$HA$7,0)),0)</f>
        <v>0</v>
      </c>
      <c r="BO65" s="18">
        <f>_xlfn.IFNA(INDEX(SAM!$B$8:$HA$215,MATCH($BC65,SAM!$A$8:$A$215,0),MATCH(BO$48,SAM!$B$7:$HA$7,0)),0)</f>
        <v>0</v>
      </c>
      <c r="BP65" s="18">
        <f>_xlfn.IFNA(INDEX(SAM!$B$8:$HA$215,MATCH($BC65,SAM!$A$8:$A$215,0),MATCH(BP$48,SAM!$B$7:$HA$7,0)),0)</f>
        <v>0</v>
      </c>
      <c r="BQ65" s="18">
        <f>_xlfn.IFNA(INDEX(SAM!$B$8:$HA$215,MATCH($BC65,SAM!$A$8:$A$215,0),MATCH(BQ$48,SAM!$B$7:$HA$7,0)),0)</f>
        <v>0</v>
      </c>
      <c r="BR65" s="18">
        <f>_xlfn.IFNA(INDEX(SAM!$B$8:$HA$215,MATCH($BC65,SAM!$A$8:$A$215,0),MATCH(BR$48,SAM!$B$7:$HA$7,0)),0)</f>
        <v>0</v>
      </c>
      <c r="BT65" t="str">
        <f t="shared" si="109"/>
        <v>ctext</v>
      </c>
      <c r="BU65" s="7">
        <f t="shared" si="110"/>
        <v>142.29097922516553</v>
      </c>
      <c r="BW65" s="51" t="s">
        <v>292</v>
      </c>
      <c r="BX65" s="43">
        <f t="shared" si="116"/>
        <v>9.8269136946955923E-2</v>
      </c>
    </row>
    <row r="66" spans="1:76" x14ac:dyDescent="0.35">
      <c r="A66" s="38" t="str">
        <f t="shared" si="118"/>
        <v>utilities</v>
      </c>
      <c r="B66" s="38" t="s">
        <v>44</v>
      </c>
      <c r="C66" s="46">
        <f t="shared" si="79"/>
        <v>4.5069865466763892E-2</v>
      </c>
      <c r="D66" s="46">
        <f t="shared" si="80"/>
        <v>0.17173722217225731</v>
      </c>
      <c r="E66" s="46">
        <f t="shared" si="81"/>
        <v>0.22055013183926123</v>
      </c>
      <c r="F66" s="46">
        <f t="shared" si="82"/>
        <v>0.36200637226600013</v>
      </c>
      <c r="G66" s="46">
        <f t="shared" si="83"/>
        <v>1.050109645224945</v>
      </c>
      <c r="H66" s="46">
        <f t="shared" si="84"/>
        <v>0.31093033617348792</v>
      </c>
      <c r="I66" s="46">
        <f t="shared" si="85"/>
        <v>0.46538733821783879</v>
      </c>
      <c r="J66" s="46">
        <f t="shared" si="86"/>
        <v>0.51611125608176833</v>
      </c>
      <c r="K66" s="46">
        <f t="shared" si="87"/>
        <v>0.95588302894499244</v>
      </c>
      <c r="L66" s="46">
        <f t="shared" si="88"/>
        <v>2.3820964011182606</v>
      </c>
      <c r="M66" s="46">
        <f t="shared" si="89"/>
        <v>6.3422783030941246E-2</v>
      </c>
      <c r="N66" s="46">
        <f t="shared" si="90"/>
        <v>1.5254414545466024</v>
      </c>
      <c r="O66" s="46">
        <f t="shared" si="91"/>
        <v>1.5976758077268089</v>
      </c>
      <c r="P66" s="46">
        <f t="shared" si="92"/>
        <v>2.5101932805602596</v>
      </c>
      <c r="Q66" s="46">
        <f t="shared" si="93"/>
        <v>3.6072345697086603</v>
      </c>
      <c r="R66" s="46">
        <f t="shared" si="94"/>
        <v>1.8213758530303259</v>
      </c>
      <c r="S66" s="38"/>
      <c r="T66" s="38" t="str">
        <f t="shared" si="111"/>
        <v>elec</v>
      </c>
      <c r="U66" s="46">
        <f t="shared" si="112"/>
        <v>0.11827480836005699</v>
      </c>
      <c r="V66" s="46">
        <f t="shared" si="95"/>
        <v>0.6420108263784795</v>
      </c>
      <c r="W66" s="46">
        <f t="shared" si="96"/>
        <v>1.285590115867675</v>
      </c>
      <c r="X66" s="46">
        <f t="shared" si="97"/>
        <v>2.8911461916601482</v>
      </c>
      <c r="Y66" s="46">
        <f t="shared" si="98"/>
        <v>15.013949023986418</v>
      </c>
      <c r="Z66" s="46">
        <f t="shared" si="99"/>
        <v>5.3730337656931068E-2</v>
      </c>
      <c r="AA66" s="46">
        <f t="shared" si="100"/>
        <v>0.10380058714274391</v>
      </c>
      <c r="AB66" s="46">
        <f t="shared" si="101"/>
        <v>0.14181315829746088</v>
      </c>
      <c r="AC66" s="46">
        <f t="shared" si="102"/>
        <v>0.5182595214410296</v>
      </c>
      <c r="AD66" s="46">
        <f t="shared" si="103"/>
        <v>5.2384898501713533</v>
      </c>
      <c r="AE66" s="46">
        <f t="shared" si="104"/>
        <v>7.5720891483406112E-3</v>
      </c>
      <c r="AF66" s="46">
        <f t="shared" si="105"/>
        <v>0.55543386179329368</v>
      </c>
      <c r="AG66" s="46">
        <f t="shared" si="106"/>
        <v>1.6469833132536866</v>
      </c>
      <c r="AH66" s="46">
        <f t="shared" si="107"/>
        <v>6.2540935565680309</v>
      </c>
      <c r="AI66" s="46">
        <f t="shared" si="108"/>
        <v>84.496598320388799</v>
      </c>
      <c r="AJ66" s="46">
        <f t="shared" si="113"/>
        <v>118.96774556211444</v>
      </c>
      <c r="AK66" s="38"/>
      <c r="AL66" s="38" t="str">
        <f t="shared" si="114"/>
        <v>celec</v>
      </c>
      <c r="AM66" s="46">
        <f>_xlfn.IFNA(INDEX(SAM!$B$8:$HA$215,MATCH($AL66,SAM!$A$8:$A$215,0),MATCH(AM$48,SAM!$B$7:$HA$7,0)),0)</f>
        <v>0.11827480836005699</v>
      </c>
      <c r="AN66" s="46">
        <f>_xlfn.IFNA(INDEX(SAM!$B$8:$HA$215,MATCH($AL66,SAM!$A$8:$A$215,0),MATCH(AN$48,SAM!$B$7:$HA$7,0)),0)</f>
        <v>0.6420108263784795</v>
      </c>
      <c r="AO66" s="46">
        <f>_xlfn.IFNA(INDEX(SAM!$B$8:$HA$215,MATCH($AL66,SAM!$A$8:$A$215,0),MATCH(AO$48,SAM!$B$7:$HA$7,0)),0)</f>
        <v>1.285590115867675</v>
      </c>
      <c r="AP66" s="46">
        <f>_xlfn.IFNA(INDEX(SAM!$B$8:$HA$215,MATCH($AL66,SAM!$A$8:$A$215,0),MATCH(AP$48,SAM!$B$7:$HA$7,0)),0)</f>
        <v>2.8911461916601482</v>
      </c>
      <c r="AQ66" s="46">
        <f>_xlfn.IFNA(INDEX(SAM!$B$8:$HA$215,MATCH($AL66,SAM!$A$8:$A$215,0),MATCH(AQ$48,SAM!$B$7:$HA$7,0)),0)</f>
        <v>15.013949023986418</v>
      </c>
      <c r="AR66" s="46">
        <f>_xlfn.IFNA(INDEX(SAM!$B$8:$HA$215,MATCH($AL66,SAM!$A$8:$A$215,0),MATCH(AR$48,SAM!$B$7:$HA$7,0)),0)</f>
        <v>5.3730337656931068E-2</v>
      </c>
      <c r="AS66" s="46">
        <f>_xlfn.IFNA(INDEX(SAM!$B$8:$HA$215,MATCH($AL66,SAM!$A$8:$A$215,0),MATCH(AS$48,SAM!$B$7:$HA$7,0)),0)</f>
        <v>0.10380058714274391</v>
      </c>
      <c r="AT66" s="46">
        <f>_xlfn.IFNA(INDEX(SAM!$B$8:$HA$215,MATCH($AL66,SAM!$A$8:$A$215,0),MATCH(AT$48,SAM!$B$7:$HA$7,0)),0)</f>
        <v>0.14181315829746088</v>
      </c>
      <c r="AU66" s="46">
        <f>_xlfn.IFNA(INDEX(SAM!$B$8:$HA$215,MATCH($AL66,SAM!$A$8:$A$215,0),MATCH(AU$48,SAM!$B$7:$HA$7,0)),0)</f>
        <v>0.5182595214410296</v>
      </c>
      <c r="AV66" s="46">
        <f>_xlfn.IFNA(INDEX(SAM!$B$8:$HA$215,MATCH($AL66,SAM!$A$8:$A$215,0),MATCH(AV$48,SAM!$B$7:$HA$7,0)),0)</f>
        <v>5.2384898501713533</v>
      </c>
      <c r="AW66" s="46">
        <f>_xlfn.IFNA(INDEX(SAM!$B$8:$HA$215,MATCH($AL66,SAM!$A$8:$A$215,0),MATCH(AW$48,SAM!$B$7:$HA$7,0)),0)</f>
        <v>7.5720891483406112E-3</v>
      </c>
      <c r="AX66" s="46">
        <f>_xlfn.IFNA(INDEX(SAM!$B$8:$HA$215,MATCH($AL66,SAM!$A$8:$A$215,0),MATCH(AX$48,SAM!$B$7:$HA$7,0)),0)</f>
        <v>0.55543386179329368</v>
      </c>
      <c r="AY66" s="46">
        <f>_xlfn.IFNA(INDEX(SAM!$B$8:$HA$215,MATCH($AL66,SAM!$A$8:$A$215,0),MATCH(AY$48,SAM!$B$7:$HA$7,0)),0)</f>
        <v>1.6469833132536866</v>
      </c>
      <c r="AZ66" s="46">
        <f>_xlfn.IFNA(INDEX(SAM!$B$8:$HA$215,MATCH($AL66,SAM!$A$8:$A$215,0),MATCH(AZ$48,SAM!$B$7:$HA$7,0)),0)</f>
        <v>6.2540935565680309</v>
      </c>
      <c r="BA66" s="46">
        <f>_xlfn.IFNA(INDEX(SAM!$B$8:$HA$215,MATCH($AL66,SAM!$A$8:$A$215,0),MATCH(BA$48,SAM!$B$7:$HA$7,0)),0)</f>
        <v>84.496598320388799</v>
      </c>
      <c r="BB66" s="46"/>
      <c r="BC66" s="38" t="str">
        <f t="shared" si="115"/>
        <v>aelec</v>
      </c>
      <c r="BD66" s="46">
        <f>_xlfn.IFNA(INDEX(SAM!$B$8:$HA$215,MATCH($BC66,SAM!$A$8:$A$215,0),MATCH(BD$48,SAM!$B$7:$HA$7,0)),0)</f>
        <v>0</v>
      </c>
      <c r="BE66" s="46">
        <f>_xlfn.IFNA(INDEX(SAM!$B$8:$HA$215,MATCH($BC66,SAM!$A$8:$A$215,0),MATCH(BE$48,SAM!$B$7:$HA$7,0)),0)</f>
        <v>0</v>
      </c>
      <c r="BF66" s="46">
        <f>_xlfn.IFNA(INDEX(SAM!$B$8:$HA$215,MATCH($BC66,SAM!$A$8:$A$215,0),MATCH(BF$48,SAM!$B$7:$HA$7,0)),0)</f>
        <v>0</v>
      </c>
      <c r="BG66" s="46">
        <f>_xlfn.IFNA(INDEX(SAM!$B$8:$HA$215,MATCH($BC66,SAM!$A$8:$A$215,0),MATCH(BG$48,SAM!$B$7:$HA$7,0)),0)</f>
        <v>0</v>
      </c>
      <c r="BH66" s="46">
        <f>_xlfn.IFNA(INDEX(SAM!$B$8:$HA$215,MATCH($BC66,SAM!$A$8:$A$215,0),MATCH(BH$48,SAM!$B$7:$HA$7,0)),0)</f>
        <v>0</v>
      </c>
      <c r="BI66" s="46">
        <f>_xlfn.IFNA(INDEX(SAM!$B$8:$HA$215,MATCH($BC66,SAM!$A$8:$A$215,0),MATCH(BI$48,SAM!$B$7:$HA$7,0)),0)</f>
        <v>0</v>
      </c>
      <c r="BJ66" s="46">
        <f>_xlfn.IFNA(INDEX(SAM!$B$8:$HA$215,MATCH($BC66,SAM!$A$8:$A$215,0),MATCH(BJ$48,SAM!$B$7:$HA$7,0)),0)</f>
        <v>0</v>
      </c>
      <c r="BK66" s="46">
        <f>_xlfn.IFNA(INDEX(SAM!$B$8:$HA$215,MATCH($BC66,SAM!$A$8:$A$215,0),MATCH(BK$48,SAM!$B$7:$HA$7,0)),0)</f>
        <v>0</v>
      </c>
      <c r="BL66" s="46">
        <f>_xlfn.IFNA(INDEX(SAM!$B$8:$HA$215,MATCH($BC66,SAM!$A$8:$A$215,0),MATCH(BL$48,SAM!$B$7:$HA$7,0)),0)</f>
        <v>0</v>
      </c>
      <c r="BM66" s="46">
        <f>_xlfn.IFNA(INDEX(SAM!$B$8:$HA$215,MATCH($BC66,SAM!$A$8:$A$215,0),MATCH(BM$48,SAM!$B$7:$HA$7,0)),0)</f>
        <v>0</v>
      </c>
      <c r="BN66" s="46">
        <f>_xlfn.IFNA(INDEX(SAM!$B$8:$HA$215,MATCH($BC66,SAM!$A$8:$A$215,0),MATCH(BN$48,SAM!$B$7:$HA$7,0)),0)</f>
        <v>0</v>
      </c>
      <c r="BO66" s="46">
        <f>_xlfn.IFNA(INDEX(SAM!$B$8:$HA$215,MATCH($BC66,SAM!$A$8:$A$215,0),MATCH(BO$48,SAM!$B$7:$HA$7,0)),0)</f>
        <v>0</v>
      </c>
      <c r="BP66" s="46">
        <f>_xlfn.IFNA(INDEX(SAM!$B$8:$HA$215,MATCH($BC66,SAM!$A$8:$A$215,0),MATCH(BP$48,SAM!$B$7:$HA$7,0)),0)</f>
        <v>0</v>
      </c>
      <c r="BQ66" s="46">
        <f>_xlfn.IFNA(INDEX(SAM!$B$8:$HA$215,MATCH($BC66,SAM!$A$8:$A$215,0),MATCH(BQ$48,SAM!$B$7:$HA$7,0)),0)</f>
        <v>0</v>
      </c>
      <c r="BR66" s="46">
        <f>_xlfn.IFNA(INDEX(SAM!$B$8:$HA$215,MATCH($BC66,SAM!$A$8:$A$215,0),MATCH(BR$48,SAM!$B$7:$HA$7,0)),0)</f>
        <v>0</v>
      </c>
      <c r="BT66" t="str">
        <f t="shared" si="109"/>
        <v>celec</v>
      </c>
      <c r="BU66" s="7">
        <f t="shared" si="110"/>
        <v>118.96774556211444</v>
      </c>
      <c r="BW66" s="51" t="s">
        <v>185</v>
      </c>
      <c r="BX66" s="43">
        <f t="shared" si="116"/>
        <v>5.3593587181252031</v>
      </c>
    </row>
    <row r="67" spans="1:76" x14ac:dyDescent="0.35">
      <c r="A67" s="26" t="str">
        <f t="shared" si="118"/>
        <v>utilities</v>
      </c>
      <c r="B67" s="26" t="s">
        <v>45</v>
      </c>
      <c r="C67" s="45">
        <f t="shared" si="79"/>
        <v>0.30501974058793163</v>
      </c>
      <c r="D67" s="45">
        <f t="shared" si="80"/>
        <v>0.322261781712333</v>
      </c>
      <c r="E67" s="45">
        <f t="shared" si="81"/>
        <v>0.2873297064873877</v>
      </c>
      <c r="F67" s="45">
        <f t="shared" si="82"/>
        <v>0.27425424954552163</v>
      </c>
      <c r="G67" s="45">
        <f t="shared" si="83"/>
        <v>0.37951394359803359</v>
      </c>
      <c r="H67" s="45">
        <f t="shared" si="84"/>
        <v>0.31133118641503543</v>
      </c>
      <c r="I67" s="45">
        <f t="shared" si="85"/>
        <v>0.72349237905525066</v>
      </c>
      <c r="J67" s="45">
        <f t="shared" si="86"/>
        <v>0.67285827868550907</v>
      </c>
      <c r="K67" s="45">
        <f t="shared" si="87"/>
        <v>0.97737460105324603</v>
      </c>
      <c r="L67" s="45">
        <f t="shared" si="88"/>
        <v>0.80901512452515367</v>
      </c>
      <c r="M67" s="45">
        <f t="shared" si="89"/>
        <v>2.0670075028521238</v>
      </c>
      <c r="N67" s="45">
        <f t="shared" si="90"/>
        <v>3.17906523414181</v>
      </c>
      <c r="O67" s="45">
        <f t="shared" si="91"/>
        <v>2.5884998396215542</v>
      </c>
      <c r="P67" s="45">
        <f t="shared" si="92"/>
        <v>2.6963730574382168</v>
      </c>
      <c r="Q67" s="45">
        <f t="shared" si="93"/>
        <v>1.5989944490525587</v>
      </c>
      <c r="R67" s="45">
        <f t="shared" si="94"/>
        <v>0.95305759000178403</v>
      </c>
      <c r="S67" s="26"/>
      <c r="T67" s="26" t="str">
        <f t="shared" si="111"/>
        <v>watr</v>
      </c>
      <c r="U67" s="45">
        <f t="shared" si="112"/>
        <v>0.80044950191111042</v>
      </c>
      <c r="V67" s="45">
        <f t="shared" si="95"/>
        <v>1.204721668199652</v>
      </c>
      <c r="W67" s="45">
        <f t="shared" si="96"/>
        <v>1.6748492851709513</v>
      </c>
      <c r="X67" s="45">
        <f t="shared" si="97"/>
        <v>2.190318154227191</v>
      </c>
      <c r="Y67" s="45">
        <f t="shared" si="98"/>
        <v>5.4261029112368151</v>
      </c>
      <c r="Z67" s="45">
        <f t="shared" si="99"/>
        <v>5.3799606609884539E-2</v>
      </c>
      <c r="AA67" s="45">
        <f t="shared" si="100"/>
        <v>0.16136866556537752</v>
      </c>
      <c r="AB67" s="45">
        <f t="shared" si="101"/>
        <v>0.1848829229406839</v>
      </c>
      <c r="AC67" s="45">
        <f t="shared" si="102"/>
        <v>0.52991179639367958</v>
      </c>
      <c r="AD67" s="45">
        <f t="shared" si="103"/>
        <v>1.7791125147036952</v>
      </c>
      <c r="AE67" s="45">
        <f t="shared" si="104"/>
        <v>0.24678142985698792</v>
      </c>
      <c r="AF67" s="45">
        <f t="shared" si="105"/>
        <v>1.1575406415167948</v>
      </c>
      <c r="AG67" s="45">
        <f t="shared" si="106"/>
        <v>2.6683861779707954</v>
      </c>
      <c r="AH67" s="45">
        <f t="shared" si="107"/>
        <v>6.717956539531567</v>
      </c>
      <c r="AI67" s="45">
        <f t="shared" si="108"/>
        <v>37.455172117913484</v>
      </c>
      <c r="AJ67" s="45">
        <f t="shared" si="113"/>
        <v>62.251353933748675</v>
      </c>
      <c r="AK67" s="26"/>
      <c r="AL67" s="26" t="str">
        <f t="shared" si="114"/>
        <v>cwatr</v>
      </c>
      <c r="AM67" s="45">
        <f>_xlfn.IFNA(INDEX(SAM!$B$8:$HA$215,MATCH($AL67,SAM!$A$8:$A$215,0),MATCH(AM$48,SAM!$B$7:$HA$7,0)),0)</f>
        <v>0.80044950191111042</v>
      </c>
      <c r="AN67" s="45">
        <f>_xlfn.IFNA(INDEX(SAM!$B$8:$HA$215,MATCH($AL67,SAM!$A$8:$A$215,0),MATCH(AN$48,SAM!$B$7:$HA$7,0)),0)</f>
        <v>1.204721668199652</v>
      </c>
      <c r="AO67" s="45">
        <f>_xlfn.IFNA(INDEX(SAM!$B$8:$HA$215,MATCH($AL67,SAM!$A$8:$A$215,0),MATCH(AO$48,SAM!$B$7:$HA$7,0)),0)</f>
        <v>1.6748492851709513</v>
      </c>
      <c r="AP67" s="45">
        <f>_xlfn.IFNA(INDEX(SAM!$B$8:$HA$215,MATCH($AL67,SAM!$A$8:$A$215,0),MATCH(AP$48,SAM!$B$7:$HA$7,0)),0)</f>
        <v>2.190318154227191</v>
      </c>
      <c r="AQ67" s="45">
        <f>_xlfn.IFNA(INDEX(SAM!$B$8:$HA$215,MATCH($AL67,SAM!$A$8:$A$215,0),MATCH(AQ$48,SAM!$B$7:$HA$7,0)),0)</f>
        <v>5.4261029112368151</v>
      </c>
      <c r="AR67" s="45">
        <f>_xlfn.IFNA(INDEX(SAM!$B$8:$HA$215,MATCH($AL67,SAM!$A$8:$A$215,0),MATCH(AR$48,SAM!$B$7:$HA$7,0)),0)</f>
        <v>5.3799606609884539E-2</v>
      </c>
      <c r="AS67" s="45">
        <f>_xlfn.IFNA(INDEX(SAM!$B$8:$HA$215,MATCH($AL67,SAM!$A$8:$A$215,0),MATCH(AS$48,SAM!$B$7:$HA$7,0)),0)</f>
        <v>0.16136866556537752</v>
      </c>
      <c r="AT67" s="45">
        <f>_xlfn.IFNA(INDEX(SAM!$B$8:$HA$215,MATCH($AL67,SAM!$A$8:$A$215,0),MATCH(AT$48,SAM!$B$7:$HA$7,0)),0)</f>
        <v>0.1848829229406839</v>
      </c>
      <c r="AU67" s="45">
        <f>_xlfn.IFNA(INDEX(SAM!$B$8:$HA$215,MATCH($AL67,SAM!$A$8:$A$215,0),MATCH(AU$48,SAM!$B$7:$HA$7,0)),0)</f>
        <v>0.52991179639367958</v>
      </c>
      <c r="AV67" s="45">
        <f>_xlfn.IFNA(INDEX(SAM!$B$8:$HA$215,MATCH($AL67,SAM!$A$8:$A$215,0),MATCH(AV$48,SAM!$B$7:$HA$7,0)),0)</f>
        <v>1.7791125147036952</v>
      </c>
      <c r="AW67" s="45">
        <f>_xlfn.IFNA(INDEX(SAM!$B$8:$HA$215,MATCH($AL67,SAM!$A$8:$A$215,0),MATCH(AW$48,SAM!$B$7:$HA$7,0)),0)</f>
        <v>0.24678142985698792</v>
      </c>
      <c r="AX67" s="45">
        <f>_xlfn.IFNA(INDEX(SAM!$B$8:$HA$215,MATCH($AL67,SAM!$A$8:$A$215,0),MATCH(AX$48,SAM!$B$7:$HA$7,0)),0)</f>
        <v>1.1575406415167948</v>
      </c>
      <c r="AY67" s="45">
        <f>_xlfn.IFNA(INDEX(SAM!$B$8:$HA$215,MATCH($AL67,SAM!$A$8:$A$215,0),MATCH(AY$48,SAM!$B$7:$HA$7,0)),0)</f>
        <v>2.6683861779707954</v>
      </c>
      <c r="AZ67" s="45">
        <f>_xlfn.IFNA(INDEX(SAM!$B$8:$HA$215,MATCH($AL67,SAM!$A$8:$A$215,0),MATCH(AZ$48,SAM!$B$7:$HA$7,0)),0)</f>
        <v>6.717956539531567</v>
      </c>
      <c r="BA67" s="45">
        <f>_xlfn.IFNA(INDEX(SAM!$B$8:$HA$215,MATCH($AL67,SAM!$A$8:$A$215,0),MATCH(BA$48,SAM!$B$7:$HA$7,0)),0)</f>
        <v>37.455172117913484</v>
      </c>
      <c r="BB67" s="45"/>
      <c r="BC67" s="26" t="str">
        <f t="shared" si="115"/>
        <v>awatr</v>
      </c>
      <c r="BD67" s="45">
        <f>_xlfn.IFNA(INDEX(SAM!$B$8:$HA$215,MATCH($BC67,SAM!$A$8:$A$215,0),MATCH(BD$48,SAM!$B$7:$HA$7,0)),0)</f>
        <v>0</v>
      </c>
      <c r="BE67" s="45">
        <f>_xlfn.IFNA(INDEX(SAM!$B$8:$HA$215,MATCH($BC67,SAM!$A$8:$A$215,0),MATCH(BE$48,SAM!$B$7:$HA$7,0)),0)</f>
        <v>0</v>
      </c>
      <c r="BF67" s="45">
        <f>_xlfn.IFNA(INDEX(SAM!$B$8:$HA$215,MATCH($BC67,SAM!$A$8:$A$215,0),MATCH(BF$48,SAM!$B$7:$HA$7,0)),0)</f>
        <v>0</v>
      </c>
      <c r="BG67" s="45">
        <f>_xlfn.IFNA(INDEX(SAM!$B$8:$HA$215,MATCH($BC67,SAM!$A$8:$A$215,0),MATCH(BG$48,SAM!$B$7:$HA$7,0)),0)</f>
        <v>0</v>
      </c>
      <c r="BH67" s="45">
        <f>_xlfn.IFNA(INDEX(SAM!$B$8:$HA$215,MATCH($BC67,SAM!$A$8:$A$215,0),MATCH(BH$48,SAM!$B$7:$HA$7,0)),0)</f>
        <v>0</v>
      </c>
      <c r="BI67" s="45">
        <f>_xlfn.IFNA(INDEX(SAM!$B$8:$HA$215,MATCH($BC67,SAM!$A$8:$A$215,0),MATCH(BI$48,SAM!$B$7:$HA$7,0)),0)</f>
        <v>0</v>
      </c>
      <c r="BJ67" s="45">
        <f>_xlfn.IFNA(INDEX(SAM!$B$8:$HA$215,MATCH($BC67,SAM!$A$8:$A$215,0),MATCH(BJ$48,SAM!$B$7:$HA$7,0)),0)</f>
        <v>0</v>
      </c>
      <c r="BK67" s="45">
        <f>_xlfn.IFNA(INDEX(SAM!$B$8:$HA$215,MATCH($BC67,SAM!$A$8:$A$215,0),MATCH(BK$48,SAM!$B$7:$HA$7,0)),0)</f>
        <v>0</v>
      </c>
      <c r="BL67" s="45">
        <f>_xlfn.IFNA(INDEX(SAM!$B$8:$HA$215,MATCH($BC67,SAM!$A$8:$A$215,0),MATCH(BL$48,SAM!$B$7:$HA$7,0)),0)</f>
        <v>0</v>
      </c>
      <c r="BM67" s="45">
        <f>_xlfn.IFNA(INDEX(SAM!$B$8:$HA$215,MATCH($BC67,SAM!$A$8:$A$215,0),MATCH(BM$48,SAM!$B$7:$HA$7,0)),0)</f>
        <v>0</v>
      </c>
      <c r="BN67" s="45">
        <f>_xlfn.IFNA(INDEX(SAM!$B$8:$HA$215,MATCH($BC67,SAM!$A$8:$A$215,0),MATCH(BN$48,SAM!$B$7:$HA$7,0)),0)</f>
        <v>0</v>
      </c>
      <c r="BO67" s="45">
        <f>_xlfn.IFNA(INDEX(SAM!$B$8:$HA$215,MATCH($BC67,SAM!$A$8:$A$215,0),MATCH(BO$48,SAM!$B$7:$HA$7,0)),0)</f>
        <v>0</v>
      </c>
      <c r="BP67" s="45">
        <f>_xlfn.IFNA(INDEX(SAM!$B$8:$HA$215,MATCH($BC67,SAM!$A$8:$A$215,0),MATCH(BP$48,SAM!$B$7:$HA$7,0)),0)</f>
        <v>0</v>
      </c>
      <c r="BQ67" s="45">
        <f>_xlfn.IFNA(INDEX(SAM!$B$8:$HA$215,MATCH($BC67,SAM!$A$8:$A$215,0),MATCH(BQ$48,SAM!$B$7:$HA$7,0)),0)</f>
        <v>0</v>
      </c>
      <c r="BR67" s="45">
        <f>_xlfn.IFNA(INDEX(SAM!$B$8:$HA$215,MATCH($BC67,SAM!$A$8:$A$215,0),MATCH(BR$48,SAM!$B$7:$HA$7,0)),0)</f>
        <v>0</v>
      </c>
      <c r="BT67" t="str">
        <f t="shared" si="109"/>
        <v>cwatr</v>
      </c>
      <c r="BU67" s="7">
        <f t="shared" si="110"/>
        <v>62.251353933748675</v>
      </c>
      <c r="BW67" s="51" t="s">
        <v>290</v>
      </c>
      <c r="BX67" s="43">
        <f t="shared" si="116"/>
        <v>3.1714307351978941</v>
      </c>
    </row>
    <row r="68" spans="1:76" x14ac:dyDescent="0.35">
      <c r="A68" s="47" t="str">
        <f t="shared" si="118"/>
        <v>housing</v>
      </c>
      <c r="B68" s="47" t="s">
        <v>52</v>
      </c>
      <c r="C68" s="48">
        <f t="shared" si="79"/>
        <v>10.393126788415774</v>
      </c>
      <c r="D68" s="48">
        <f t="shared" si="80"/>
        <v>8.8812269650439575</v>
      </c>
      <c r="E68" s="48">
        <f t="shared" si="81"/>
        <v>7.9823630961229846</v>
      </c>
      <c r="F68" s="48">
        <f t="shared" si="82"/>
        <v>6.972733892620413</v>
      </c>
      <c r="G68" s="48">
        <f t="shared" si="83"/>
        <v>6.3014514610338344</v>
      </c>
      <c r="H68" s="48">
        <f t="shared" si="84"/>
        <v>11.011432614728694</v>
      </c>
      <c r="I68" s="48">
        <f t="shared" si="85"/>
        <v>9.4200876350963476</v>
      </c>
      <c r="J68" s="48">
        <f t="shared" si="86"/>
        <v>9.1892563684147017</v>
      </c>
      <c r="K68" s="48">
        <f t="shared" si="87"/>
        <v>9.030723109105196</v>
      </c>
      <c r="L68" s="48">
        <f t="shared" si="88"/>
        <v>16.685391712324872</v>
      </c>
      <c r="M68" s="48">
        <f t="shared" si="89"/>
        <v>14.754525256624786</v>
      </c>
      <c r="N68" s="48">
        <f t="shared" si="90"/>
        <v>11.75796536717138</v>
      </c>
      <c r="O68" s="48">
        <f t="shared" si="91"/>
        <v>11.946431277734789</v>
      </c>
      <c r="P68" s="48">
        <f t="shared" si="92"/>
        <v>11.333550154973866</v>
      </c>
      <c r="Q68" s="48">
        <f t="shared" si="93"/>
        <v>9.9281925998693854</v>
      </c>
      <c r="R68" s="48">
        <f t="shared" si="94"/>
        <v>8.8806238093504319</v>
      </c>
      <c r="S68" s="47"/>
      <c r="T68" s="47" t="str">
        <f t="shared" si="111"/>
        <v>real</v>
      </c>
      <c r="U68" s="48">
        <f t="shared" si="112"/>
        <v>27.274212301967907</v>
      </c>
      <c r="V68" s="48">
        <f t="shared" si="95"/>
        <v>33.200978745094616</v>
      </c>
      <c r="W68" s="48">
        <f t="shared" si="96"/>
        <v>46.529317448432387</v>
      </c>
      <c r="X68" s="48">
        <f t="shared" si="97"/>
        <v>55.687398298879373</v>
      </c>
      <c r="Y68" s="48">
        <f t="shared" si="98"/>
        <v>90.095040497242834</v>
      </c>
      <c r="Z68" s="48">
        <f t="shared" si="99"/>
        <v>1.9028313536630848</v>
      </c>
      <c r="AA68" s="48">
        <f t="shared" si="100"/>
        <v>2.1010683943476964</v>
      </c>
      <c r="AB68" s="48">
        <f t="shared" si="101"/>
        <v>2.5249545570916272</v>
      </c>
      <c r="AC68" s="48">
        <f t="shared" si="102"/>
        <v>4.896266692753092</v>
      </c>
      <c r="AD68" s="48">
        <f t="shared" si="103"/>
        <v>36.692996593301068</v>
      </c>
      <c r="AE68" s="48">
        <f t="shared" si="104"/>
        <v>1.7615527929466825</v>
      </c>
      <c r="AF68" s="48">
        <f t="shared" si="105"/>
        <v>4.2812341904402373</v>
      </c>
      <c r="AG68" s="48">
        <f t="shared" si="106"/>
        <v>12.315122299658364</v>
      </c>
      <c r="AH68" s="48">
        <f t="shared" si="107"/>
        <v>28.237300906742306</v>
      </c>
      <c r="AI68" s="48">
        <f t="shared" si="108"/>
        <v>232.56000849048584</v>
      </c>
      <c r="AJ68" s="48">
        <f t="shared" si="113"/>
        <v>580.06028356304716</v>
      </c>
      <c r="AK68" s="47"/>
      <c r="AL68" s="47" t="str">
        <f t="shared" si="114"/>
        <v>creal</v>
      </c>
      <c r="AM68" s="48">
        <f>_xlfn.IFNA(INDEX(SAM!$B$8:$HA$215,MATCH($AL68,SAM!$A$8:$A$215,0),MATCH(AM$48,SAM!$B$7:$HA$7,0)),0)</f>
        <v>27.274212301967907</v>
      </c>
      <c r="AN68" s="48">
        <f>_xlfn.IFNA(INDEX(SAM!$B$8:$HA$215,MATCH($AL68,SAM!$A$8:$A$215,0),MATCH(AN$48,SAM!$B$7:$HA$7,0)),0)</f>
        <v>33.200978745094616</v>
      </c>
      <c r="AO68" s="48">
        <f>_xlfn.IFNA(INDEX(SAM!$B$8:$HA$215,MATCH($AL68,SAM!$A$8:$A$215,0),MATCH(AO$48,SAM!$B$7:$HA$7,0)),0)</f>
        <v>46.529317448432387</v>
      </c>
      <c r="AP68" s="48">
        <f>_xlfn.IFNA(INDEX(SAM!$B$8:$HA$215,MATCH($AL68,SAM!$A$8:$A$215,0),MATCH(AP$48,SAM!$B$7:$HA$7,0)),0)</f>
        <v>55.687398298879373</v>
      </c>
      <c r="AQ68" s="48">
        <f>_xlfn.IFNA(INDEX(SAM!$B$8:$HA$215,MATCH($AL68,SAM!$A$8:$A$215,0),MATCH(AQ$48,SAM!$B$7:$HA$7,0)),0)</f>
        <v>90.095040497242834</v>
      </c>
      <c r="AR68" s="48">
        <f>_xlfn.IFNA(INDEX(SAM!$B$8:$HA$215,MATCH($AL68,SAM!$A$8:$A$215,0),MATCH(AR$48,SAM!$B$7:$HA$7,0)),0)</f>
        <v>1.9028313536630848</v>
      </c>
      <c r="AS68" s="48">
        <f>_xlfn.IFNA(INDEX(SAM!$B$8:$HA$215,MATCH($AL68,SAM!$A$8:$A$215,0),MATCH(AS$48,SAM!$B$7:$HA$7,0)),0)</f>
        <v>2.1010683943476964</v>
      </c>
      <c r="AT68" s="48">
        <f>_xlfn.IFNA(INDEX(SAM!$B$8:$HA$215,MATCH($AL68,SAM!$A$8:$A$215,0),MATCH(AT$48,SAM!$B$7:$HA$7,0)),0)</f>
        <v>2.5249545570916272</v>
      </c>
      <c r="AU68" s="48">
        <f>_xlfn.IFNA(INDEX(SAM!$B$8:$HA$215,MATCH($AL68,SAM!$A$8:$A$215,0),MATCH(AU$48,SAM!$B$7:$HA$7,0)),0)</f>
        <v>4.896266692753092</v>
      </c>
      <c r="AV68" s="48">
        <f>_xlfn.IFNA(INDEX(SAM!$B$8:$HA$215,MATCH($AL68,SAM!$A$8:$A$215,0),MATCH(AV$48,SAM!$B$7:$HA$7,0)),0)</f>
        <v>36.692996593301068</v>
      </c>
      <c r="AW68" s="48">
        <f>_xlfn.IFNA(INDEX(SAM!$B$8:$HA$215,MATCH($AL68,SAM!$A$8:$A$215,0),MATCH(AW$48,SAM!$B$7:$HA$7,0)),0)</f>
        <v>1.7615527929466825</v>
      </c>
      <c r="AX68" s="48">
        <f>_xlfn.IFNA(INDEX(SAM!$B$8:$HA$215,MATCH($AL68,SAM!$A$8:$A$215,0),MATCH(AX$48,SAM!$B$7:$HA$7,0)),0)</f>
        <v>4.2812341904402373</v>
      </c>
      <c r="AY68" s="48">
        <f>_xlfn.IFNA(INDEX(SAM!$B$8:$HA$215,MATCH($AL68,SAM!$A$8:$A$215,0),MATCH(AY$48,SAM!$B$7:$HA$7,0)),0)</f>
        <v>12.315122299658364</v>
      </c>
      <c r="AZ68" s="48">
        <f>_xlfn.IFNA(INDEX(SAM!$B$8:$HA$215,MATCH($AL68,SAM!$A$8:$A$215,0),MATCH(AZ$48,SAM!$B$7:$HA$7,0)),0)</f>
        <v>28.237300906742306</v>
      </c>
      <c r="BA68" s="48">
        <f>_xlfn.IFNA(INDEX(SAM!$B$8:$HA$215,MATCH($AL68,SAM!$A$8:$A$215,0),MATCH(BA$48,SAM!$B$7:$HA$7,0)),0)</f>
        <v>232.56000849048584</v>
      </c>
      <c r="BB68" s="48"/>
      <c r="BC68" s="47" t="str">
        <f t="shared" si="115"/>
        <v>areal</v>
      </c>
      <c r="BD68" s="48">
        <f>_xlfn.IFNA(INDEX(SAM!$B$8:$HA$215,MATCH($BC68,SAM!$A$8:$A$215,0),MATCH(BD$48,SAM!$B$7:$HA$7,0)),0)</f>
        <v>0</v>
      </c>
      <c r="BE68" s="48">
        <f>_xlfn.IFNA(INDEX(SAM!$B$8:$HA$215,MATCH($BC68,SAM!$A$8:$A$215,0),MATCH(BE$48,SAM!$B$7:$HA$7,0)),0)</f>
        <v>0</v>
      </c>
      <c r="BF68" s="48">
        <f>_xlfn.IFNA(INDEX(SAM!$B$8:$HA$215,MATCH($BC68,SAM!$A$8:$A$215,0),MATCH(BF$48,SAM!$B$7:$HA$7,0)),0)</f>
        <v>0</v>
      </c>
      <c r="BG68" s="48">
        <f>_xlfn.IFNA(INDEX(SAM!$B$8:$HA$215,MATCH($BC68,SAM!$A$8:$A$215,0),MATCH(BG$48,SAM!$B$7:$HA$7,0)),0)</f>
        <v>0</v>
      </c>
      <c r="BH68" s="48">
        <f>_xlfn.IFNA(INDEX(SAM!$B$8:$HA$215,MATCH($BC68,SAM!$A$8:$A$215,0),MATCH(BH$48,SAM!$B$7:$HA$7,0)),0)</f>
        <v>0</v>
      </c>
      <c r="BI68" s="48">
        <f>_xlfn.IFNA(INDEX(SAM!$B$8:$HA$215,MATCH($BC68,SAM!$A$8:$A$215,0),MATCH(BI$48,SAM!$B$7:$HA$7,0)),0)</f>
        <v>0</v>
      </c>
      <c r="BJ68" s="48">
        <f>_xlfn.IFNA(INDEX(SAM!$B$8:$HA$215,MATCH($BC68,SAM!$A$8:$A$215,0),MATCH(BJ$48,SAM!$B$7:$HA$7,0)),0)</f>
        <v>0</v>
      </c>
      <c r="BK68" s="48">
        <f>_xlfn.IFNA(INDEX(SAM!$B$8:$HA$215,MATCH($BC68,SAM!$A$8:$A$215,0),MATCH(BK$48,SAM!$B$7:$HA$7,0)),0)</f>
        <v>0</v>
      </c>
      <c r="BL68" s="48">
        <f>_xlfn.IFNA(INDEX(SAM!$B$8:$HA$215,MATCH($BC68,SAM!$A$8:$A$215,0),MATCH(BL$48,SAM!$B$7:$HA$7,0)),0)</f>
        <v>0</v>
      </c>
      <c r="BM68" s="48">
        <f>_xlfn.IFNA(INDEX(SAM!$B$8:$HA$215,MATCH($BC68,SAM!$A$8:$A$215,0),MATCH(BM$48,SAM!$B$7:$HA$7,0)),0)</f>
        <v>0</v>
      </c>
      <c r="BN68" s="48">
        <f>_xlfn.IFNA(INDEX(SAM!$B$8:$HA$215,MATCH($BC68,SAM!$A$8:$A$215,0),MATCH(BN$48,SAM!$B$7:$HA$7,0)),0)</f>
        <v>0</v>
      </c>
      <c r="BO68" s="48">
        <f>_xlfn.IFNA(INDEX(SAM!$B$8:$HA$215,MATCH($BC68,SAM!$A$8:$A$215,0),MATCH(BO$48,SAM!$B$7:$HA$7,0)),0)</f>
        <v>0</v>
      </c>
      <c r="BP68" s="48">
        <f>_xlfn.IFNA(INDEX(SAM!$B$8:$HA$215,MATCH($BC68,SAM!$A$8:$A$215,0),MATCH(BP$48,SAM!$B$7:$HA$7,0)),0)</f>
        <v>0</v>
      </c>
      <c r="BQ68" s="48">
        <f>_xlfn.IFNA(INDEX(SAM!$B$8:$HA$215,MATCH($BC68,SAM!$A$8:$A$215,0),MATCH(BQ$48,SAM!$B$7:$HA$7,0)),0)</f>
        <v>0</v>
      </c>
      <c r="BR68" s="48">
        <f>_xlfn.IFNA(INDEX(SAM!$B$8:$HA$215,MATCH($BC68,SAM!$A$8:$A$215,0),MATCH(BR$48,SAM!$B$7:$HA$7,0)),0)</f>
        <v>0</v>
      </c>
      <c r="BT68" t="str">
        <f t="shared" si="109"/>
        <v>creal</v>
      </c>
      <c r="BU68" s="7">
        <f t="shared" si="110"/>
        <v>580.06028356304716</v>
      </c>
      <c r="BW68" s="51" t="s">
        <v>291</v>
      </c>
      <c r="BX68" s="43">
        <f t="shared" si="116"/>
        <v>0.34454480093902157</v>
      </c>
    </row>
    <row r="69" spans="1:76" x14ac:dyDescent="0.35">
      <c r="A69" s="38" t="str">
        <f t="shared" si="118"/>
        <v>education, health and public</v>
      </c>
      <c r="B69" s="38" t="s">
        <v>55</v>
      </c>
      <c r="C69" s="46">
        <f t="shared" si="79"/>
        <v>0.89903239713182492</v>
      </c>
      <c r="D69" s="46">
        <f t="shared" si="80"/>
        <v>0.87701658888023415</v>
      </c>
      <c r="E69" s="46">
        <f t="shared" si="81"/>
        <v>0.92140072713079413</v>
      </c>
      <c r="F69" s="46">
        <f t="shared" si="82"/>
        <v>0.94665994139272558</v>
      </c>
      <c r="G69" s="46">
        <f t="shared" si="83"/>
        <v>1.7652164984840661</v>
      </c>
      <c r="H69" s="46">
        <f t="shared" si="84"/>
        <v>0.84461862726380954</v>
      </c>
      <c r="I69" s="46">
        <f t="shared" si="85"/>
        <v>0.62213825151017121</v>
      </c>
      <c r="J69" s="46">
        <f t="shared" si="86"/>
        <v>1.3564135546076412</v>
      </c>
      <c r="K69" s="46">
        <f t="shared" si="87"/>
        <v>0.76896397561241325</v>
      </c>
      <c r="L69" s="46">
        <f t="shared" si="88"/>
        <v>1.180483883980834</v>
      </c>
      <c r="M69" s="46">
        <f t="shared" si="89"/>
        <v>1.2653084660686278</v>
      </c>
      <c r="N69" s="46">
        <f t="shared" si="90"/>
        <v>1.5494156690691763</v>
      </c>
      <c r="O69" s="46">
        <f t="shared" si="91"/>
        <v>1.5544364493414715</v>
      </c>
      <c r="P69" s="46">
        <f t="shared" si="92"/>
        <v>2.0691389565493483</v>
      </c>
      <c r="Q69" s="46">
        <f t="shared" si="93"/>
        <v>3.0190877885747214</v>
      </c>
      <c r="R69" s="46">
        <f t="shared" si="94"/>
        <v>1.9239909576623113</v>
      </c>
      <c r="S69" s="38"/>
      <c r="T69" s="38" t="str">
        <f t="shared" si="111"/>
        <v>educ</v>
      </c>
      <c r="U69" s="46">
        <f t="shared" si="112"/>
        <v>2.3592900351269712</v>
      </c>
      <c r="V69" s="46">
        <f t="shared" si="95"/>
        <v>3.2785795522526562</v>
      </c>
      <c r="W69" s="46">
        <f t="shared" si="96"/>
        <v>5.3708590317957405</v>
      </c>
      <c r="X69" s="46">
        <f t="shared" si="97"/>
        <v>7.5604533346272591</v>
      </c>
      <c r="Y69" s="46">
        <f t="shared" si="98"/>
        <v>25.238193597262274</v>
      </c>
      <c r="Z69" s="46">
        <f t="shared" si="99"/>
        <v>0.14595437869689487</v>
      </c>
      <c r="AA69" s="46">
        <f t="shared" si="100"/>
        <v>0.13876251132661457</v>
      </c>
      <c r="AB69" s="46">
        <f t="shared" si="101"/>
        <v>0.37270508610244213</v>
      </c>
      <c r="AC69" s="46">
        <f t="shared" si="102"/>
        <v>0.41691597186962343</v>
      </c>
      <c r="AD69" s="46">
        <f t="shared" si="103"/>
        <v>2.5960128404633158</v>
      </c>
      <c r="AE69" s="46">
        <f t="shared" si="104"/>
        <v>0.15106603727161563</v>
      </c>
      <c r="AF69" s="46">
        <f t="shared" si="105"/>
        <v>0.564163197498735</v>
      </c>
      <c r="AG69" s="46">
        <f t="shared" si="106"/>
        <v>1.6024095008494221</v>
      </c>
      <c r="AH69" s="46">
        <f t="shared" si="107"/>
        <v>5.1552160210192737</v>
      </c>
      <c r="AI69" s="46">
        <f t="shared" si="108"/>
        <v>70.719728156129477</v>
      </c>
      <c r="AJ69" s="46">
        <f t="shared" si="113"/>
        <v>125.67030925229231</v>
      </c>
      <c r="AK69" s="38"/>
      <c r="AL69" s="38" t="str">
        <f t="shared" si="114"/>
        <v>ceduc</v>
      </c>
      <c r="AM69" s="46">
        <f>_xlfn.IFNA(INDEX(SAM!$B$8:$HA$215,MATCH($AL69,SAM!$A$8:$A$215,0),MATCH(AM$48,SAM!$B$7:$HA$7,0)),0)</f>
        <v>2.3592900351269712</v>
      </c>
      <c r="AN69" s="46">
        <f>_xlfn.IFNA(INDEX(SAM!$B$8:$HA$215,MATCH($AL69,SAM!$A$8:$A$215,0),MATCH(AN$48,SAM!$B$7:$HA$7,0)),0)</f>
        <v>3.2785795522526562</v>
      </c>
      <c r="AO69" s="46">
        <f>_xlfn.IFNA(INDEX(SAM!$B$8:$HA$215,MATCH($AL69,SAM!$A$8:$A$215,0),MATCH(AO$48,SAM!$B$7:$HA$7,0)),0)</f>
        <v>5.3708590317957405</v>
      </c>
      <c r="AP69" s="46">
        <f>_xlfn.IFNA(INDEX(SAM!$B$8:$HA$215,MATCH($AL69,SAM!$A$8:$A$215,0),MATCH(AP$48,SAM!$B$7:$HA$7,0)),0)</f>
        <v>7.5604533346272591</v>
      </c>
      <c r="AQ69" s="46">
        <f>_xlfn.IFNA(INDEX(SAM!$B$8:$HA$215,MATCH($AL69,SAM!$A$8:$A$215,0),MATCH(AQ$48,SAM!$B$7:$HA$7,0)),0)</f>
        <v>25.238193597262274</v>
      </c>
      <c r="AR69" s="46">
        <f>_xlfn.IFNA(INDEX(SAM!$B$8:$HA$215,MATCH($AL69,SAM!$A$8:$A$215,0),MATCH(AR$48,SAM!$B$7:$HA$7,0)),0)</f>
        <v>0.14595437869689487</v>
      </c>
      <c r="AS69" s="46">
        <f>_xlfn.IFNA(INDEX(SAM!$B$8:$HA$215,MATCH($AL69,SAM!$A$8:$A$215,0),MATCH(AS$48,SAM!$B$7:$HA$7,0)),0)</f>
        <v>0.13876251132661457</v>
      </c>
      <c r="AT69" s="46">
        <f>_xlfn.IFNA(INDEX(SAM!$B$8:$HA$215,MATCH($AL69,SAM!$A$8:$A$215,0),MATCH(AT$48,SAM!$B$7:$HA$7,0)),0)</f>
        <v>0.37270508610244213</v>
      </c>
      <c r="AU69" s="46">
        <f>_xlfn.IFNA(INDEX(SAM!$B$8:$HA$215,MATCH($AL69,SAM!$A$8:$A$215,0),MATCH(AU$48,SAM!$B$7:$HA$7,0)),0)</f>
        <v>0.41691597186962343</v>
      </c>
      <c r="AV69" s="46">
        <f>_xlfn.IFNA(INDEX(SAM!$B$8:$HA$215,MATCH($AL69,SAM!$A$8:$A$215,0),MATCH(AV$48,SAM!$B$7:$HA$7,0)),0)</f>
        <v>2.5960128404633158</v>
      </c>
      <c r="AW69" s="46">
        <f>_xlfn.IFNA(INDEX(SAM!$B$8:$HA$215,MATCH($AL69,SAM!$A$8:$A$215,0),MATCH(AW$48,SAM!$B$7:$HA$7,0)),0)</f>
        <v>0.15106603727161563</v>
      </c>
      <c r="AX69" s="46">
        <f>_xlfn.IFNA(INDEX(SAM!$B$8:$HA$215,MATCH($AL69,SAM!$A$8:$A$215,0),MATCH(AX$48,SAM!$B$7:$HA$7,0)),0)</f>
        <v>0.564163197498735</v>
      </c>
      <c r="AY69" s="46">
        <f>_xlfn.IFNA(INDEX(SAM!$B$8:$HA$215,MATCH($AL69,SAM!$A$8:$A$215,0),MATCH(AY$48,SAM!$B$7:$HA$7,0)),0)</f>
        <v>1.6024095008494221</v>
      </c>
      <c r="AZ69" s="46">
        <f>_xlfn.IFNA(INDEX(SAM!$B$8:$HA$215,MATCH($AL69,SAM!$A$8:$A$215,0),MATCH(AZ$48,SAM!$B$7:$HA$7,0)),0)</f>
        <v>5.1552160210192737</v>
      </c>
      <c r="BA69" s="46">
        <f>_xlfn.IFNA(INDEX(SAM!$B$8:$HA$215,MATCH($AL69,SAM!$A$8:$A$215,0),MATCH(BA$48,SAM!$B$7:$HA$7,0)),0)</f>
        <v>70.719728156129477</v>
      </c>
      <c r="BB69" s="38"/>
      <c r="BC69" s="38" t="str">
        <f t="shared" si="115"/>
        <v>aeduc</v>
      </c>
      <c r="BD69" s="46">
        <f>_xlfn.IFNA(INDEX(SAM!$B$8:$HA$215,MATCH($BC69,SAM!$A$8:$A$215,0),MATCH(BD$48,SAM!$B$7:$HA$7,0)),0)</f>
        <v>0</v>
      </c>
      <c r="BE69" s="46">
        <f>_xlfn.IFNA(INDEX(SAM!$B$8:$HA$215,MATCH($BC69,SAM!$A$8:$A$215,0),MATCH(BE$48,SAM!$B$7:$HA$7,0)),0)</f>
        <v>0</v>
      </c>
      <c r="BF69" s="46">
        <f>_xlfn.IFNA(INDEX(SAM!$B$8:$HA$215,MATCH($BC69,SAM!$A$8:$A$215,0),MATCH(BF$48,SAM!$B$7:$HA$7,0)),0)</f>
        <v>0</v>
      </c>
      <c r="BG69" s="46">
        <f>_xlfn.IFNA(INDEX(SAM!$B$8:$HA$215,MATCH($BC69,SAM!$A$8:$A$215,0),MATCH(BG$48,SAM!$B$7:$HA$7,0)),0)</f>
        <v>0</v>
      </c>
      <c r="BH69" s="46">
        <f>_xlfn.IFNA(INDEX(SAM!$B$8:$HA$215,MATCH($BC69,SAM!$A$8:$A$215,0),MATCH(BH$48,SAM!$B$7:$HA$7,0)),0)</f>
        <v>0</v>
      </c>
      <c r="BI69" s="46">
        <f>_xlfn.IFNA(INDEX(SAM!$B$8:$HA$215,MATCH($BC69,SAM!$A$8:$A$215,0),MATCH(BI$48,SAM!$B$7:$HA$7,0)),0)</f>
        <v>0</v>
      </c>
      <c r="BJ69" s="46">
        <f>_xlfn.IFNA(INDEX(SAM!$B$8:$HA$215,MATCH($BC69,SAM!$A$8:$A$215,0),MATCH(BJ$48,SAM!$B$7:$HA$7,0)),0)</f>
        <v>0</v>
      </c>
      <c r="BK69" s="46">
        <f>_xlfn.IFNA(INDEX(SAM!$B$8:$HA$215,MATCH($BC69,SAM!$A$8:$A$215,0),MATCH(BK$48,SAM!$B$7:$HA$7,0)),0)</f>
        <v>0</v>
      </c>
      <c r="BL69" s="46">
        <f>_xlfn.IFNA(INDEX(SAM!$B$8:$HA$215,MATCH($BC69,SAM!$A$8:$A$215,0),MATCH(BL$48,SAM!$B$7:$HA$7,0)),0)</f>
        <v>0</v>
      </c>
      <c r="BM69" s="46">
        <f>_xlfn.IFNA(INDEX(SAM!$B$8:$HA$215,MATCH($BC69,SAM!$A$8:$A$215,0),MATCH(BM$48,SAM!$B$7:$HA$7,0)),0)</f>
        <v>0</v>
      </c>
      <c r="BN69" s="46">
        <f>_xlfn.IFNA(INDEX(SAM!$B$8:$HA$215,MATCH($BC69,SAM!$A$8:$A$215,0),MATCH(BN$48,SAM!$B$7:$HA$7,0)),0)</f>
        <v>0</v>
      </c>
      <c r="BO69" s="46">
        <f>_xlfn.IFNA(INDEX(SAM!$B$8:$HA$215,MATCH($BC69,SAM!$A$8:$A$215,0),MATCH(BO$48,SAM!$B$7:$HA$7,0)),0)</f>
        <v>0</v>
      </c>
      <c r="BP69" s="46">
        <f>_xlfn.IFNA(INDEX(SAM!$B$8:$HA$215,MATCH($BC69,SAM!$A$8:$A$215,0),MATCH(BP$48,SAM!$B$7:$HA$7,0)),0)</f>
        <v>0</v>
      </c>
      <c r="BQ69" s="46">
        <f>_xlfn.IFNA(INDEX(SAM!$B$8:$HA$215,MATCH($BC69,SAM!$A$8:$A$215,0),MATCH(BQ$48,SAM!$B$7:$HA$7,0)),0)</f>
        <v>0</v>
      </c>
      <c r="BR69" s="46">
        <f>_xlfn.IFNA(INDEX(SAM!$B$8:$HA$215,MATCH($BC69,SAM!$A$8:$A$215,0),MATCH(BR$48,SAM!$B$7:$HA$7,0)),0)</f>
        <v>0</v>
      </c>
      <c r="BT69" t="str">
        <f t="shared" si="109"/>
        <v>ceduc</v>
      </c>
      <c r="BU69" s="7">
        <f t="shared" si="110"/>
        <v>125.67030925229231</v>
      </c>
      <c r="BW69" s="51" t="s">
        <v>684</v>
      </c>
      <c r="BX69" s="43">
        <f t="shared" si="116"/>
        <v>6.6225489901541872</v>
      </c>
    </row>
    <row r="70" spans="1:76" x14ac:dyDescent="0.35">
      <c r="A70" t="str">
        <f t="shared" si="118"/>
        <v>education, health and public</v>
      </c>
      <c r="B70" t="s">
        <v>56</v>
      </c>
      <c r="C70" s="18">
        <f t="shared" si="79"/>
        <v>11.204125787408865</v>
      </c>
      <c r="D70" s="18">
        <f t="shared" si="80"/>
        <v>11.663280783988775</v>
      </c>
      <c r="E70" s="18">
        <f t="shared" si="81"/>
        <v>12.529915044463182</v>
      </c>
      <c r="F70" s="18">
        <f t="shared" si="82"/>
        <v>11.83638774818376</v>
      </c>
      <c r="G70" s="18">
        <f t="shared" si="83"/>
        <v>11.869740950221203</v>
      </c>
      <c r="H70" s="18">
        <f t="shared" si="84"/>
        <v>19.522843897863858</v>
      </c>
      <c r="I70" s="18">
        <f t="shared" si="85"/>
        <v>21.841661507506007</v>
      </c>
      <c r="J70" s="18">
        <f t="shared" si="86"/>
        <v>13.158533525170789</v>
      </c>
      <c r="K70" s="18">
        <f t="shared" si="87"/>
        <v>12.601342233474121</v>
      </c>
      <c r="L70" s="18">
        <f t="shared" si="88"/>
        <v>6.8440296622370962</v>
      </c>
      <c r="M70" s="18">
        <f t="shared" si="89"/>
        <v>9.5448863499148899</v>
      </c>
      <c r="N70" s="18">
        <f t="shared" si="90"/>
        <v>5.1308312340604143</v>
      </c>
      <c r="O70" s="18">
        <f t="shared" si="91"/>
        <v>10.042563410272878</v>
      </c>
      <c r="P70" s="18">
        <f t="shared" si="92"/>
        <v>7.2426439206722586</v>
      </c>
      <c r="Q70" s="18">
        <f t="shared" si="93"/>
        <v>11.592812077233708</v>
      </c>
      <c r="R70" s="18">
        <f t="shared" si="94"/>
        <v>11.436144492949595</v>
      </c>
      <c r="T70" t="str">
        <f t="shared" si="111"/>
        <v>heal</v>
      </c>
      <c r="U70" s="18">
        <f t="shared" si="112"/>
        <v>29.4024802742085</v>
      </c>
      <c r="V70" s="18">
        <f t="shared" si="95"/>
        <v>43.601220747021543</v>
      </c>
      <c r="W70" s="18">
        <f t="shared" si="96"/>
        <v>73.037067806259287</v>
      </c>
      <c r="X70" s="18">
        <f t="shared" si="97"/>
        <v>94.53073200609056</v>
      </c>
      <c r="Y70" s="18">
        <f t="shared" si="98"/>
        <v>169.70769325366049</v>
      </c>
      <c r="Z70" s="18">
        <f t="shared" si="99"/>
        <v>3.3736463529582856</v>
      </c>
      <c r="AA70" s="18">
        <f t="shared" si="100"/>
        <v>4.8715921179423471</v>
      </c>
      <c r="AB70" s="18">
        <f t="shared" si="101"/>
        <v>3.6156025968785483</v>
      </c>
      <c r="AC70" s="18">
        <f t="shared" si="102"/>
        <v>6.8321807142479924</v>
      </c>
      <c r="AD70" s="18">
        <f t="shared" si="103"/>
        <v>15.050767845948647</v>
      </c>
      <c r="AE70" s="18">
        <f t="shared" si="104"/>
        <v>1.1395704650342329</v>
      </c>
      <c r="AF70" s="18">
        <f t="shared" si="105"/>
        <v>1.8682050353685098</v>
      </c>
      <c r="AG70" s="18">
        <f t="shared" si="106"/>
        <v>10.352497220662476</v>
      </c>
      <c r="AH70" s="18">
        <f t="shared" si="107"/>
        <v>18.044894402188493</v>
      </c>
      <c r="AI70" s="18">
        <f t="shared" si="108"/>
        <v>271.55239465696371</v>
      </c>
      <c r="AJ70" s="18">
        <f t="shared" si="113"/>
        <v>746.98054549543372</v>
      </c>
      <c r="AL70" t="str">
        <f t="shared" si="114"/>
        <v>cheal</v>
      </c>
      <c r="AM70" s="18">
        <f>_xlfn.IFNA(INDEX(SAM!$B$8:$HA$215,MATCH($AL70,SAM!$A$8:$A$215,0),MATCH(AM$48,SAM!$B$7:$HA$7,0)),0)</f>
        <v>29.4024802742085</v>
      </c>
      <c r="AN70" s="18">
        <f>_xlfn.IFNA(INDEX(SAM!$B$8:$HA$215,MATCH($AL70,SAM!$A$8:$A$215,0),MATCH(AN$48,SAM!$B$7:$HA$7,0)),0)</f>
        <v>43.601220747021543</v>
      </c>
      <c r="AO70" s="18">
        <f>_xlfn.IFNA(INDEX(SAM!$B$8:$HA$215,MATCH($AL70,SAM!$A$8:$A$215,0),MATCH(AO$48,SAM!$B$7:$HA$7,0)),0)</f>
        <v>73.037067806259287</v>
      </c>
      <c r="AP70" s="18">
        <f>_xlfn.IFNA(INDEX(SAM!$B$8:$HA$215,MATCH($AL70,SAM!$A$8:$A$215,0),MATCH(AP$48,SAM!$B$7:$HA$7,0)),0)</f>
        <v>94.53073200609056</v>
      </c>
      <c r="AQ70" s="18">
        <f>_xlfn.IFNA(INDEX(SAM!$B$8:$HA$215,MATCH($AL70,SAM!$A$8:$A$215,0),MATCH(AQ$48,SAM!$B$7:$HA$7,0)),0)</f>
        <v>169.70769325366049</v>
      </c>
      <c r="AR70" s="18">
        <f>_xlfn.IFNA(INDEX(SAM!$B$8:$HA$215,MATCH($AL70,SAM!$A$8:$A$215,0),MATCH(AR$48,SAM!$B$7:$HA$7,0)),0)</f>
        <v>3.3736463529582856</v>
      </c>
      <c r="AS70" s="18">
        <f>_xlfn.IFNA(INDEX(SAM!$B$8:$HA$215,MATCH($AL70,SAM!$A$8:$A$215,0),MATCH(AS$48,SAM!$B$7:$HA$7,0)),0)</f>
        <v>4.8715921179423471</v>
      </c>
      <c r="AT70" s="18">
        <f>_xlfn.IFNA(INDEX(SAM!$B$8:$HA$215,MATCH($AL70,SAM!$A$8:$A$215,0),MATCH(AT$48,SAM!$B$7:$HA$7,0)),0)</f>
        <v>3.6156025968785483</v>
      </c>
      <c r="AU70" s="18">
        <f>_xlfn.IFNA(INDEX(SAM!$B$8:$HA$215,MATCH($AL70,SAM!$A$8:$A$215,0),MATCH(AU$48,SAM!$B$7:$HA$7,0)),0)</f>
        <v>6.8321807142479924</v>
      </c>
      <c r="AV70" s="18">
        <f>_xlfn.IFNA(INDEX(SAM!$B$8:$HA$215,MATCH($AL70,SAM!$A$8:$A$215,0),MATCH(AV$48,SAM!$B$7:$HA$7,0)),0)</f>
        <v>15.050767845948647</v>
      </c>
      <c r="AW70" s="18">
        <f>_xlfn.IFNA(INDEX(SAM!$B$8:$HA$215,MATCH($AL70,SAM!$A$8:$A$215,0),MATCH(AW$48,SAM!$B$7:$HA$7,0)),0)</f>
        <v>1.1395704650342329</v>
      </c>
      <c r="AX70" s="18">
        <f>_xlfn.IFNA(INDEX(SAM!$B$8:$HA$215,MATCH($AL70,SAM!$A$8:$A$215,0),MATCH(AX$48,SAM!$B$7:$HA$7,0)),0)</f>
        <v>1.8682050353685098</v>
      </c>
      <c r="AY70" s="18">
        <f>_xlfn.IFNA(INDEX(SAM!$B$8:$HA$215,MATCH($AL70,SAM!$A$8:$A$215,0),MATCH(AY$48,SAM!$B$7:$HA$7,0)),0)</f>
        <v>10.352497220662476</v>
      </c>
      <c r="AZ70" s="18">
        <f>_xlfn.IFNA(INDEX(SAM!$B$8:$HA$215,MATCH($AL70,SAM!$A$8:$A$215,0),MATCH(AZ$48,SAM!$B$7:$HA$7,0)),0)</f>
        <v>18.044894402188493</v>
      </c>
      <c r="BA70" s="18">
        <f>_xlfn.IFNA(INDEX(SAM!$B$8:$HA$215,MATCH($AL70,SAM!$A$8:$A$215,0),MATCH(BA$48,SAM!$B$7:$HA$7,0)),0)</f>
        <v>271.55239465696371</v>
      </c>
      <c r="BC70" t="str">
        <f t="shared" si="115"/>
        <v>aheal</v>
      </c>
      <c r="BD70" s="18">
        <f>_xlfn.IFNA(INDEX(SAM!$B$8:$HA$215,MATCH($BC70,SAM!$A$8:$A$215,0),MATCH(BD$48,SAM!$B$7:$HA$7,0)),0)</f>
        <v>0</v>
      </c>
      <c r="BE70" s="18">
        <f>_xlfn.IFNA(INDEX(SAM!$B$8:$HA$215,MATCH($BC70,SAM!$A$8:$A$215,0),MATCH(BE$48,SAM!$B$7:$HA$7,0)),0)</f>
        <v>0</v>
      </c>
      <c r="BF70" s="18">
        <f>_xlfn.IFNA(INDEX(SAM!$B$8:$HA$215,MATCH($BC70,SAM!$A$8:$A$215,0),MATCH(BF$48,SAM!$B$7:$HA$7,0)),0)</f>
        <v>0</v>
      </c>
      <c r="BG70" s="18">
        <f>_xlfn.IFNA(INDEX(SAM!$B$8:$HA$215,MATCH($BC70,SAM!$A$8:$A$215,0),MATCH(BG$48,SAM!$B$7:$HA$7,0)),0)</f>
        <v>0</v>
      </c>
      <c r="BH70" s="18">
        <f>_xlfn.IFNA(INDEX(SAM!$B$8:$HA$215,MATCH($BC70,SAM!$A$8:$A$215,0),MATCH(BH$48,SAM!$B$7:$HA$7,0)),0)</f>
        <v>0</v>
      </c>
      <c r="BI70" s="18">
        <f>_xlfn.IFNA(INDEX(SAM!$B$8:$HA$215,MATCH($BC70,SAM!$A$8:$A$215,0),MATCH(BI$48,SAM!$B$7:$HA$7,0)),0)</f>
        <v>0</v>
      </c>
      <c r="BJ70" s="18">
        <f>_xlfn.IFNA(INDEX(SAM!$B$8:$HA$215,MATCH($BC70,SAM!$A$8:$A$215,0),MATCH(BJ$48,SAM!$B$7:$HA$7,0)),0)</f>
        <v>0</v>
      </c>
      <c r="BK70" s="18">
        <f>_xlfn.IFNA(INDEX(SAM!$B$8:$HA$215,MATCH($BC70,SAM!$A$8:$A$215,0),MATCH(BK$48,SAM!$B$7:$HA$7,0)),0)</f>
        <v>0</v>
      </c>
      <c r="BL70" s="18">
        <f>_xlfn.IFNA(INDEX(SAM!$B$8:$HA$215,MATCH($BC70,SAM!$A$8:$A$215,0),MATCH(BL$48,SAM!$B$7:$HA$7,0)),0)</f>
        <v>0</v>
      </c>
      <c r="BM70" s="18">
        <f>_xlfn.IFNA(INDEX(SAM!$B$8:$HA$215,MATCH($BC70,SAM!$A$8:$A$215,0),MATCH(BM$48,SAM!$B$7:$HA$7,0)),0)</f>
        <v>0</v>
      </c>
      <c r="BN70" s="18">
        <f>_xlfn.IFNA(INDEX(SAM!$B$8:$HA$215,MATCH($BC70,SAM!$A$8:$A$215,0),MATCH(BN$48,SAM!$B$7:$HA$7,0)),0)</f>
        <v>0</v>
      </c>
      <c r="BO70" s="18">
        <f>_xlfn.IFNA(INDEX(SAM!$B$8:$HA$215,MATCH($BC70,SAM!$A$8:$A$215,0),MATCH(BO$48,SAM!$B$7:$HA$7,0)),0)</f>
        <v>0</v>
      </c>
      <c r="BP70" s="18">
        <f>_xlfn.IFNA(INDEX(SAM!$B$8:$HA$215,MATCH($BC70,SAM!$A$8:$A$215,0),MATCH(BP$48,SAM!$B$7:$HA$7,0)),0)</f>
        <v>0</v>
      </c>
      <c r="BQ70" s="18">
        <f>_xlfn.IFNA(INDEX(SAM!$B$8:$HA$215,MATCH($BC70,SAM!$A$8:$A$215,0),MATCH(BQ$48,SAM!$B$7:$HA$7,0)),0)</f>
        <v>0</v>
      </c>
      <c r="BR70" s="18">
        <f>_xlfn.IFNA(INDEX(SAM!$B$8:$HA$215,MATCH($BC70,SAM!$A$8:$A$215,0),MATCH(BR$48,SAM!$B$7:$HA$7,0)),0)</f>
        <v>0</v>
      </c>
      <c r="BT70" t="str">
        <f t="shared" si="109"/>
        <v>cheal</v>
      </c>
      <c r="BU70" s="7">
        <f t="shared" si="110"/>
        <v>746.98054549543372</v>
      </c>
      <c r="BW70" s="51" t="s">
        <v>685</v>
      </c>
      <c r="BX70" s="43">
        <f t="shared" si="116"/>
        <v>1.0125267266868108</v>
      </c>
    </row>
    <row r="71" spans="1:76" x14ac:dyDescent="0.35">
      <c r="A71" s="26" t="str">
        <f t="shared" si="118"/>
        <v>education, health and public</v>
      </c>
      <c r="B71" s="26" t="s">
        <v>54</v>
      </c>
      <c r="C71" s="45">
        <f t="shared" si="79"/>
        <v>0</v>
      </c>
      <c r="D71" s="45">
        <f t="shared" si="80"/>
        <v>0</v>
      </c>
      <c r="E71" s="45">
        <f t="shared" si="81"/>
        <v>0</v>
      </c>
      <c r="F71" s="45">
        <f t="shared" si="82"/>
        <v>0</v>
      </c>
      <c r="G71" s="45">
        <f t="shared" si="83"/>
        <v>0</v>
      </c>
      <c r="H71" s="45">
        <f t="shared" si="84"/>
        <v>0</v>
      </c>
      <c r="I71" s="45">
        <f t="shared" si="85"/>
        <v>0</v>
      </c>
      <c r="J71" s="45">
        <f t="shared" si="86"/>
        <v>0</v>
      </c>
      <c r="K71" s="45">
        <f t="shared" si="87"/>
        <v>0</v>
      </c>
      <c r="L71" s="45">
        <f t="shared" si="88"/>
        <v>0</v>
      </c>
      <c r="M71" s="45">
        <f t="shared" si="89"/>
        <v>0</v>
      </c>
      <c r="N71" s="45">
        <f t="shared" si="90"/>
        <v>0</v>
      </c>
      <c r="O71" s="45">
        <f t="shared" si="91"/>
        <v>0</v>
      </c>
      <c r="P71" s="45">
        <f t="shared" si="92"/>
        <v>0</v>
      </c>
      <c r="Q71" s="45">
        <f t="shared" si="93"/>
        <v>0</v>
      </c>
      <c r="R71" s="45">
        <f t="shared" si="94"/>
        <v>0</v>
      </c>
      <c r="S71" s="26"/>
      <c r="T71" s="26" t="str">
        <f t="shared" si="111"/>
        <v>padm</v>
      </c>
      <c r="U71" s="45">
        <f t="shared" si="112"/>
        <v>0</v>
      </c>
      <c r="V71" s="45">
        <f t="shared" si="95"/>
        <v>0</v>
      </c>
      <c r="W71" s="45">
        <f t="shared" si="96"/>
        <v>0</v>
      </c>
      <c r="X71" s="45">
        <f t="shared" si="97"/>
        <v>0</v>
      </c>
      <c r="Y71" s="45">
        <f t="shared" si="98"/>
        <v>0</v>
      </c>
      <c r="Z71" s="45">
        <f t="shared" si="99"/>
        <v>0</v>
      </c>
      <c r="AA71" s="45">
        <f t="shared" si="100"/>
        <v>0</v>
      </c>
      <c r="AB71" s="45">
        <f t="shared" si="101"/>
        <v>0</v>
      </c>
      <c r="AC71" s="45">
        <f t="shared" si="102"/>
        <v>0</v>
      </c>
      <c r="AD71" s="45">
        <f t="shared" si="103"/>
        <v>0</v>
      </c>
      <c r="AE71" s="45">
        <f t="shared" si="104"/>
        <v>0</v>
      </c>
      <c r="AF71" s="45">
        <f t="shared" si="105"/>
        <v>0</v>
      </c>
      <c r="AG71" s="45">
        <f t="shared" si="106"/>
        <v>0</v>
      </c>
      <c r="AH71" s="45">
        <f t="shared" si="107"/>
        <v>0</v>
      </c>
      <c r="AI71" s="45">
        <f t="shared" si="108"/>
        <v>0</v>
      </c>
      <c r="AJ71" s="45">
        <f t="shared" si="113"/>
        <v>0</v>
      </c>
      <c r="AK71" s="26"/>
      <c r="AL71" s="26" t="str">
        <f t="shared" si="114"/>
        <v>cpadm</v>
      </c>
      <c r="AM71" s="45">
        <f>_xlfn.IFNA(INDEX(SAM!$B$8:$HA$215,MATCH($AL71,SAM!$A$8:$A$215,0),MATCH(AM$48,SAM!$B$7:$HA$7,0)),0)</f>
        <v>0</v>
      </c>
      <c r="AN71" s="45">
        <f>_xlfn.IFNA(INDEX(SAM!$B$8:$HA$215,MATCH($AL71,SAM!$A$8:$A$215,0),MATCH(AN$48,SAM!$B$7:$HA$7,0)),0)</f>
        <v>0</v>
      </c>
      <c r="AO71" s="45">
        <f>_xlfn.IFNA(INDEX(SAM!$B$8:$HA$215,MATCH($AL71,SAM!$A$8:$A$215,0),MATCH(AO$48,SAM!$B$7:$HA$7,0)),0)</f>
        <v>0</v>
      </c>
      <c r="AP71" s="45">
        <f>_xlfn.IFNA(INDEX(SAM!$B$8:$HA$215,MATCH($AL71,SAM!$A$8:$A$215,0),MATCH(AP$48,SAM!$B$7:$HA$7,0)),0)</f>
        <v>0</v>
      </c>
      <c r="AQ71" s="45">
        <f>_xlfn.IFNA(INDEX(SAM!$B$8:$HA$215,MATCH($AL71,SAM!$A$8:$A$215,0),MATCH(AQ$48,SAM!$B$7:$HA$7,0)),0)</f>
        <v>0</v>
      </c>
      <c r="AR71" s="45">
        <f>_xlfn.IFNA(INDEX(SAM!$B$8:$HA$215,MATCH($AL71,SAM!$A$8:$A$215,0),MATCH(AR$48,SAM!$B$7:$HA$7,0)),0)</f>
        <v>0</v>
      </c>
      <c r="AS71" s="45">
        <f>_xlfn.IFNA(INDEX(SAM!$B$8:$HA$215,MATCH($AL71,SAM!$A$8:$A$215,0),MATCH(AS$48,SAM!$B$7:$HA$7,0)),0)</f>
        <v>0</v>
      </c>
      <c r="AT71" s="45">
        <f>_xlfn.IFNA(INDEX(SAM!$B$8:$HA$215,MATCH($AL71,SAM!$A$8:$A$215,0),MATCH(AT$48,SAM!$B$7:$HA$7,0)),0)</f>
        <v>0</v>
      </c>
      <c r="AU71" s="45">
        <f>_xlfn.IFNA(INDEX(SAM!$B$8:$HA$215,MATCH($AL71,SAM!$A$8:$A$215,0),MATCH(AU$48,SAM!$B$7:$HA$7,0)),0)</f>
        <v>0</v>
      </c>
      <c r="AV71" s="45">
        <f>_xlfn.IFNA(INDEX(SAM!$B$8:$HA$215,MATCH($AL71,SAM!$A$8:$A$215,0),MATCH(AV$48,SAM!$B$7:$HA$7,0)),0)</f>
        <v>0</v>
      </c>
      <c r="AW71" s="45">
        <f>_xlfn.IFNA(INDEX(SAM!$B$8:$HA$215,MATCH($AL71,SAM!$A$8:$A$215,0),MATCH(AW$48,SAM!$B$7:$HA$7,0)),0)</f>
        <v>0</v>
      </c>
      <c r="AX71" s="45">
        <f>_xlfn.IFNA(INDEX(SAM!$B$8:$HA$215,MATCH($AL71,SAM!$A$8:$A$215,0),MATCH(AX$48,SAM!$B$7:$HA$7,0)),0)</f>
        <v>0</v>
      </c>
      <c r="AY71" s="45">
        <f>_xlfn.IFNA(INDEX(SAM!$B$8:$HA$215,MATCH($AL71,SAM!$A$8:$A$215,0),MATCH(AY$48,SAM!$B$7:$HA$7,0)),0)</f>
        <v>0</v>
      </c>
      <c r="AZ71" s="45">
        <f>_xlfn.IFNA(INDEX(SAM!$B$8:$HA$215,MATCH($AL71,SAM!$A$8:$A$215,0),MATCH(AZ$48,SAM!$B$7:$HA$7,0)),0)</f>
        <v>0</v>
      </c>
      <c r="BA71" s="45">
        <f>_xlfn.IFNA(INDEX(SAM!$B$8:$HA$215,MATCH($AL71,SAM!$A$8:$A$215,0),MATCH(BA$48,SAM!$B$7:$HA$7,0)),0)</f>
        <v>0</v>
      </c>
      <c r="BB71" s="26"/>
      <c r="BC71" s="26" t="str">
        <f t="shared" si="115"/>
        <v>apadm</v>
      </c>
      <c r="BD71" s="45">
        <f>_xlfn.IFNA(INDEX(SAM!$B$8:$HA$215,MATCH($BC71,SAM!$A$8:$A$215,0),MATCH(BD$48,SAM!$B$7:$HA$7,0)),0)</f>
        <v>0</v>
      </c>
      <c r="BE71" s="45">
        <f>_xlfn.IFNA(INDEX(SAM!$B$8:$HA$215,MATCH($BC71,SAM!$A$8:$A$215,0),MATCH(BE$48,SAM!$B$7:$HA$7,0)),0)</f>
        <v>0</v>
      </c>
      <c r="BF71" s="45">
        <f>_xlfn.IFNA(INDEX(SAM!$B$8:$HA$215,MATCH($BC71,SAM!$A$8:$A$215,0),MATCH(BF$48,SAM!$B$7:$HA$7,0)),0)</f>
        <v>0</v>
      </c>
      <c r="BG71" s="45">
        <f>_xlfn.IFNA(INDEX(SAM!$B$8:$HA$215,MATCH($BC71,SAM!$A$8:$A$215,0),MATCH(BG$48,SAM!$B$7:$HA$7,0)),0)</f>
        <v>0</v>
      </c>
      <c r="BH71" s="45">
        <f>_xlfn.IFNA(INDEX(SAM!$B$8:$HA$215,MATCH($BC71,SAM!$A$8:$A$215,0),MATCH(BH$48,SAM!$B$7:$HA$7,0)),0)</f>
        <v>0</v>
      </c>
      <c r="BI71" s="45">
        <f>_xlfn.IFNA(INDEX(SAM!$B$8:$HA$215,MATCH($BC71,SAM!$A$8:$A$215,0),MATCH(BI$48,SAM!$B$7:$HA$7,0)),0)</f>
        <v>0</v>
      </c>
      <c r="BJ71" s="45">
        <f>_xlfn.IFNA(INDEX(SAM!$B$8:$HA$215,MATCH($BC71,SAM!$A$8:$A$215,0),MATCH(BJ$48,SAM!$B$7:$HA$7,0)),0)</f>
        <v>0</v>
      </c>
      <c r="BK71" s="45">
        <f>_xlfn.IFNA(INDEX(SAM!$B$8:$HA$215,MATCH($BC71,SAM!$A$8:$A$215,0),MATCH(BK$48,SAM!$B$7:$HA$7,0)),0)</f>
        <v>0</v>
      </c>
      <c r="BL71" s="45">
        <f>_xlfn.IFNA(INDEX(SAM!$B$8:$HA$215,MATCH($BC71,SAM!$A$8:$A$215,0),MATCH(BL$48,SAM!$B$7:$HA$7,0)),0)</f>
        <v>0</v>
      </c>
      <c r="BM71" s="45">
        <f>_xlfn.IFNA(INDEX(SAM!$B$8:$HA$215,MATCH($BC71,SAM!$A$8:$A$215,0),MATCH(BM$48,SAM!$B$7:$HA$7,0)),0)</f>
        <v>0</v>
      </c>
      <c r="BN71" s="45">
        <f>_xlfn.IFNA(INDEX(SAM!$B$8:$HA$215,MATCH($BC71,SAM!$A$8:$A$215,0),MATCH(BN$48,SAM!$B$7:$HA$7,0)),0)</f>
        <v>0</v>
      </c>
      <c r="BO71" s="45">
        <f>_xlfn.IFNA(INDEX(SAM!$B$8:$HA$215,MATCH($BC71,SAM!$A$8:$A$215,0),MATCH(BO$48,SAM!$B$7:$HA$7,0)),0)</f>
        <v>0</v>
      </c>
      <c r="BP71" s="45">
        <f>_xlfn.IFNA(INDEX(SAM!$B$8:$HA$215,MATCH($BC71,SAM!$A$8:$A$215,0),MATCH(BP$48,SAM!$B$7:$HA$7,0)),0)</f>
        <v>0</v>
      </c>
      <c r="BQ71" s="45">
        <f>_xlfn.IFNA(INDEX(SAM!$B$8:$HA$215,MATCH($BC71,SAM!$A$8:$A$215,0),MATCH(BQ$48,SAM!$B$7:$HA$7,0)),0)</f>
        <v>0</v>
      </c>
      <c r="BR71" s="45">
        <f>_xlfn.IFNA(INDEX(SAM!$B$8:$HA$215,MATCH($BC71,SAM!$A$8:$A$215,0),MATCH(BR$48,SAM!$B$7:$HA$7,0)),0)</f>
        <v>0</v>
      </c>
      <c r="BT71" t="str">
        <f t="shared" si="109"/>
        <v>cpadm</v>
      </c>
      <c r="BU71" s="7">
        <f t="shared" si="110"/>
        <v>0</v>
      </c>
      <c r="BW71" s="51" t="s">
        <v>187</v>
      </c>
      <c r="BX71" s="43">
        <f t="shared" si="116"/>
        <v>2.1784505744831737</v>
      </c>
    </row>
    <row r="72" spans="1:76" x14ac:dyDescent="0.35">
      <c r="A72" t="str">
        <f t="shared" si="118"/>
        <v>other ag</v>
      </c>
      <c r="B72" t="s">
        <v>29</v>
      </c>
      <c r="C72" s="18">
        <f t="shared" si="79"/>
        <v>8.993667703959228E-3</v>
      </c>
      <c r="D72" s="18">
        <f t="shared" si="80"/>
        <v>4.405522179415154E-3</v>
      </c>
      <c r="E72" s="18">
        <f t="shared" si="81"/>
        <v>2.5453269355452772E-3</v>
      </c>
      <c r="F72" s="18">
        <f t="shared" si="82"/>
        <v>7.3261001504824307E-3</v>
      </c>
      <c r="G72" s="18">
        <f t="shared" si="83"/>
        <v>7.4124095275449595E-2</v>
      </c>
      <c r="H72" s="18">
        <f t="shared" si="84"/>
        <v>0</v>
      </c>
      <c r="I72" s="18">
        <f t="shared" si="85"/>
        <v>0</v>
      </c>
      <c r="J72" s="18">
        <f t="shared" si="86"/>
        <v>0</v>
      </c>
      <c r="K72" s="18">
        <f t="shared" si="87"/>
        <v>1.1493391201449703E-2</v>
      </c>
      <c r="L72" s="18">
        <f t="shared" si="88"/>
        <v>0.77611478707769388</v>
      </c>
      <c r="M72" s="18">
        <f t="shared" si="89"/>
        <v>8.1030543956210118E-3</v>
      </c>
      <c r="N72" s="18">
        <f t="shared" si="90"/>
        <v>8.2654144797362234E-3</v>
      </c>
      <c r="O72" s="18">
        <f t="shared" si="91"/>
        <v>1.7206198657372797E-2</v>
      </c>
      <c r="P72" s="18">
        <f t="shared" si="92"/>
        <v>4.5047986760839119E-2</v>
      </c>
      <c r="Q72" s="18">
        <f t="shared" si="93"/>
        <v>0.17364430927217372</v>
      </c>
      <c r="R72" s="18">
        <f t="shared" si="94"/>
        <v>0.10851039716756213</v>
      </c>
      <c r="T72" t="str">
        <f t="shared" si="111"/>
        <v>ocrp</v>
      </c>
      <c r="U72" s="18">
        <f t="shared" si="112"/>
        <v>2.3601675157522699E-2</v>
      </c>
      <c r="V72" s="18">
        <f t="shared" si="95"/>
        <v>1.6469306416276398E-2</v>
      </c>
      <c r="W72" s="18">
        <f t="shared" si="96"/>
        <v>1.4836749915767939E-2</v>
      </c>
      <c r="X72" s="18">
        <f t="shared" si="97"/>
        <v>5.8509540639313865E-2</v>
      </c>
      <c r="Y72" s="18">
        <f t="shared" si="98"/>
        <v>1.0597897019375708</v>
      </c>
      <c r="Z72" s="18">
        <f t="shared" si="99"/>
        <v>0</v>
      </c>
      <c r="AA72" s="18">
        <f t="shared" si="100"/>
        <v>0</v>
      </c>
      <c r="AB72" s="18">
        <f t="shared" si="101"/>
        <v>0</v>
      </c>
      <c r="AC72" s="18">
        <f t="shared" si="102"/>
        <v>6.2314731441273884E-3</v>
      </c>
      <c r="AD72" s="18">
        <f t="shared" si="103"/>
        <v>1.7067610835421256</v>
      </c>
      <c r="AE72" s="18">
        <f t="shared" si="104"/>
        <v>9.6742916859328116E-4</v>
      </c>
      <c r="AF72" s="18">
        <f t="shared" si="105"/>
        <v>3.0095491833651658E-3</v>
      </c>
      <c r="AG72" s="18">
        <f t="shared" si="106"/>
        <v>1.7737216734564607E-2</v>
      </c>
      <c r="AH72" s="18">
        <f t="shared" si="107"/>
        <v>0.11223610784044667</v>
      </c>
      <c r="AI72" s="18">
        <f t="shared" si="108"/>
        <v>4.0674797182311453</v>
      </c>
      <c r="AJ72" s="18">
        <f t="shared" si="113"/>
        <v>7.087629551910819</v>
      </c>
      <c r="AL72" t="str">
        <f t="shared" si="114"/>
        <v>cocrp</v>
      </c>
      <c r="AM72" s="18">
        <f>_xlfn.IFNA(INDEX(SAM!$B$8:$HA$215,MATCH($AL72,SAM!$A$8:$A$215,0),MATCH(AM$48,SAM!$B$7:$HA$7,0)),0)</f>
        <v>2.3601675157522699E-2</v>
      </c>
      <c r="AN72" s="18">
        <f>_xlfn.IFNA(INDEX(SAM!$B$8:$HA$215,MATCH($AL72,SAM!$A$8:$A$215,0),MATCH(AN$48,SAM!$B$7:$HA$7,0)),0)</f>
        <v>1.3245752544096216E-2</v>
      </c>
      <c r="AO72" s="18">
        <f>_xlfn.IFNA(INDEX(SAM!$B$8:$HA$215,MATCH($AL72,SAM!$A$8:$A$215,0),MATCH(AO$48,SAM!$B$7:$HA$7,0)),0)</f>
        <v>1.4836749915767939E-2</v>
      </c>
      <c r="AP72" s="18">
        <f>_xlfn.IFNA(INDEX(SAM!$B$8:$HA$215,MATCH($AL72,SAM!$A$8:$A$215,0),MATCH(AP$48,SAM!$B$7:$HA$7,0)),0)</f>
        <v>5.7165077053000134E-2</v>
      </c>
      <c r="AQ72" s="18">
        <f>_xlfn.IFNA(INDEX(SAM!$B$8:$HA$215,MATCH($AL72,SAM!$A$8:$A$215,0),MATCH(AQ$48,SAM!$B$7:$HA$7,0)),0)</f>
        <v>1.0500209225507453</v>
      </c>
      <c r="AR72" s="18">
        <f>_xlfn.IFNA(INDEX(SAM!$B$8:$HA$215,MATCH($AL72,SAM!$A$8:$A$215,0),MATCH(AR$48,SAM!$B$7:$HA$7,0)),0)</f>
        <v>0</v>
      </c>
      <c r="AS72" s="18">
        <f>_xlfn.IFNA(INDEX(SAM!$B$8:$HA$215,MATCH($AL72,SAM!$A$8:$A$215,0),MATCH(AS$48,SAM!$B$7:$HA$7,0)),0)</f>
        <v>0</v>
      </c>
      <c r="AT72" s="18">
        <f>_xlfn.IFNA(INDEX(SAM!$B$8:$HA$215,MATCH($AL72,SAM!$A$8:$A$215,0),MATCH(AT$48,SAM!$B$7:$HA$7,0)),0)</f>
        <v>0</v>
      </c>
      <c r="AU72" s="18">
        <f>_xlfn.IFNA(INDEX(SAM!$B$8:$HA$215,MATCH($AL72,SAM!$A$8:$A$215,0),MATCH(AU$48,SAM!$B$7:$HA$7,0)),0)</f>
        <v>6.2314731441273884E-3</v>
      </c>
      <c r="AV72" s="18">
        <f>_xlfn.IFNA(INDEX(SAM!$B$8:$HA$215,MATCH($AL72,SAM!$A$8:$A$215,0),MATCH(AV$48,SAM!$B$7:$HA$7,0)),0)</f>
        <v>1.7067610835421256</v>
      </c>
      <c r="AW72" s="18">
        <f>_xlfn.IFNA(INDEX(SAM!$B$8:$HA$215,MATCH($AL72,SAM!$A$8:$A$215,0),MATCH(AW$48,SAM!$B$7:$HA$7,0)),0)</f>
        <v>9.6742916859328116E-4</v>
      </c>
      <c r="AX72" s="18">
        <f>_xlfn.IFNA(INDEX(SAM!$B$8:$HA$215,MATCH($AL72,SAM!$A$8:$A$215,0),MATCH(AX$48,SAM!$B$7:$HA$7,0)),0)</f>
        <v>3.0095491833651658E-3</v>
      </c>
      <c r="AY72" s="18">
        <f>_xlfn.IFNA(INDEX(SAM!$B$8:$HA$215,MATCH($AL72,SAM!$A$8:$A$215,0),MATCH(AY$48,SAM!$B$7:$HA$7,0)),0)</f>
        <v>1.7737216734564607E-2</v>
      </c>
      <c r="AZ72" s="18">
        <f>_xlfn.IFNA(INDEX(SAM!$B$8:$HA$215,MATCH($AL72,SAM!$A$8:$A$215,0),MATCH(AZ$48,SAM!$B$7:$HA$7,0)),0)</f>
        <v>0.11223610784044667</v>
      </c>
      <c r="BA72" s="18">
        <f>_xlfn.IFNA(INDEX(SAM!$B$8:$HA$215,MATCH($AL72,SAM!$A$8:$A$215,0),MATCH(BA$48,SAM!$B$7:$HA$7,0)),0)</f>
        <v>4.0302095935981272</v>
      </c>
      <c r="BB72" s="18"/>
      <c r="BC72" t="str">
        <f t="shared" si="115"/>
        <v>aocrp</v>
      </c>
      <c r="BD72" s="18">
        <f>_xlfn.IFNA(INDEX(SAM!$B$8:$HA$215,MATCH($BC72,SAM!$A$8:$A$215,0),MATCH(BD$48,SAM!$B$7:$HA$7,0)),0)</f>
        <v>0</v>
      </c>
      <c r="BE72" s="18">
        <f>_xlfn.IFNA(INDEX(SAM!$B$8:$HA$215,MATCH($BC72,SAM!$A$8:$A$215,0),MATCH(BE$48,SAM!$B$7:$HA$7,0)),0)</f>
        <v>3.2235538721801819E-3</v>
      </c>
      <c r="BF72" s="18">
        <f>_xlfn.IFNA(INDEX(SAM!$B$8:$HA$215,MATCH($BC72,SAM!$A$8:$A$215,0),MATCH(BF$48,SAM!$B$7:$HA$7,0)),0)</f>
        <v>0</v>
      </c>
      <c r="BG72" s="18">
        <f>_xlfn.IFNA(INDEX(SAM!$B$8:$HA$215,MATCH($BC72,SAM!$A$8:$A$215,0),MATCH(BG$48,SAM!$B$7:$HA$7,0)),0)</f>
        <v>1.3444635863137291E-3</v>
      </c>
      <c r="BH72" s="18">
        <f>_xlfn.IFNA(INDEX(SAM!$B$8:$HA$215,MATCH($BC72,SAM!$A$8:$A$215,0),MATCH(BH$48,SAM!$B$7:$HA$7,0)),0)</f>
        <v>9.7687793868254207E-3</v>
      </c>
      <c r="BI72" s="18">
        <f>_xlfn.IFNA(INDEX(SAM!$B$8:$HA$215,MATCH($BC72,SAM!$A$8:$A$215,0),MATCH(BI$48,SAM!$B$7:$HA$7,0)),0)</f>
        <v>0</v>
      </c>
      <c r="BJ72" s="18">
        <f>_xlfn.IFNA(INDEX(SAM!$B$8:$HA$215,MATCH($BC72,SAM!$A$8:$A$215,0),MATCH(BJ$48,SAM!$B$7:$HA$7,0)),0)</f>
        <v>0</v>
      </c>
      <c r="BK72" s="18">
        <f>_xlfn.IFNA(INDEX(SAM!$B$8:$HA$215,MATCH($BC72,SAM!$A$8:$A$215,0),MATCH(BK$48,SAM!$B$7:$HA$7,0)),0)</f>
        <v>0</v>
      </c>
      <c r="BL72" s="18">
        <f>_xlfn.IFNA(INDEX(SAM!$B$8:$HA$215,MATCH($BC72,SAM!$A$8:$A$215,0),MATCH(BL$48,SAM!$B$7:$HA$7,0)),0)</f>
        <v>0</v>
      </c>
      <c r="BM72" s="18">
        <f>_xlfn.IFNA(INDEX(SAM!$B$8:$HA$215,MATCH($BC72,SAM!$A$8:$A$215,0),MATCH(BM$48,SAM!$B$7:$HA$7,0)),0)</f>
        <v>0</v>
      </c>
      <c r="BN72" s="18">
        <f>_xlfn.IFNA(INDEX(SAM!$B$8:$HA$215,MATCH($BC72,SAM!$A$8:$A$215,0),MATCH(BN$48,SAM!$B$7:$HA$7,0)),0)</f>
        <v>0</v>
      </c>
      <c r="BO72" s="18">
        <f>_xlfn.IFNA(INDEX(SAM!$B$8:$HA$215,MATCH($BC72,SAM!$A$8:$A$215,0),MATCH(BO$48,SAM!$B$7:$HA$7,0)),0)</f>
        <v>0</v>
      </c>
      <c r="BP72" s="18">
        <f>_xlfn.IFNA(INDEX(SAM!$B$8:$HA$215,MATCH($BC72,SAM!$A$8:$A$215,0),MATCH(BP$48,SAM!$B$7:$HA$7,0)),0)</f>
        <v>0</v>
      </c>
      <c r="BQ72" s="18">
        <f>_xlfn.IFNA(INDEX(SAM!$B$8:$HA$215,MATCH($BC72,SAM!$A$8:$A$215,0),MATCH(BQ$48,SAM!$B$7:$HA$7,0)),0)</f>
        <v>0</v>
      </c>
      <c r="BR72" s="18">
        <f>_xlfn.IFNA(INDEX(SAM!$B$8:$HA$215,MATCH($BC72,SAM!$A$8:$A$215,0),MATCH(BR$48,SAM!$B$7:$HA$7,0)),0)</f>
        <v>3.7270124633017813E-2</v>
      </c>
      <c r="BT72" t="str">
        <f t="shared" si="109"/>
        <v>cocrp</v>
      </c>
      <c r="BU72" s="7">
        <f t="shared" si="110"/>
        <v>7.087629551910819</v>
      </c>
      <c r="BW72" s="51" t="s">
        <v>188</v>
      </c>
      <c r="BX72" s="43">
        <f t="shared" si="116"/>
        <v>0.56286248326434651</v>
      </c>
    </row>
    <row r="73" spans="1:76" x14ac:dyDescent="0.35">
      <c r="A73" t="s">
        <v>625</v>
      </c>
      <c r="B73" t="s">
        <v>726</v>
      </c>
      <c r="C73" s="18">
        <f t="shared" si="79"/>
        <v>0.59710070022974748</v>
      </c>
      <c r="D73" s="18">
        <f t="shared" si="80"/>
        <v>0.72983863284466211</v>
      </c>
      <c r="E73" s="18">
        <f t="shared" si="81"/>
        <v>0.72429214257762498</v>
      </c>
      <c r="F73" s="18">
        <f t="shared" si="82"/>
        <v>0.8182796983642121</v>
      </c>
      <c r="G73" s="18">
        <f t="shared" si="83"/>
        <v>0.82604654520160836</v>
      </c>
      <c r="H73" s="18">
        <f t="shared" si="84"/>
        <v>0.4296044499242051</v>
      </c>
      <c r="I73" s="18">
        <f t="shared" si="85"/>
        <v>0.47301696012994243</v>
      </c>
      <c r="J73" s="18">
        <f t="shared" si="86"/>
        <v>0.59082806387685238</v>
      </c>
      <c r="K73" s="18">
        <f t="shared" si="87"/>
        <v>0.52991298023498201</v>
      </c>
      <c r="L73" s="18">
        <f t="shared" si="88"/>
        <v>0.27132398150595843</v>
      </c>
      <c r="M73" s="18">
        <f t="shared" si="89"/>
        <v>2.6664071823082312E-2</v>
      </c>
      <c r="N73" s="18">
        <f t="shared" si="90"/>
        <v>0.49795188320458567</v>
      </c>
      <c r="O73" s="18">
        <f t="shared" si="91"/>
        <v>0.38253794222921644</v>
      </c>
      <c r="P73" s="18">
        <f t="shared" si="92"/>
        <v>0.33220103999763129</v>
      </c>
      <c r="Q73" s="18">
        <f t="shared" si="93"/>
        <v>0.17157316902500072</v>
      </c>
      <c r="R73" s="18">
        <f t="shared" si="94"/>
        <v>0.51309862236317028</v>
      </c>
      <c r="T73" t="str">
        <f t="shared" si="111"/>
        <v>becr</v>
      </c>
      <c r="U73" s="18">
        <f t="shared" ref="U73" si="120">IFERROR(AM73+BD73,"")</f>
        <v>1.5669443465148205</v>
      </c>
      <c r="V73" s="18">
        <f t="shared" ref="V73" si="121">IFERROR(AN73+BE73,"")</f>
        <v>2.7283794268289605</v>
      </c>
      <c r="W73" s="18">
        <f t="shared" ref="W73" si="122">IFERROR(AO73+BF73,"")</f>
        <v>4.2219100561546705</v>
      </c>
      <c r="X73" s="18">
        <f t="shared" ref="X73" si="123">IFERROR(AP73+BG73,"")</f>
        <v>6.5351508008819126</v>
      </c>
      <c r="Y73" s="18">
        <f t="shared" ref="Y73" si="124">IFERROR(AQ73+BH73,"")</f>
        <v>11.810405491933508</v>
      </c>
      <c r="Z73" s="18">
        <f t="shared" ref="Z73" si="125">IFERROR(AR73+BI73,"")</f>
        <v>7.4237825866139695E-2</v>
      </c>
      <c r="AA73" s="18">
        <f t="shared" ref="AA73" si="126">IFERROR(AS73+BJ73,"")</f>
        <v>0.10550230777224415</v>
      </c>
      <c r="AB73" s="18">
        <f t="shared" ref="AB73" si="127">IFERROR(AT73+BK73,"")</f>
        <v>0.16234327920931035</v>
      </c>
      <c r="AC73" s="18">
        <f t="shared" ref="AC73" si="128">IFERROR(AU73+BL73,"")</f>
        <v>0.28730758808960466</v>
      </c>
      <c r="AD73" s="18">
        <f t="shared" ref="AD73" si="129">IFERROR(AV73+BM73,"")</f>
        <v>0.59667103420323775</v>
      </c>
      <c r="AE73" s="18">
        <f t="shared" ref="AE73" si="130">IFERROR(AW73+BN73,"")</f>
        <v>3.1834416475170534E-3</v>
      </c>
      <c r="AF73" s="18">
        <f t="shared" ref="AF73" si="131">IFERROR(AX73+BO73,"")</f>
        <v>0.18131101436323044</v>
      </c>
      <c r="AG73" s="18">
        <f t="shared" ref="AG73" si="132">IFERROR(AY73+BP73,"")</f>
        <v>0.39434383652234245</v>
      </c>
      <c r="AH73" s="18">
        <f t="shared" ref="AH73" si="133">IFERROR(AZ73+BQ73,"")</f>
        <v>0.82767187683279642</v>
      </c>
      <c r="AI73" s="18">
        <f t="shared" ref="AI73" si="134">IFERROR(BA73+BR73,"")</f>
        <v>4.0189649066355404</v>
      </c>
      <c r="AJ73" s="18">
        <f t="shared" ref="AJ73" si="135">SUM(U73:AI73)</f>
        <v>33.51432723345583</v>
      </c>
      <c r="AL73" t="str">
        <f t="shared" si="114"/>
        <v>cbecr</v>
      </c>
      <c r="AM73" s="18">
        <f>_xlfn.IFNA(INDEX(SAM!$B$8:$HA$215,MATCH($AL73,SAM!$A$8:$A$215,0),MATCH(AM$48,SAM!$B$7:$HA$7,0)),0)</f>
        <v>1.2685761129780087</v>
      </c>
      <c r="AN73" s="18">
        <f>_xlfn.IFNA(INDEX(SAM!$B$8:$HA$215,MATCH($AL73,SAM!$A$8:$A$215,0),MATCH(AN$48,SAM!$B$7:$HA$7,0)),0)</f>
        <v>2.0964201060417897</v>
      </c>
      <c r="AO73" s="18">
        <f>_xlfn.IFNA(INDEX(SAM!$B$8:$HA$215,MATCH($AL73,SAM!$A$8:$A$215,0),MATCH(AO$48,SAM!$B$7:$HA$7,0)),0)</f>
        <v>3.3600055239030038</v>
      </c>
      <c r="AP73" s="18">
        <f>_xlfn.IFNA(INDEX(SAM!$B$8:$HA$215,MATCH($AL73,SAM!$A$8:$A$215,0),MATCH(AP$48,SAM!$B$7:$HA$7,0)),0)</f>
        <v>4.9062490157568206</v>
      </c>
      <c r="AQ73" s="18">
        <f>_xlfn.IFNA(INDEX(SAM!$B$8:$HA$215,MATCH($AL73,SAM!$A$8:$A$215,0),MATCH(AQ$48,SAM!$B$7:$HA$7,0)),0)</f>
        <v>6.4692771832035252</v>
      </c>
      <c r="AR73" s="18">
        <f>_xlfn.IFNA(INDEX(SAM!$B$8:$HA$215,MATCH($AL73,SAM!$A$8:$A$215,0),MATCH(AR$48,SAM!$B$7:$HA$7,0)),0)</f>
        <v>7.4237825866139695E-2</v>
      </c>
      <c r="AS73" s="18">
        <f>_xlfn.IFNA(INDEX(SAM!$B$8:$HA$215,MATCH($AL73,SAM!$A$8:$A$215,0),MATCH(AS$48,SAM!$B$7:$HA$7,0)),0)</f>
        <v>0.10550230777224415</v>
      </c>
      <c r="AT73" s="18">
        <f>_xlfn.IFNA(INDEX(SAM!$B$8:$HA$215,MATCH($AL73,SAM!$A$8:$A$215,0),MATCH(AT$48,SAM!$B$7:$HA$7,0)),0)</f>
        <v>0.16234327920931035</v>
      </c>
      <c r="AU73" s="18">
        <f>_xlfn.IFNA(INDEX(SAM!$B$8:$HA$215,MATCH($AL73,SAM!$A$8:$A$215,0),MATCH(AU$48,SAM!$B$7:$HA$7,0)),0)</f>
        <v>0.28730758808960466</v>
      </c>
      <c r="AV73" s="18">
        <f>_xlfn.IFNA(INDEX(SAM!$B$8:$HA$215,MATCH($AL73,SAM!$A$8:$A$215,0),MATCH(AV$48,SAM!$B$7:$HA$7,0)),0)</f>
        <v>0.59667103420323775</v>
      </c>
      <c r="AW73" s="18">
        <f>_xlfn.IFNA(INDEX(SAM!$B$8:$HA$215,MATCH($AL73,SAM!$A$8:$A$215,0),MATCH(AW$48,SAM!$B$7:$HA$7,0)),0)</f>
        <v>3.1834416475170534E-3</v>
      </c>
      <c r="AX73" s="18">
        <f>_xlfn.IFNA(INDEX(SAM!$B$8:$HA$215,MATCH($AL73,SAM!$A$8:$A$215,0),MATCH(AX$48,SAM!$B$7:$HA$7,0)),0)</f>
        <v>0.18131101436323044</v>
      </c>
      <c r="AY73" s="18">
        <f>_xlfn.IFNA(INDEX(SAM!$B$8:$HA$215,MATCH($AL73,SAM!$A$8:$A$215,0),MATCH(AY$48,SAM!$B$7:$HA$7,0)),0)</f>
        <v>0.37970592258840596</v>
      </c>
      <c r="AZ73" s="18">
        <f>_xlfn.IFNA(INDEX(SAM!$B$8:$HA$215,MATCH($AL73,SAM!$A$8:$A$215,0),MATCH(AZ$48,SAM!$B$7:$HA$7,0)),0)</f>
        <v>0.79544789236123159</v>
      </c>
      <c r="BA73" s="18">
        <f>_xlfn.IFNA(INDEX(SAM!$B$8:$HA$215,MATCH($AL73,SAM!$A$8:$A$215,0),MATCH(BA$48,SAM!$B$7:$HA$7,0)),0)</f>
        <v>3.1581508133798755</v>
      </c>
      <c r="BB73" s="18"/>
      <c r="BC73" t="str">
        <f t="shared" si="115"/>
        <v>abecr</v>
      </c>
      <c r="BD73" s="18">
        <f>_xlfn.IFNA(INDEX(SAM!$B$8:$HA$215,MATCH($BC73,SAM!$A$8:$A$215,0),MATCH(BD$48,SAM!$B$7:$HA$7,0)),0)</f>
        <v>0.2983682335368118</v>
      </c>
      <c r="BE73" s="18">
        <f>_xlfn.IFNA(INDEX(SAM!$B$8:$HA$215,MATCH($BC73,SAM!$A$8:$A$215,0),MATCH(BE$48,SAM!$B$7:$HA$7,0)),0)</f>
        <v>0.63195932078717076</v>
      </c>
      <c r="BF73" s="18">
        <f>_xlfn.IFNA(INDEX(SAM!$B$8:$HA$215,MATCH($BC73,SAM!$A$8:$A$215,0),MATCH(BF$48,SAM!$B$7:$HA$7,0)),0)</f>
        <v>0.86190453225166641</v>
      </c>
      <c r="BG73" s="18">
        <f>_xlfn.IFNA(INDEX(SAM!$B$8:$HA$215,MATCH($BC73,SAM!$A$8:$A$215,0),MATCH(BG$48,SAM!$B$7:$HA$7,0)),0)</f>
        <v>1.628901785125092</v>
      </c>
      <c r="BH73" s="18">
        <f>_xlfn.IFNA(INDEX(SAM!$B$8:$HA$215,MATCH($BC73,SAM!$A$8:$A$215,0),MATCH(BH$48,SAM!$B$7:$HA$7,0)),0)</f>
        <v>5.3411283087299823</v>
      </c>
      <c r="BI73" s="18">
        <f>_xlfn.IFNA(INDEX(SAM!$B$8:$HA$215,MATCH($BC73,SAM!$A$8:$A$215,0),MATCH(BI$48,SAM!$B$7:$HA$7,0)),0)</f>
        <v>0</v>
      </c>
      <c r="BJ73" s="18">
        <f>_xlfn.IFNA(INDEX(SAM!$B$8:$HA$215,MATCH($BC73,SAM!$A$8:$A$215,0),MATCH(BJ$48,SAM!$B$7:$HA$7,0)),0)</f>
        <v>0</v>
      </c>
      <c r="BK73" s="18">
        <f>_xlfn.IFNA(INDEX(SAM!$B$8:$HA$215,MATCH($BC73,SAM!$A$8:$A$215,0),MATCH(BK$48,SAM!$B$7:$HA$7,0)),0)</f>
        <v>0</v>
      </c>
      <c r="BL73" s="18">
        <f>_xlfn.IFNA(INDEX(SAM!$B$8:$HA$215,MATCH($BC73,SAM!$A$8:$A$215,0),MATCH(BL$48,SAM!$B$7:$HA$7,0)),0)</f>
        <v>0</v>
      </c>
      <c r="BM73" s="18">
        <f>_xlfn.IFNA(INDEX(SAM!$B$8:$HA$215,MATCH($BC73,SAM!$A$8:$A$215,0),MATCH(BM$48,SAM!$B$7:$HA$7,0)),0)</f>
        <v>0</v>
      </c>
      <c r="BN73" s="18">
        <f>_xlfn.IFNA(INDEX(SAM!$B$8:$HA$215,MATCH($BC73,SAM!$A$8:$A$215,0),MATCH(BN$48,SAM!$B$7:$HA$7,0)),0)</f>
        <v>0</v>
      </c>
      <c r="BO73" s="18">
        <f>_xlfn.IFNA(INDEX(SAM!$B$8:$HA$215,MATCH($BC73,SAM!$A$8:$A$215,0),MATCH(BO$48,SAM!$B$7:$HA$7,0)),0)</f>
        <v>0</v>
      </c>
      <c r="BP73" s="18">
        <f>_xlfn.IFNA(INDEX(SAM!$B$8:$HA$215,MATCH($BC73,SAM!$A$8:$A$215,0),MATCH(BP$48,SAM!$B$7:$HA$7,0)),0)</f>
        <v>1.463791393393646E-2</v>
      </c>
      <c r="BQ73" s="18">
        <f>_xlfn.IFNA(INDEX(SAM!$B$8:$HA$215,MATCH($BC73,SAM!$A$8:$A$215,0),MATCH(BQ$48,SAM!$B$7:$HA$7,0)),0)</f>
        <v>3.2223984471564805E-2</v>
      </c>
      <c r="BR73" s="18">
        <f>_xlfn.IFNA(INDEX(SAM!$B$8:$HA$215,MATCH($BC73,SAM!$A$8:$A$215,0),MATCH(BR$48,SAM!$B$7:$HA$7,0)),0)</f>
        <v>0.8608140932556646</v>
      </c>
      <c r="BT73" t="str">
        <f t="shared" si="109"/>
        <v>cbecr</v>
      </c>
      <c r="BU73" s="7">
        <f t="shared" si="110"/>
        <v>33.51432723345583</v>
      </c>
      <c r="BW73" s="51" t="s">
        <v>189</v>
      </c>
      <c r="BX73" s="43">
        <f t="shared" si="116"/>
        <v>0.62486998646816949</v>
      </c>
    </row>
    <row r="74" spans="1:76" x14ac:dyDescent="0.35">
      <c r="A74" t="s">
        <v>625</v>
      </c>
      <c r="B74" t="s">
        <v>30</v>
      </c>
      <c r="C74" s="18">
        <f t="shared" si="79"/>
        <v>0.38915679122086005</v>
      </c>
      <c r="D74" s="18">
        <f t="shared" si="80"/>
        <v>0.33263141114108269</v>
      </c>
      <c r="E74" s="18">
        <f t="shared" si="81"/>
        <v>0.33210823988896104</v>
      </c>
      <c r="F74" s="18">
        <f t="shared" si="82"/>
        <v>0.28364407284379883</v>
      </c>
      <c r="G74" s="18">
        <f t="shared" si="83"/>
        <v>0.22629482192559555</v>
      </c>
      <c r="H74" s="18">
        <f t="shared" si="84"/>
        <v>0.33755972808726448</v>
      </c>
      <c r="I74" s="18">
        <f t="shared" si="85"/>
        <v>0.34675333331425451</v>
      </c>
      <c r="J74" s="18">
        <f t="shared" si="86"/>
        <v>0.25855791091222291</v>
      </c>
      <c r="K74" s="18">
        <f t="shared" si="87"/>
        <v>0.26280966389767912</v>
      </c>
      <c r="L74" s="18">
        <f t="shared" si="88"/>
        <v>0.12065520593027142</v>
      </c>
      <c r="M74" s="18">
        <f t="shared" si="89"/>
        <v>0.25133421242401943</v>
      </c>
      <c r="N74" s="18">
        <f t="shared" si="90"/>
        <v>0.25930309096212484</v>
      </c>
      <c r="O74" s="18">
        <f t="shared" si="91"/>
        <v>0.23436810951013767</v>
      </c>
      <c r="P74" s="18">
        <f t="shared" si="92"/>
        <v>0.18958005135684447</v>
      </c>
      <c r="Q74" s="18">
        <f t="shared" si="93"/>
        <v>8.2993345199760274E-2</v>
      </c>
      <c r="R74" s="18">
        <f t="shared" si="94"/>
        <v>0.20053290094209239</v>
      </c>
      <c r="T74" t="str">
        <f t="shared" si="111"/>
        <v>fore</v>
      </c>
      <c r="U74" s="18">
        <f t="shared" si="112"/>
        <v>1.0212465563626809</v>
      </c>
      <c r="V74" s="18">
        <f t="shared" si="95"/>
        <v>1.2434867901375892</v>
      </c>
      <c r="W74" s="18">
        <f t="shared" si="96"/>
        <v>1.9358640461417969</v>
      </c>
      <c r="X74" s="18">
        <f t="shared" si="97"/>
        <v>2.265309518879822</v>
      </c>
      <c r="Y74" s="18">
        <f t="shared" si="98"/>
        <v>3.2354515894910922</v>
      </c>
      <c r="Z74" s="18">
        <f t="shared" si="99"/>
        <v>5.8332031517795209E-2</v>
      </c>
      <c r="AA74" s="18">
        <f t="shared" si="100"/>
        <v>7.7340306957116828E-2</v>
      </c>
      <c r="AB74" s="18">
        <f t="shared" si="101"/>
        <v>7.1044592647765581E-2</v>
      </c>
      <c r="AC74" s="18">
        <f t="shared" si="102"/>
        <v>0.14248983036346705</v>
      </c>
      <c r="AD74" s="18">
        <f t="shared" si="103"/>
        <v>0.26533396017866817</v>
      </c>
      <c r="AE74" s="18">
        <f t="shared" si="104"/>
        <v>3.0006962349384745E-2</v>
      </c>
      <c r="AF74" s="18">
        <f t="shared" si="105"/>
        <v>9.4415761915188412E-2</v>
      </c>
      <c r="AG74" s="18">
        <f t="shared" si="106"/>
        <v>0.24160118320325263</v>
      </c>
      <c r="AH74" s="18">
        <f t="shared" si="107"/>
        <v>0.47233469503194886</v>
      </c>
      <c r="AI74" s="18">
        <f t="shared" si="108"/>
        <v>1.9440530459253975</v>
      </c>
      <c r="AJ74" s="18">
        <f t="shared" si="113"/>
        <v>13.098310871102964</v>
      </c>
      <c r="AL74" t="str">
        <f t="shared" si="114"/>
        <v>cfore</v>
      </c>
      <c r="AM74" s="18">
        <f>_xlfn.IFNA(INDEX(SAM!$B$8:$HA$215,MATCH($AL74,SAM!$A$8:$A$215,0),MATCH(AM$48,SAM!$B$7:$HA$7,0)),0)</f>
        <v>1.0148704229740511</v>
      </c>
      <c r="AN74" s="18">
        <f>_xlfn.IFNA(INDEX(SAM!$B$8:$HA$215,MATCH($AL74,SAM!$A$8:$A$215,0),MATCH(AN$48,SAM!$B$7:$HA$7,0)),0)</f>
        <v>1.235433022447668</v>
      </c>
      <c r="AO74" s="18">
        <f>_xlfn.IFNA(INDEX(SAM!$B$8:$HA$215,MATCH($AL74,SAM!$A$8:$A$215,0),MATCH(AO$48,SAM!$B$7:$HA$7,0)),0)</f>
        <v>1.9274372787918503</v>
      </c>
      <c r="AP74" s="18">
        <f>_xlfn.IFNA(INDEX(SAM!$B$8:$HA$215,MATCH($AL74,SAM!$A$8:$A$215,0),MATCH(AP$48,SAM!$B$7:$HA$7,0)),0)</f>
        <v>2.2495332383871327</v>
      </c>
      <c r="AQ74" s="18">
        <f>_xlfn.IFNA(INDEX(SAM!$B$8:$HA$215,MATCH($AL74,SAM!$A$8:$A$215,0),MATCH(AQ$48,SAM!$B$7:$HA$7,0)),0)</f>
        <v>3.2215352933442474</v>
      </c>
      <c r="AR74" s="18">
        <f>_xlfn.IFNA(INDEX(SAM!$B$8:$HA$215,MATCH($AL74,SAM!$A$8:$A$215,0),MATCH(AR$48,SAM!$B$7:$HA$7,0)),0)</f>
        <v>5.8332031517795209E-2</v>
      </c>
      <c r="AS74" s="18">
        <f>_xlfn.IFNA(INDEX(SAM!$B$8:$HA$215,MATCH($AL74,SAM!$A$8:$A$215,0),MATCH(AS$48,SAM!$B$7:$HA$7,0)),0)</f>
        <v>7.7340306957116828E-2</v>
      </c>
      <c r="AT74" s="18">
        <f>_xlfn.IFNA(INDEX(SAM!$B$8:$HA$215,MATCH($AL74,SAM!$A$8:$A$215,0),MATCH(AT$48,SAM!$B$7:$HA$7,0)),0)</f>
        <v>7.1044592647765581E-2</v>
      </c>
      <c r="AU74" s="18">
        <f>_xlfn.IFNA(INDEX(SAM!$B$8:$HA$215,MATCH($AL74,SAM!$A$8:$A$215,0),MATCH(AU$48,SAM!$B$7:$HA$7,0)),0)</f>
        <v>0.14248983036346705</v>
      </c>
      <c r="AV74" s="18">
        <f>_xlfn.IFNA(INDEX(SAM!$B$8:$HA$215,MATCH($AL74,SAM!$A$8:$A$215,0),MATCH(AV$48,SAM!$B$7:$HA$7,0)),0)</f>
        <v>0.26533396017866817</v>
      </c>
      <c r="AW74" s="18">
        <f>_xlfn.IFNA(INDEX(SAM!$B$8:$HA$215,MATCH($AL74,SAM!$A$8:$A$215,0),MATCH(AW$48,SAM!$B$7:$HA$7,0)),0)</f>
        <v>2.9871010674373456E-2</v>
      </c>
      <c r="AX74" s="18">
        <f>_xlfn.IFNA(INDEX(SAM!$B$8:$HA$215,MATCH($AL74,SAM!$A$8:$A$215,0),MATCH(AX$48,SAM!$B$7:$HA$7,0)),0)</f>
        <v>9.4022062411122764E-2</v>
      </c>
      <c r="AY74" s="18">
        <f>_xlfn.IFNA(INDEX(SAM!$B$8:$HA$215,MATCH($AL74,SAM!$A$8:$A$215,0),MATCH(AY$48,SAM!$B$7:$HA$7,0)),0)</f>
        <v>0.24126497061572577</v>
      </c>
      <c r="AZ74" s="18">
        <f>_xlfn.IFNA(INDEX(SAM!$B$8:$HA$215,MATCH($AL74,SAM!$A$8:$A$215,0),MATCH(AZ$48,SAM!$B$7:$HA$7,0)),0)</f>
        <v>0.47161601276811754</v>
      </c>
      <c r="BA74" s="18">
        <f>_xlfn.IFNA(INDEX(SAM!$B$8:$HA$215,MATCH($AL74,SAM!$A$8:$A$215,0),MATCH(BA$48,SAM!$B$7:$HA$7,0)),0)</f>
        <v>1.9316894083712353</v>
      </c>
      <c r="BB74" s="18"/>
      <c r="BC74" t="str">
        <f t="shared" si="115"/>
        <v>afore</v>
      </c>
      <c r="BD74" s="18">
        <f>_xlfn.IFNA(INDEX(SAM!$B$8:$HA$215,MATCH($BC74,SAM!$A$8:$A$215,0),MATCH(BD$48,SAM!$B$7:$HA$7,0)),0)</f>
        <v>6.3761333886298704E-3</v>
      </c>
      <c r="BE74" s="18">
        <f>_xlfn.IFNA(INDEX(SAM!$B$8:$HA$215,MATCH($BC74,SAM!$A$8:$A$215,0),MATCH(BE$48,SAM!$B$7:$HA$7,0)),0)</f>
        <v>8.0537676899212034E-3</v>
      </c>
      <c r="BF74" s="18">
        <f>_xlfn.IFNA(INDEX(SAM!$B$8:$HA$215,MATCH($BC74,SAM!$A$8:$A$215,0),MATCH(BF$48,SAM!$B$7:$HA$7,0)),0)</f>
        <v>8.4267673499466081E-3</v>
      </c>
      <c r="BG74" s="18">
        <f>_xlfn.IFNA(INDEX(SAM!$B$8:$HA$215,MATCH($BC74,SAM!$A$8:$A$215,0),MATCH(BG$48,SAM!$B$7:$HA$7,0)),0)</f>
        <v>1.577628049268949E-2</v>
      </c>
      <c r="BH74" s="18">
        <f>_xlfn.IFNA(INDEX(SAM!$B$8:$HA$215,MATCH($BC74,SAM!$A$8:$A$215,0),MATCH(BH$48,SAM!$B$7:$HA$7,0)),0)</f>
        <v>1.3916296146845055E-2</v>
      </c>
      <c r="BI74" s="18">
        <f>_xlfn.IFNA(INDEX(SAM!$B$8:$HA$215,MATCH($BC74,SAM!$A$8:$A$215,0),MATCH(BI$48,SAM!$B$7:$HA$7,0)),0)</f>
        <v>0</v>
      </c>
      <c r="BJ74" s="18">
        <f>_xlfn.IFNA(INDEX(SAM!$B$8:$HA$215,MATCH($BC74,SAM!$A$8:$A$215,0),MATCH(BJ$48,SAM!$B$7:$HA$7,0)),0)</f>
        <v>0</v>
      </c>
      <c r="BK74" s="18">
        <f>_xlfn.IFNA(INDEX(SAM!$B$8:$HA$215,MATCH($BC74,SAM!$A$8:$A$215,0),MATCH(BK$48,SAM!$B$7:$HA$7,0)),0)</f>
        <v>0</v>
      </c>
      <c r="BL74" s="18">
        <f>_xlfn.IFNA(INDEX(SAM!$B$8:$HA$215,MATCH($BC74,SAM!$A$8:$A$215,0),MATCH(BL$48,SAM!$B$7:$HA$7,0)),0)</f>
        <v>0</v>
      </c>
      <c r="BM74" s="18">
        <f>_xlfn.IFNA(INDEX(SAM!$B$8:$HA$215,MATCH($BC74,SAM!$A$8:$A$215,0),MATCH(BM$48,SAM!$B$7:$HA$7,0)),0)</f>
        <v>0</v>
      </c>
      <c r="BN74" s="18">
        <f>_xlfn.IFNA(INDEX(SAM!$B$8:$HA$215,MATCH($BC74,SAM!$A$8:$A$215,0),MATCH(BN$48,SAM!$B$7:$HA$7,0)),0)</f>
        <v>1.3595167501128991E-4</v>
      </c>
      <c r="BO74" s="18">
        <f>_xlfn.IFNA(INDEX(SAM!$B$8:$HA$215,MATCH($BC74,SAM!$A$8:$A$215,0),MATCH(BO$48,SAM!$B$7:$HA$7,0)),0)</f>
        <v>3.9369950406564303E-4</v>
      </c>
      <c r="BP74" s="18">
        <f>_xlfn.IFNA(INDEX(SAM!$B$8:$HA$215,MATCH($BC74,SAM!$A$8:$A$215,0),MATCH(BP$48,SAM!$B$7:$HA$7,0)),0)</f>
        <v>3.3621258752686804E-4</v>
      </c>
      <c r="BQ74" s="18">
        <f>_xlfn.IFNA(INDEX(SAM!$B$8:$HA$215,MATCH($BC74,SAM!$A$8:$A$215,0),MATCH(BQ$48,SAM!$B$7:$HA$7,0)),0)</f>
        <v>7.1868226383130208E-4</v>
      </c>
      <c r="BR74" s="18">
        <f>_xlfn.IFNA(INDEX(SAM!$B$8:$HA$215,MATCH($BC74,SAM!$A$8:$A$215,0),MATCH(BR$48,SAM!$B$7:$HA$7,0)),0)</f>
        <v>1.2363637554162284E-2</v>
      </c>
      <c r="BT74" t="str">
        <f t="shared" si="109"/>
        <v>cfore</v>
      </c>
      <c r="BU74" s="7">
        <f t="shared" si="110"/>
        <v>13.098310871102967</v>
      </c>
      <c r="BW74" s="51" t="s">
        <v>190</v>
      </c>
      <c r="BX74" s="43">
        <f t="shared" si="116"/>
        <v>0</v>
      </c>
    </row>
    <row r="75" spans="1:76" x14ac:dyDescent="0.35">
      <c r="A75" s="26" t="s">
        <v>625</v>
      </c>
      <c r="B75" s="26" t="s">
        <v>709</v>
      </c>
      <c r="C75" s="45">
        <f t="shared" si="79"/>
        <v>2.1174414483203523</v>
      </c>
      <c r="D75" s="45">
        <f t="shared" si="80"/>
        <v>1.0962063171946517</v>
      </c>
      <c r="E75" s="45">
        <f t="shared" si="81"/>
        <v>1.0448679992185348</v>
      </c>
      <c r="F75" s="45">
        <f t="shared" si="82"/>
        <v>1.4811422880993663</v>
      </c>
      <c r="G75" s="45">
        <f t="shared" si="83"/>
        <v>0.95516463299588861</v>
      </c>
      <c r="H75" s="45">
        <f t="shared" si="84"/>
        <v>1.3037121608159099</v>
      </c>
      <c r="I75" s="45">
        <f t="shared" si="85"/>
        <v>0.4358819772271984</v>
      </c>
      <c r="J75" s="45">
        <f t="shared" si="86"/>
        <v>1.4337091664872714</v>
      </c>
      <c r="K75" s="45">
        <f t="shared" si="87"/>
        <v>3.110571904593685</v>
      </c>
      <c r="L75" s="45">
        <f t="shared" si="88"/>
        <v>1.3218612157824459</v>
      </c>
      <c r="M75" s="45">
        <f t="shared" si="89"/>
        <v>5.1094986568435523</v>
      </c>
      <c r="N75" s="45">
        <f t="shared" si="90"/>
        <v>1.6093662854617148</v>
      </c>
      <c r="O75" s="45">
        <f t="shared" si="91"/>
        <v>0.5601670532212415</v>
      </c>
      <c r="P75" s="45">
        <f t="shared" si="92"/>
        <v>0.6609925254673239</v>
      </c>
      <c r="Q75" s="45">
        <f t="shared" si="93"/>
        <v>0.69051522266083953</v>
      </c>
      <c r="R75" s="45">
        <f t="shared" si="94"/>
        <v>1.0125267266868108</v>
      </c>
      <c r="S75" s="26"/>
      <c r="T75" s="26" t="str">
        <f t="shared" si="111"/>
        <v>oapr</v>
      </c>
      <c r="U75" s="45">
        <f t="shared" si="112"/>
        <v>5.5567057704757179</v>
      </c>
      <c r="V75" s="45">
        <f t="shared" si="95"/>
        <v>4.0979836210320224</v>
      </c>
      <c r="W75" s="45">
        <f t="shared" si="96"/>
        <v>6.0905516626975746</v>
      </c>
      <c r="X75" s="45">
        <f t="shared" si="97"/>
        <v>11.829070462877782</v>
      </c>
      <c r="Y75" s="45">
        <f t="shared" si="98"/>
        <v>13.656472135576863</v>
      </c>
      <c r="Z75" s="45">
        <f t="shared" si="99"/>
        <v>0.22528806764291179</v>
      </c>
      <c r="AA75" s="45">
        <f t="shared" si="100"/>
        <v>9.7219673690273706E-2</v>
      </c>
      <c r="AB75" s="45">
        <f t="shared" si="101"/>
        <v>0.39394379135061536</v>
      </c>
      <c r="AC75" s="45">
        <f t="shared" si="102"/>
        <v>1.6864861681474677</v>
      </c>
      <c r="AD75" s="45">
        <f t="shared" si="103"/>
        <v>2.9069170160203499</v>
      </c>
      <c r="AE75" s="45">
        <f t="shared" si="104"/>
        <v>0.61002651545692987</v>
      </c>
      <c r="AF75" s="45">
        <f t="shared" si="105"/>
        <v>0.58599202762561342</v>
      </c>
      <c r="AG75" s="45">
        <f t="shared" si="106"/>
        <v>0.5774549410011659</v>
      </c>
      <c r="AH75" s="45">
        <f t="shared" si="107"/>
        <v>1.6468489205509138</v>
      </c>
      <c r="AI75" s="45">
        <f t="shared" si="108"/>
        <v>16.174769418446537</v>
      </c>
      <c r="AJ75" s="45">
        <f t="shared" si="113"/>
        <v>66.135730192592746</v>
      </c>
      <c r="AK75" s="26"/>
      <c r="AL75" s="26" t="str">
        <f t="shared" si="114"/>
        <v>coapr</v>
      </c>
      <c r="AM75" s="45">
        <f>_xlfn.IFNA(INDEX(SAM!$B$8:$HA$215,MATCH($AL75,SAM!$A$8:$A$215,0),MATCH(AM$48,SAM!$B$7:$HA$7,0)),0)</f>
        <v>5.5567057704757179</v>
      </c>
      <c r="AN75" s="45">
        <f>_xlfn.IFNA(INDEX(SAM!$B$8:$HA$215,MATCH($AL75,SAM!$A$8:$A$215,0),MATCH(AN$48,SAM!$B$7:$HA$7,0)),0)</f>
        <v>4.0979836210320224</v>
      </c>
      <c r="AO75" s="45">
        <f>_xlfn.IFNA(INDEX(SAM!$B$8:$HA$215,MATCH($AL75,SAM!$A$8:$A$215,0),MATCH(AO$48,SAM!$B$7:$HA$7,0)),0)</f>
        <v>6.0905516626975746</v>
      </c>
      <c r="AP75" s="45">
        <f>_xlfn.IFNA(INDEX(SAM!$B$8:$HA$215,MATCH($AL75,SAM!$A$8:$A$215,0),MATCH(AP$48,SAM!$B$7:$HA$7,0)),0)</f>
        <v>11.829070462877782</v>
      </c>
      <c r="AQ75" s="45">
        <f>_xlfn.IFNA(INDEX(SAM!$B$8:$HA$215,MATCH($AL75,SAM!$A$8:$A$215,0),MATCH(AQ$48,SAM!$B$7:$HA$7,0)),0)</f>
        <v>13.656472135576863</v>
      </c>
      <c r="AR75" s="45">
        <f>_xlfn.IFNA(INDEX(SAM!$B$8:$HA$215,MATCH($AL75,SAM!$A$8:$A$215,0),MATCH(AR$48,SAM!$B$7:$HA$7,0)),0)</f>
        <v>0.22528806764291179</v>
      </c>
      <c r="AS75" s="45">
        <f>_xlfn.IFNA(INDEX(SAM!$B$8:$HA$215,MATCH($AL75,SAM!$A$8:$A$215,0),MATCH(AS$48,SAM!$B$7:$HA$7,0)),0)</f>
        <v>9.7219673690273706E-2</v>
      </c>
      <c r="AT75" s="45">
        <f>_xlfn.IFNA(INDEX(SAM!$B$8:$HA$215,MATCH($AL75,SAM!$A$8:$A$215,0),MATCH(AT$48,SAM!$B$7:$HA$7,0)),0)</f>
        <v>0.39394379135061536</v>
      </c>
      <c r="AU75" s="45">
        <f>_xlfn.IFNA(INDEX(SAM!$B$8:$HA$215,MATCH($AL75,SAM!$A$8:$A$215,0),MATCH(AU$48,SAM!$B$7:$HA$7,0)),0)</f>
        <v>1.6864861681474677</v>
      </c>
      <c r="AV75" s="45">
        <f>_xlfn.IFNA(INDEX(SAM!$B$8:$HA$215,MATCH($AL75,SAM!$A$8:$A$215,0),MATCH(AV$48,SAM!$B$7:$HA$7,0)),0)</f>
        <v>2.9069170160203499</v>
      </c>
      <c r="AW75" s="45">
        <f>_xlfn.IFNA(INDEX(SAM!$B$8:$HA$215,MATCH($AL75,SAM!$A$8:$A$215,0),MATCH(AW$48,SAM!$B$7:$HA$7,0)),0)</f>
        <v>0.61002651545692987</v>
      </c>
      <c r="AX75" s="45">
        <f>_xlfn.IFNA(INDEX(SAM!$B$8:$HA$215,MATCH($AL75,SAM!$A$8:$A$215,0),MATCH(AX$48,SAM!$B$7:$HA$7,0)),0)</f>
        <v>0.58599202762561342</v>
      </c>
      <c r="AY75" s="45">
        <f>_xlfn.IFNA(INDEX(SAM!$B$8:$HA$215,MATCH($AL75,SAM!$A$8:$A$215,0),MATCH(AY$48,SAM!$B$7:$HA$7,0)),0)</f>
        <v>0.5774549410011659</v>
      </c>
      <c r="AZ75" s="45">
        <f>_xlfn.IFNA(INDEX(SAM!$B$8:$HA$215,MATCH($AL75,SAM!$A$8:$A$215,0),MATCH(AZ$48,SAM!$B$7:$HA$7,0)),0)</f>
        <v>1.6468489205509138</v>
      </c>
      <c r="BA75" s="45">
        <f>_xlfn.IFNA(INDEX(SAM!$B$8:$HA$215,MATCH($AL75,SAM!$A$8:$A$215,0),MATCH(BA$48,SAM!$B$7:$HA$7,0)),0)</f>
        <v>16.174769418446537</v>
      </c>
      <c r="BB75" s="45"/>
      <c r="BC75" s="26" t="str">
        <f t="shared" si="115"/>
        <v>aoapr</v>
      </c>
      <c r="BD75" s="45">
        <f>_xlfn.IFNA(INDEX(SAM!$B$8:$HA$215,MATCH($BC75,SAM!$A$8:$A$215,0),MATCH(BD$48,SAM!$B$7:$HA$7,0)),0)</f>
        <v>0</v>
      </c>
      <c r="BE75" s="45">
        <f>_xlfn.IFNA(INDEX(SAM!$B$8:$HA$215,MATCH($BC75,SAM!$A$8:$A$215,0),MATCH(BE$48,SAM!$B$7:$HA$7,0)),0)</f>
        <v>0</v>
      </c>
      <c r="BF75" s="45">
        <f>_xlfn.IFNA(INDEX(SAM!$B$8:$HA$215,MATCH($BC75,SAM!$A$8:$A$215,0),MATCH(BF$48,SAM!$B$7:$HA$7,0)),0)</f>
        <v>0</v>
      </c>
      <c r="BG75" s="45">
        <f>_xlfn.IFNA(INDEX(SAM!$B$8:$HA$215,MATCH($BC75,SAM!$A$8:$A$215,0),MATCH(BG$48,SAM!$B$7:$HA$7,0)),0)</f>
        <v>0</v>
      </c>
      <c r="BH75" s="45">
        <f>_xlfn.IFNA(INDEX(SAM!$B$8:$HA$215,MATCH($BC75,SAM!$A$8:$A$215,0),MATCH(BH$48,SAM!$B$7:$HA$7,0)),0)</f>
        <v>0</v>
      </c>
      <c r="BI75" s="45">
        <f>_xlfn.IFNA(INDEX(SAM!$B$8:$HA$215,MATCH($BC75,SAM!$A$8:$A$215,0),MATCH(BI$48,SAM!$B$7:$HA$7,0)),0)</f>
        <v>0</v>
      </c>
      <c r="BJ75" s="45">
        <f>_xlfn.IFNA(INDEX(SAM!$B$8:$HA$215,MATCH($BC75,SAM!$A$8:$A$215,0),MATCH(BJ$48,SAM!$B$7:$HA$7,0)),0)</f>
        <v>0</v>
      </c>
      <c r="BK75" s="45">
        <f>_xlfn.IFNA(INDEX(SAM!$B$8:$HA$215,MATCH($BC75,SAM!$A$8:$A$215,0),MATCH(BK$48,SAM!$B$7:$HA$7,0)),0)</f>
        <v>0</v>
      </c>
      <c r="BL75" s="45">
        <f>_xlfn.IFNA(INDEX(SAM!$B$8:$HA$215,MATCH($BC75,SAM!$A$8:$A$215,0),MATCH(BL$48,SAM!$B$7:$HA$7,0)),0)</f>
        <v>0</v>
      </c>
      <c r="BM75" s="45">
        <f>_xlfn.IFNA(INDEX(SAM!$B$8:$HA$215,MATCH($BC75,SAM!$A$8:$A$215,0),MATCH(BM$48,SAM!$B$7:$HA$7,0)),0)</f>
        <v>0</v>
      </c>
      <c r="BN75" s="45">
        <f>_xlfn.IFNA(INDEX(SAM!$B$8:$HA$215,MATCH($BC75,SAM!$A$8:$A$215,0),MATCH(BN$48,SAM!$B$7:$HA$7,0)),0)</f>
        <v>0</v>
      </c>
      <c r="BO75" s="45">
        <f>_xlfn.IFNA(INDEX(SAM!$B$8:$HA$215,MATCH($BC75,SAM!$A$8:$A$215,0),MATCH(BO$48,SAM!$B$7:$HA$7,0)),0)</f>
        <v>0</v>
      </c>
      <c r="BP75" s="45">
        <f>_xlfn.IFNA(INDEX(SAM!$B$8:$HA$215,MATCH($BC75,SAM!$A$8:$A$215,0),MATCH(BP$48,SAM!$B$7:$HA$7,0)),0)</f>
        <v>0</v>
      </c>
      <c r="BQ75" s="45">
        <f>_xlfn.IFNA(INDEX(SAM!$B$8:$HA$215,MATCH($BC75,SAM!$A$8:$A$215,0),MATCH(BQ$48,SAM!$B$7:$HA$7,0)),0)</f>
        <v>0</v>
      </c>
      <c r="BR75" s="45">
        <f>_xlfn.IFNA(INDEX(SAM!$B$8:$HA$215,MATCH($BC75,SAM!$A$8:$A$215,0),MATCH(BR$48,SAM!$B$7:$HA$7,0)),0)</f>
        <v>0</v>
      </c>
      <c r="BT75" t="str">
        <f t="shared" si="109"/>
        <v>coapr</v>
      </c>
      <c r="BU75" s="7">
        <f t="shared" si="110"/>
        <v>66.135730192592746</v>
      </c>
      <c r="BW75" s="51" t="s">
        <v>191</v>
      </c>
      <c r="BX75" s="43">
        <f t="shared" si="116"/>
        <v>1.8835433739473768</v>
      </c>
    </row>
    <row r="76" spans="1:76" x14ac:dyDescent="0.35">
      <c r="A76" t="s">
        <v>627</v>
      </c>
      <c r="B76" t="s">
        <v>702</v>
      </c>
      <c r="C76" s="18">
        <f t="shared" si="79"/>
        <v>0</v>
      </c>
      <c r="D76" s="18">
        <f t="shared" si="80"/>
        <v>0</v>
      </c>
      <c r="E76" s="18">
        <f t="shared" si="81"/>
        <v>0</v>
      </c>
      <c r="F76" s="18">
        <f t="shared" si="82"/>
        <v>0</v>
      </c>
      <c r="G76" s="18">
        <f t="shared" si="83"/>
        <v>0</v>
      </c>
      <c r="H76" s="18">
        <f t="shared" si="84"/>
        <v>0</v>
      </c>
      <c r="I76" s="18">
        <f t="shared" si="85"/>
        <v>0</v>
      </c>
      <c r="J76" s="18">
        <f t="shared" si="86"/>
        <v>0</v>
      </c>
      <c r="K76" s="18">
        <f t="shared" si="87"/>
        <v>0</v>
      </c>
      <c r="L76" s="18">
        <f t="shared" si="88"/>
        <v>0</v>
      </c>
      <c r="M76" s="18">
        <f t="shared" si="89"/>
        <v>0</v>
      </c>
      <c r="N76" s="18">
        <f t="shared" si="90"/>
        <v>0</v>
      </c>
      <c r="O76" s="18">
        <f t="shared" si="91"/>
        <v>0</v>
      </c>
      <c r="P76" s="18">
        <f t="shared" si="92"/>
        <v>0</v>
      </c>
      <c r="Q76" s="18">
        <f t="shared" si="93"/>
        <v>0</v>
      </c>
      <c r="R76" s="18">
        <f t="shared" si="94"/>
        <v>0</v>
      </c>
      <c r="T76" t="str">
        <f t="shared" si="111"/>
        <v>mine</v>
      </c>
      <c r="U76" s="18">
        <f t="shared" si="112"/>
        <v>0</v>
      </c>
      <c r="V76" s="18">
        <f t="shared" si="95"/>
        <v>0</v>
      </c>
      <c r="W76" s="18">
        <f t="shared" si="96"/>
        <v>0</v>
      </c>
      <c r="X76" s="18">
        <f t="shared" si="97"/>
        <v>0</v>
      </c>
      <c r="Y76" s="18">
        <f t="shared" si="98"/>
        <v>0</v>
      </c>
      <c r="Z76" s="18">
        <f t="shared" si="99"/>
        <v>0</v>
      </c>
      <c r="AA76" s="18">
        <f t="shared" si="100"/>
        <v>0</v>
      </c>
      <c r="AB76" s="18">
        <f t="shared" si="101"/>
        <v>0</v>
      </c>
      <c r="AC76" s="18">
        <f t="shared" si="102"/>
        <v>0</v>
      </c>
      <c r="AD76" s="18">
        <f t="shared" si="103"/>
        <v>0</v>
      </c>
      <c r="AE76" s="18">
        <f t="shared" si="104"/>
        <v>0</v>
      </c>
      <c r="AF76" s="18">
        <f t="shared" si="105"/>
        <v>0</v>
      </c>
      <c r="AG76" s="18">
        <f t="shared" si="106"/>
        <v>0</v>
      </c>
      <c r="AH76" s="18">
        <f t="shared" si="107"/>
        <v>0</v>
      </c>
      <c r="AI76" s="18">
        <f t="shared" si="108"/>
        <v>0</v>
      </c>
      <c r="AJ76" s="18">
        <f t="shared" si="113"/>
        <v>0</v>
      </c>
      <c r="AL76" t="str">
        <f t="shared" si="114"/>
        <v>cmine</v>
      </c>
      <c r="AM76" s="18">
        <f>_xlfn.IFNA(INDEX(SAM!$B$8:$HA$215,MATCH($AL76,SAM!$A$8:$A$215,0),MATCH(AM$48,SAM!$B$7:$HA$7,0)),0)</f>
        <v>0</v>
      </c>
      <c r="AN76" s="18">
        <f>_xlfn.IFNA(INDEX(SAM!$B$8:$HA$215,MATCH($AL76,SAM!$A$8:$A$215,0),MATCH(AN$48,SAM!$B$7:$HA$7,0)),0)</f>
        <v>0</v>
      </c>
      <c r="AO76" s="18">
        <f>_xlfn.IFNA(INDEX(SAM!$B$8:$HA$215,MATCH($AL76,SAM!$A$8:$A$215,0),MATCH(AO$48,SAM!$B$7:$HA$7,0)),0)</f>
        <v>0</v>
      </c>
      <c r="AP76" s="18">
        <f>_xlfn.IFNA(INDEX(SAM!$B$8:$HA$215,MATCH($AL76,SAM!$A$8:$A$215,0),MATCH(AP$48,SAM!$B$7:$HA$7,0)),0)</f>
        <v>0</v>
      </c>
      <c r="AQ76" s="18">
        <f>_xlfn.IFNA(INDEX(SAM!$B$8:$HA$215,MATCH($AL76,SAM!$A$8:$A$215,0),MATCH(AQ$48,SAM!$B$7:$HA$7,0)),0)</f>
        <v>0</v>
      </c>
      <c r="AR76" s="18">
        <f>_xlfn.IFNA(INDEX(SAM!$B$8:$HA$215,MATCH($AL76,SAM!$A$8:$A$215,0),MATCH(AR$48,SAM!$B$7:$HA$7,0)),0)</f>
        <v>0</v>
      </c>
      <c r="AS76" s="18">
        <f>_xlfn.IFNA(INDEX(SAM!$B$8:$HA$215,MATCH($AL76,SAM!$A$8:$A$215,0),MATCH(AS$48,SAM!$B$7:$HA$7,0)),0)</f>
        <v>0</v>
      </c>
      <c r="AT76" s="18">
        <f>_xlfn.IFNA(INDEX(SAM!$B$8:$HA$215,MATCH($AL76,SAM!$A$8:$A$215,0),MATCH(AT$48,SAM!$B$7:$HA$7,0)),0)</f>
        <v>0</v>
      </c>
      <c r="AU76" s="18">
        <f>_xlfn.IFNA(INDEX(SAM!$B$8:$HA$215,MATCH($AL76,SAM!$A$8:$A$215,0),MATCH(AU$48,SAM!$B$7:$HA$7,0)),0)</f>
        <v>0</v>
      </c>
      <c r="AV76" s="18">
        <f>_xlfn.IFNA(INDEX(SAM!$B$8:$HA$215,MATCH($AL76,SAM!$A$8:$A$215,0),MATCH(AV$48,SAM!$B$7:$HA$7,0)),0)</f>
        <v>0</v>
      </c>
      <c r="AW76" s="18">
        <f>_xlfn.IFNA(INDEX(SAM!$B$8:$HA$215,MATCH($AL76,SAM!$A$8:$A$215,0),MATCH(AW$48,SAM!$B$7:$HA$7,0)),0)</f>
        <v>0</v>
      </c>
      <c r="AX76" s="18">
        <f>_xlfn.IFNA(INDEX(SAM!$B$8:$HA$215,MATCH($AL76,SAM!$A$8:$A$215,0),MATCH(AX$48,SAM!$B$7:$HA$7,0)),0)</f>
        <v>0</v>
      </c>
      <c r="AY76" s="18">
        <f>_xlfn.IFNA(INDEX(SAM!$B$8:$HA$215,MATCH($AL76,SAM!$A$8:$A$215,0),MATCH(AY$48,SAM!$B$7:$HA$7,0)),0)</f>
        <v>0</v>
      </c>
      <c r="AZ76" s="18">
        <f>_xlfn.IFNA(INDEX(SAM!$B$8:$HA$215,MATCH($AL76,SAM!$A$8:$A$215,0),MATCH(AZ$48,SAM!$B$7:$HA$7,0)),0)</f>
        <v>0</v>
      </c>
      <c r="BA76" s="18">
        <f>_xlfn.IFNA(INDEX(SAM!$B$8:$HA$215,MATCH($AL76,SAM!$A$8:$A$215,0),MATCH(BA$48,SAM!$B$7:$HA$7,0)),0)</f>
        <v>0</v>
      </c>
      <c r="BB76" s="18"/>
      <c r="BC76" t="str">
        <f t="shared" si="115"/>
        <v>amine</v>
      </c>
      <c r="BD76" s="18">
        <f>_xlfn.IFNA(INDEX(SAM!$B$8:$HA$215,MATCH($BC76,SAM!$A$8:$A$215,0),MATCH(BD$48,SAM!$B$7:$HA$7,0)),0)</f>
        <v>0</v>
      </c>
      <c r="BE76" s="18">
        <f>_xlfn.IFNA(INDEX(SAM!$B$8:$HA$215,MATCH($BC76,SAM!$A$8:$A$215,0),MATCH(BE$48,SAM!$B$7:$HA$7,0)),0)</f>
        <v>0</v>
      </c>
      <c r="BF76" s="18">
        <f>_xlfn.IFNA(INDEX(SAM!$B$8:$HA$215,MATCH($BC76,SAM!$A$8:$A$215,0),MATCH(BF$48,SAM!$B$7:$HA$7,0)),0)</f>
        <v>0</v>
      </c>
      <c r="BG76" s="18">
        <f>_xlfn.IFNA(INDEX(SAM!$B$8:$HA$215,MATCH($BC76,SAM!$A$8:$A$215,0),MATCH(BG$48,SAM!$B$7:$HA$7,0)),0)</f>
        <v>0</v>
      </c>
      <c r="BH76" s="18">
        <f>_xlfn.IFNA(INDEX(SAM!$B$8:$HA$215,MATCH($BC76,SAM!$A$8:$A$215,0),MATCH(BH$48,SAM!$B$7:$HA$7,0)),0)</f>
        <v>0</v>
      </c>
      <c r="BI76" s="18">
        <f>_xlfn.IFNA(INDEX(SAM!$B$8:$HA$215,MATCH($BC76,SAM!$A$8:$A$215,0),MATCH(BI$48,SAM!$B$7:$HA$7,0)),0)</f>
        <v>0</v>
      </c>
      <c r="BJ76" s="18">
        <f>_xlfn.IFNA(INDEX(SAM!$B$8:$HA$215,MATCH($BC76,SAM!$A$8:$A$215,0),MATCH(BJ$48,SAM!$B$7:$HA$7,0)),0)</f>
        <v>0</v>
      </c>
      <c r="BK76" s="18">
        <f>_xlfn.IFNA(INDEX(SAM!$B$8:$HA$215,MATCH($BC76,SAM!$A$8:$A$215,0),MATCH(BK$48,SAM!$B$7:$HA$7,0)),0)</f>
        <v>0</v>
      </c>
      <c r="BL76" s="18">
        <f>_xlfn.IFNA(INDEX(SAM!$B$8:$HA$215,MATCH($BC76,SAM!$A$8:$A$215,0),MATCH(BL$48,SAM!$B$7:$HA$7,0)),0)</f>
        <v>0</v>
      </c>
      <c r="BM76" s="18">
        <f>_xlfn.IFNA(INDEX(SAM!$B$8:$HA$215,MATCH($BC76,SAM!$A$8:$A$215,0),MATCH(BM$48,SAM!$B$7:$HA$7,0)),0)</f>
        <v>0</v>
      </c>
      <c r="BN76" s="18">
        <f>_xlfn.IFNA(INDEX(SAM!$B$8:$HA$215,MATCH($BC76,SAM!$A$8:$A$215,0),MATCH(BN$48,SAM!$B$7:$HA$7,0)),0)</f>
        <v>0</v>
      </c>
      <c r="BO76" s="18">
        <f>_xlfn.IFNA(INDEX(SAM!$B$8:$HA$215,MATCH($BC76,SAM!$A$8:$A$215,0),MATCH(BO$48,SAM!$B$7:$HA$7,0)),0)</f>
        <v>0</v>
      </c>
      <c r="BP76" s="18">
        <f>_xlfn.IFNA(INDEX(SAM!$B$8:$HA$215,MATCH($BC76,SAM!$A$8:$A$215,0),MATCH(BP$48,SAM!$B$7:$HA$7,0)),0)</f>
        <v>0</v>
      </c>
      <c r="BQ76" s="18">
        <f>_xlfn.IFNA(INDEX(SAM!$B$8:$HA$215,MATCH($BC76,SAM!$A$8:$A$215,0),MATCH(BQ$48,SAM!$B$7:$HA$7,0)),0)</f>
        <v>0</v>
      </c>
      <c r="BR76" s="18">
        <f>_xlfn.IFNA(INDEX(SAM!$B$8:$HA$215,MATCH($BC76,SAM!$A$8:$A$215,0),MATCH(BR$48,SAM!$B$7:$HA$7,0)),0)</f>
        <v>0</v>
      </c>
      <c r="BT76" t="str">
        <f t="shared" si="109"/>
        <v>cmine</v>
      </c>
      <c r="BU76" s="7">
        <f t="shared" si="110"/>
        <v>0</v>
      </c>
      <c r="BW76" s="51" t="s">
        <v>192</v>
      </c>
      <c r="BX76" s="43">
        <f t="shared" si="116"/>
        <v>0.3939869078496388</v>
      </c>
    </row>
    <row r="77" spans="1:76" x14ac:dyDescent="0.35">
      <c r="A77" s="26" t="s">
        <v>627</v>
      </c>
      <c r="B77" s="26" t="s">
        <v>704</v>
      </c>
      <c r="C77" s="45">
        <f t="shared" si="79"/>
        <v>0</v>
      </c>
      <c r="D77" s="45">
        <f t="shared" si="80"/>
        <v>0</v>
      </c>
      <c r="E77" s="45">
        <f t="shared" si="81"/>
        <v>0</v>
      </c>
      <c r="F77" s="45">
        <f t="shared" si="82"/>
        <v>0</v>
      </c>
      <c r="G77" s="45">
        <f t="shared" si="83"/>
        <v>0</v>
      </c>
      <c r="H77" s="45">
        <f t="shared" si="84"/>
        <v>0</v>
      </c>
      <c r="I77" s="45">
        <f t="shared" si="85"/>
        <v>0</v>
      </c>
      <c r="J77" s="45">
        <f t="shared" si="86"/>
        <v>0</v>
      </c>
      <c r="K77" s="45">
        <f t="shared" si="87"/>
        <v>0</v>
      </c>
      <c r="L77" s="45">
        <f t="shared" si="88"/>
        <v>0</v>
      </c>
      <c r="M77" s="45">
        <f t="shared" si="89"/>
        <v>0</v>
      </c>
      <c r="N77" s="45">
        <f t="shared" si="90"/>
        <v>0</v>
      </c>
      <c r="O77" s="45">
        <f t="shared" si="91"/>
        <v>0</v>
      </c>
      <c r="P77" s="45">
        <f t="shared" si="92"/>
        <v>0</v>
      </c>
      <c r="Q77" s="45">
        <f t="shared" si="93"/>
        <v>0</v>
      </c>
      <c r="R77" s="45">
        <f t="shared" si="94"/>
        <v>0</v>
      </c>
      <c r="S77" s="26"/>
      <c r="T77" s="26" t="str">
        <f t="shared" si="111"/>
        <v>mino</v>
      </c>
      <c r="U77" s="45">
        <f t="shared" si="112"/>
        <v>0</v>
      </c>
      <c r="V77" s="45">
        <f t="shared" si="95"/>
        <v>0</v>
      </c>
      <c r="W77" s="45">
        <f t="shared" si="96"/>
        <v>0</v>
      </c>
      <c r="X77" s="45">
        <f t="shared" si="97"/>
        <v>0</v>
      </c>
      <c r="Y77" s="45">
        <f t="shared" si="98"/>
        <v>0</v>
      </c>
      <c r="Z77" s="45">
        <f t="shared" si="99"/>
        <v>0</v>
      </c>
      <c r="AA77" s="45">
        <f t="shared" si="100"/>
        <v>0</v>
      </c>
      <c r="AB77" s="45">
        <f t="shared" si="101"/>
        <v>0</v>
      </c>
      <c r="AC77" s="45">
        <f t="shared" si="102"/>
        <v>0</v>
      </c>
      <c r="AD77" s="45">
        <f t="shared" si="103"/>
        <v>0</v>
      </c>
      <c r="AE77" s="45">
        <f t="shared" si="104"/>
        <v>0</v>
      </c>
      <c r="AF77" s="45">
        <f t="shared" si="105"/>
        <v>0</v>
      </c>
      <c r="AG77" s="45">
        <f t="shared" si="106"/>
        <v>0</v>
      </c>
      <c r="AH77" s="45">
        <f t="shared" si="107"/>
        <v>0</v>
      </c>
      <c r="AI77" s="45">
        <f t="shared" si="108"/>
        <v>0</v>
      </c>
      <c r="AJ77" s="45">
        <f t="shared" si="113"/>
        <v>0</v>
      </c>
      <c r="AK77" s="26"/>
      <c r="AL77" s="26" t="str">
        <f t="shared" si="114"/>
        <v>cmino</v>
      </c>
      <c r="AM77" s="45">
        <f>_xlfn.IFNA(INDEX(SAM!$B$8:$HA$215,MATCH($AL77,SAM!$A$8:$A$215,0),MATCH(AM$48,SAM!$B$7:$HA$7,0)),0)</f>
        <v>0</v>
      </c>
      <c r="AN77" s="45">
        <f>_xlfn.IFNA(INDEX(SAM!$B$8:$HA$215,MATCH($AL77,SAM!$A$8:$A$215,0),MATCH(AN$48,SAM!$B$7:$HA$7,0)),0)</f>
        <v>0</v>
      </c>
      <c r="AO77" s="45">
        <f>_xlfn.IFNA(INDEX(SAM!$B$8:$HA$215,MATCH($AL77,SAM!$A$8:$A$215,0),MATCH(AO$48,SAM!$B$7:$HA$7,0)),0)</f>
        <v>0</v>
      </c>
      <c r="AP77" s="45">
        <f>_xlfn.IFNA(INDEX(SAM!$B$8:$HA$215,MATCH($AL77,SAM!$A$8:$A$215,0),MATCH(AP$48,SAM!$B$7:$HA$7,0)),0)</f>
        <v>0</v>
      </c>
      <c r="AQ77" s="45">
        <f>_xlfn.IFNA(INDEX(SAM!$B$8:$HA$215,MATCH($AL77,SAM!$A$8:$A$215,0),MATCH(AQ$48,SAM!$B$7:$HA$7,0)),0)</f>
        <v>0</v>
      </c>
      <c r="AR77" s="45">
        <f>_xlfn.IFNA(INDEX(SAM!$B$8:$HA$215,MATCH($AL77,SAM!$A$8:$A$215,0),MATCH(AR$48,SAM!$B$7:$HA$7,0)),0)</f>
        <v>0</v>
      </c>
      <c r="AS77" s="45">
        <f>_xlfn.IFNA(INDEX(SAM!$B$8:$HA$215,MATCH($AL77,SAM!$A$8:$A$215,0),MATCH(AS$48,SAM!$B$7:$HA$7,0)),0)</f>
        <v>0</v>
      </c>
      <c r="AT77" s="45">
        <f>_xlfn.IFNA(INDEX(SAM!$B$8:$HA$215,MATCH($AL77,SAM!$A$8:$A$215,0),MATCH(AT$48,SAM!$B$7:$HA$7,0)),0)</f>
        <v>0</v>
      </c>
      <c r="AU77" s="45">
        <f>_xlfn.IFNA(INDEX(SAM!$B$8:$HA$215,MATCH($AL77,SAM!$A$8:$A$215,0),MATCH(AU$48,SAM!$B$7:$HA$7,0)),0)</f>
        <v>0</v>
      </c>
      <c r="AV77" s="45">
        <f>_xlfn.IFNA(INDEX(SAM!$B$8:$HA$215,MATCH($AL77,SAM!$A$8:$A$215,0),MATCH(AV$48,SAM!$B$7:$HA$7,0)),0)</f>
        <v>0</v>
      </c>
      <c r="AW77" s="45">
        <f>_xlfn.IFNA(INDEX(SAM!$B$8:$HA$215,MATCH($AL77,SAM!$A$8:$A$215,0),MATCH(AW$48,SAM!$B$7:$HA$7,0)),0)</f>
        <v>0</v>
      </c>
      <c r="AX77" s="45">
        <f>_xlfn.IFNA(INDEX(SAM!$B$8:$HA$215,MATCH($AL77,SAM!$A$8:$A$215,0),MATCH(AX$48,SAM!$B$7:$HA$7,0)),0)</f>
        <v>0</v>
      </c>
      <c r="AY77" s="45">
        <f>_xlfn.IFNA(INDEX(SAM!$B$8:$HA$215,MATCH($AL77,SAM!$A$8:$A$215,0),MATCH(AY$48,SAM!$B$7:$HA$7,0)),0)</f>
        <v>0</v>
      </c>
      <c r="AZ77" s="45">
        <f>_xlfn.IFNA(INDEX(SAM!$B$8:$HA$215,MATCH($AL77,SAM!$A$8:$A$215,0),MATCH(AZ$48,SAM!$B$7:$HA$7,0)),0)</f>
        <v>0</v>
      </c>
      <c r="BA77" s="45">
        <f>_xlfn.IFNA(INDEX(SAM!$B$8:$HA$215,MATCH($AL77,SAM!$A$8:$A$215,0),MATCH(BA$48,SAM!$B$7:$HA$7,0)),0)</f>
        <v>0</v>
      </c>
      <c r="BB77" s="45"/>
      <c r="BC77" s="26" t="str">
        <f t="shared" si="115"/>
        <v>amino</v>
      </c>
      <c r="BD77" s="45">
        <f>_xlfn.IFNA(INDEX(SAM!$B$8:$HA$215,MATCH($BC77,SAM!$A$8:$A$215,0),MATCH(BD$48,SAM!$B$7:$HA$7,0)),0)</f>
        <v>0</v>
      </c>
      <c r="BE77" s="45">
        <f>_xlfn.IFNA(INDEX(SAM!$B$8:$HA$215,MATCH($BC77,SAM!$A$8:$A$215,0),MATCH(BE$48,SAM!$B$7:$HA$7,0)),0)</f>
        <v>0</v>
      </c>
      <c r="BF77" s="45">
        <f>_xlfn.IFNA(INDEX(SAM!$B$8:$HA$215,MATCH($BC77,SAM!$A$8:$A$215,0),MATCH(BF$48,SAM!$B$7:$HA$7,0)),0)</f>
        <v>0</v>
      </c>
      <c r="BG77" s="45">
        <f>_xlfn.IFNA(INDEX(SAM!$B$8:$HA$215,MATCH($BC77,SAM!$A$8:$A$215,0),MATCH(BG$48,SAM!$B$7:$HA$7,0)),0)</f>
        <v>0</v>
      </c>
      <c r="BH77" s="45">
        <f>_xlfn.IFNA(INDEX(SAM!$B$8:$HA$215,MATCH($BC77,SAM!$A$8:$A$215,0),MATCH(BH$48,SAM!$B$7:$HA$7,0)),0)</f>
        <v>0</v>
      </c>
      <c r="BI77" s="45">
        <f>_xlfn.IFNA(INDEX(SAM!$B$8:$HA$215,MATCH($BC77,SAM!$A$8:$A$215,0),MATCH(BI$48,SAM!$B$7:$HA$7,0)),0)</f>
        <v>0</v>
      </c>
      <c r="BJ77" s="45">
        <f>_xlfn.IFNA(INDEX(SAM!$B$8:$HA$215,MATCH($BC77,SAM!$A$8:$A$215,0),MATCH(BJ$48,SAM!$B$7:$HA$7,0)),0)</f>
        <v>0</v>
      </c>
      <c r="BK77" s="45">
        <f>_xlfn.IFNA(INDEX(SAM!$B$8:$HA$215,MATCH($BC77,SAM!$A$8:$A$215,0),MATCH(BK$48,SAM!$B$7:$HA$7,0)),0)</f>
        <v>0</v>
      </c>
      <c r="BL77" s="45">
        <f>_xlfn.IFNA(INDEX(SAM!$B$8:$HA$215,MATCH($BC77,SAM!$A$8:$A$215,0),MATCH(BL$48,SAM!$B$7:$HA$7,0)),0)</f>
        <v>0</v>
      </c>
      <c r="BM77" s="45">
        <f>_xlfn.IFNA(INDEX(SAM!$B$8:$HA$215,MATCH($BC77,SAM!$A$8:$A$215,0),MATCH(BM$48,SAM!$B$7:$HA$7,0)),0)</f>
        <v>0</v>
      </c>
      <c r="BN77" s="45">
        <f>_xlfn.IFNA(INDEX(SAM!$B$8:$HA$215,MATCH($BC77,SAM!$A$8:$A$215,0),MATCH(BN$48,SAM!$B$7:$HA$7,0)),0)</f>
        <v>0</v>
      </c>
      <c r="BO77" s="45">
        <f>_xlfn.IFNA(INDEX(SAM!$B$8:$HA$215,MATCH($BC77,SAM!$A$8:$A$215,0),MATCH(BO$48,SAM!$B$7:$HA$7,0)),0)</f>
        <v>0</v>
      </c>
      <c r="BP77" s="45">
        <f>_xlfn.IFNA(INDEX(SAM!$B$8:$HA$215,MATCH($BC77,SAM!$A$8:$A$215,0),MATCH(BP$48,SAM!$B$7:$HA$7,0)),0)</f>
        <v>0</v>
      </c>
      <c r="BQ77" s="45">
        <f>_xlfn.IFNA(INDEX(SAM!$B$8:$HA$215,MATCH($BC77,SAM!$A$8:$A$215,0),MATCH(BQ$48,SAM!$B$7:$HA$7,0)),0)</f>
        <v>0</v>
      </c>
      <c r="BR77" s="45">
        <f>_xlfn.IFNA(INDEX(SAM!$B$8:$HA$215,MATCH($BC77,SAM!$A$8:$A$215,0),MATCH(BR$48,SAM!$B$7:$HA$7,0)),0)</f>
        <v>0</v>
      </c>
      <c r="BT77" t="str">
        <f t="shared" si="109"/>
        <v>cmino</v>
      </c>
      <c r="BU77" s="7">
        <f t="shared" si="110"/>
        <v>0</v>
      </c>
      <c r="BW77" s="51" t="s">
        <v>193</v>
      </c>
      <c r="BX77" s="43">
        <f t="shared" si="116"/>
        <v>0.11463446077444379</v>
      </c>
    </row>
    <row r="78" spans="1:76" x14ac:dyDescent="0.35">
      <c r="A78" t="str">
        <f t="shared" ref="A78:A94" si="136">HLOOKUP(B78,$B$6:$BR$9,4,FALSE)</f>
        <v>manufacturing</v>
      </c>
      <c r="B78" t="s">
        <v>37</v>
      </c>
      <c r="C78" s="18">
        <f t="shared" si="79"/>
        <v>0.87127516928708959</v>
      </c>
      <c r="D78" s="18">
        <f t="shared" si="80"/>
        <v>0.6559332093871576</v>
      </c>
      <c r="E78" s="18">
        <f t="shared" si="81"/>
        <v>0.5582466536821824</v>
      </c>
      <c r="F78" s="18">
        <f t="shared" si="82"/>
        <v>0.46820613542301315</v>
      </c>
      <c r="G78" s="18">
        <f t="shared" si="83"/>
        <v>0.3985708194252181</v>
      </c>
      <c r="H78" s="18">
        <f t="shared" si="84"/>
        <v>0.62869649388303328</v>
      </c>
      <c r="I78" s="18">
        <f t="shared" si="85"/>
        <v>0.57765338110347719</v>
      </c>
      <c r="J78" s="18">
        <f t="shared" si="86"/>
        <v>0.55093421951005705</v>
      </c>
      <c r="K78" s="18">
        <f t="shared" si="87"/>
        <v>0.33157603046861089</v>
      </c>
      <c r="L78" s="18">
        <f t="shared" si="88"/>
        <v>0.32572859109476626</v>
      </c>
      <c r="M78" s="18">
        <f t="shared" si="89"/>
        <v>0.97623595902721094</v>
      </c>
      <c r="N78" s="18">
        <f t="shared" si="90"/>
        <v>0.78556306522582398</v>
      </c>
      <c r="O78" s="18">
        <f t="shared" si="91"/>
        <v>0.61538649199079443</v>
      </c>
      <c r="P78" s="18">
        <f t="shared" si="92"/>
        <v>0.62663932699213643</v>
      </c>
      <c r="Q78" s="18">
        <f t="shared" si="93"/>
        <v>0.65962357150161277</v>
      </c>
      <c r="R78" s="18">
        <f t="shared" si="94"/>
        <v>0.56286248326434651</v>
      </c>
      <c r="T78" t="str">
        <f t="shared" ref="T78:T95" si="137">B78</f>
        <v>wood</v>
      </c>
      <c r="U78" s="18">
        <f t="shared" ref="U78:U94" si="138">IFERROR(AM78+BD78,"")</f>
        <v>2.2864479982151131</v>
      </c>
      <c r="V78" s="18">
        <f t="shared" ref="V78:V94" si="139">IFERROR(AN78+BE78,"")</f>
        <v>2.4520963858687885</v>
      </c>
      <c r="W78" s="18">
        <f t="shared" ref="W78:W94" si="140">IFERROR(AO78+BF78,"")</f>
        <v>3.2540283436015685</v>
      </c>
      <c r="X78" s="18">
        <f t="shared" ref="X78:X94" si="141">IFERROR(AP78+BG78,"")</f>
        <v>3.7393054074349394</v>
      </c>
      <c r="Y78" s="18">
        <f t="shared" ref="Y78:Y94" si="142">IFERROR(AQ78+BH78,"")</f>
        <v>5.6985687090007202</v>
      </c>
      <c r="Z78" s="18">
        <f t="shared" ref="Z78:Z94" si="143">IFERROR(AR78+BI78,"")</f>
        <v>0.1086419399142064</v>
      </c>
      <c r="AA78" s="18">
        <f t="shared" ref="AA78:AA94" si="144">IFERROR(AS78+BJ78,"")</f>
        <v>0.12884054893531649</v>
      </c>
      <c r="AB78" s="18">
        <f t="shared" ref="AB78:AB94" si="145">IFERROR(AT78+BK78,"")</f>
        <v>0.15138154954421218</v>
      </c>
      <c r="AC78" s="18">
        <f t="shared" ref="AC78:AC94" si="146">IFERROR(AU78+BL78,"")</f>
        <v>0.17977349703722736</v>
      </c>
      <c r="AD78" s="18">
        <f t="shared" ref="AD78:AD94" si="147">IFERROR(AV78+BM78,"")</f>
        <v>0.71631270571565608</v>
      </c>
      <c r="AE78" s="18">
        <f t="shared" ref="AE78:AE94" si="148">IFERROR(AW78+BN78,"")</f>
        <v>0.11655347429272418</v>
      </c>
      <c r="AF78" s="18">
        <f t="shared" ref="AF78:AF94" si="149">IFERROR(AX78+BO78,"")</f>
        <v>0.2860341350368269</v>
      </c>
      <c r="AG78" s="18">
        <f t="shared" ref="AG78:AG94" si="150">IFERROR(AY78+BP78,"")</f>
        <v>0.6343785632910256</v>
      </c>
      <c r="AH78" s="18">
        <f t="shared" ref="AH78:AH94" si="151">IFERROR(AZ78+BQ78,"")</f>
        <v>1.5612586519070508</v>
      </c>
      <c r="AI78" s="18">
        <f t="shared" ref="AI78:AI94" si="152">IFERROR(BA78+BR78,"")</f>
        <v>15.451157080792106</v>
      </c>
      <c r="AJ78" s="18">
        <f t="shared" ref="AJ78:AJ94" si="153">SUM(U78:AI78)</f>
        <v>36.76477899058748</v>
      </c>
      <c r="AL78" t="str">
        <f t="shared" ref="AL78:AL94" si="154">"c"&amp;T78</f>
        <v>cwood</v>
      </c>
      <c r="AM78" s="18">
        <f>_xlfn.IFNA(INDEX(SAM!$B$8:$HA$215,MATCH($AL78,SAM!$A$8:$A$215,0),MATCH(AM$48,SAM!$B$7:$HA$7,0)),0)</f>
        <v>2.2864479982151131</v>
      </c>
      <c r="AN78" s="18">
        <f>_xlfn.IFNA(INDEX(SAM!$B$8:$HA$215,MATCH($AL78,SAM!$A$8:$A$215,0),MATCH(AN$48,SAM!$B$7:$HA$7,0)),0)</f>
        <v>2.4520963858687885</v>
      </c>
      <c r="AO78" s="18">
        <f>_xlfn.IFNA(INDEX(SAM!$B$8:$HA$215,MATCH($AL78,SAM!$A$8:$A$215,0),MATCH(AO$48,SAM!$B$7:$HA$7,0)),0)</f>
        <v>3.2540283436015685</v>
      </c>
      <c r="AP78" s="18">
        <f>_xlfn.IFNA(INDEX(SAM!$B$8:$HA$215,MATCH($AL78,SAM!$A$8:$A$215,0),MATCH(AP$48,SAM!$B$7:$HA$7,0)),0)</f>
        <v>3.7393054074349394</v>
      </c>
      <c r="AQ78" s="18">
        <f>_xlfn.IFNA(INDEX(SAM!$B$8:$HA$215,MATCH($AL78,SAM!$A$8:$A$215,0),MATCH(AQ$48,SAM!$B$7:$HA$7,0)),0)</f>
        <v>5.6985687090007202</v>
      </c>
      <c r="AR78" s="18">
        <f>_xlfn.IFNA(INDEX(SAM!$B$8:$HA$215,MATCH($AL78,SAM!$A$8:$A$215,0),MATCH(AR$48,SAM!$B$7:$HA$7,0)),0)</f>
        <v>0.1086419399142064</v>
      </c>
      <c r="AS78" s="18">
        <f>_xlfn.IFNA(INDEX(SAM!$B$8:$HA$215,MATCH($AL78,SAM!$A$8:$A$215,0),MATCH(AS$48,SAM!$B$7:$HA$7,0)),0)</f>
        <v>0.12884054893531649</v>
      </c>
      <c r="AT78" s="18">
        <f>_xlfn.IFNA(INDEX(SAM!$B$8:$HA$215,MATCH($AL78,SAM!$A$8:$A$215,0),MATCH(AT$48,SAM!$B$7:$HA$7,0)),0)</f>
        <v>0.15138154954421218</v>
      </c>
      <c r="AU78" s="18">
        <f>_xlfn.IFNA(INDEX(SAM!$B$8:$HA$215,MATCH($AL78,SAM!$A$8:$A$215,0),MATCH(AU$48,SAM!$B$7:$HA$7,0)),0)</f>
        <v>0.17977349703722736</v>
      </c>
      <c r="AV78" s="18">
        <f>_xlfn.IFNA(INDEX(SAM!$B$8:$HA$215,MATCH($AL78,SAM!$A$8:$A$215,0),MATCH(AV$48,SAM!$B$7:$HA$7,0)),0)</f>
        <v>0.71631270571565608</v>
      </c>
      <c r="AW78" s="18">
        <f>_xlfn.IFNA(INDEX(SAM!$B$8:$HA$215,MATCH($AL78,SAM!$A$8:$A$215,0),MATCH(AW$48,SAM!$B$7:$HA$7,0)),0)</f>
        <v>0.11655347429272418</v>
      </c>
      <c r="AX78" s="18">
        <f>_xlfn.IFNA(INDEX(SAM!$B$8:$HA$215,MATCH($AL78,SAM!$A$8:$A$215,0),MATCH(AX$48,SAM!$B$7:$HA$7,0)),0)</f>
        <v>0.2860341350368269</v>
      </c>
      <c r="AY78" s="18">
        <f>_xlfn.IFNA(INDEX(SAM!$B$8:$HA$215,MATCH($AL78,SAM!$A$8:$A$215,0),MATCH(AY$48,SAM!$B$7:$HA$7,0)),0)</f>
        <v>0.6343785632910256</v>
      </c>
      <c r="AZ78" s="18">
        <f>_xlfn.IFNA(INDEX(SAM!$B$8:$HA$215,MATCH($AL78,SAM!$A$8:$A$215,0),MATCH(AZ$48,SAM!$B$7:$HA$7,0)),0)</f>
        <v>1.5612586519070508</v>
      </c>
      <c r="BA78" s="18">
        <f>_xlfn.IFNA(INDEX(SAM!$B$8:$HA$215,MATCH($AL78,SAM!$A$8:$A$215,0),MATCH(BA$48,SAM!$B$7:$HA$7,0)),0)</f>
        <v>15.451157080792106</v>
      </c>
      <c r="BB78" s="18"/>
      <c r="BC78" t="str">
        <f t="shared" ref="BC78:BC94" si="155">"a"&amp;T78</f>
        <v>awood</v>
      </c>
      <c r="BD78" s="18">
        <f>_xlfn.IFNA(INDEX(SAM!$B$8:$HA$215,MATCH($BC78,SAM!$A$8:$A$215,0),MATCH(BD$48,SAM!$B$7:$HA$7,0)),0)</f>
        <v>0</v>
      </c>
      <c r="BE78" s="18">
        <f>_xlfn.IFNA(INDEX(SAM!$B$8:$HA$215,MATCH($BC78,SAM!$A$8:$A$215,0),MATCH(BE$48,SAM!$B$7:$HA$7,0)),0)</f>
        <v>0</v>
      </c>
      <c r="BF78" s="18">
        <f>_xlfn.IFNA(INDEX(SAM!$B$8:$HA$215,MATCH($BC78,SAM!$A$8:$A$215,0),MATCH(BF$48,SAM!$B$7:$HA$7,0)),0)</f>
        <v>0</v>
      </c>
      <c r="BG78" s="18">
        <f>_xlfn.IFNA(INDEX(SAM!$B$8:$HA$215,MATCH($BC78,SAM!$A$8:$A$215,0),MATCH(BG$48,SAM!$B$7:$HA$7,0)),0)</f>
        <v>0</v>
      </c>
      <c r="BH78" s="18">
        <f>_xlfn.IFNA(INDEX(SAM!$B$8:$HA$215,MATCH($BC78,SAM!$A$8:$A$215,0),MATCH(BH$48,SAM!$B$7:$HA$7,0)),0)</f>
        <v>0</v>
      </c>
      <c r="BI78" s="18">
        <f>_xlfn.IFNA(INDEX(SAM!$B$8:$HA$215,MATCH($BC78,SAM!$A$8:$A$215,0),MATCH(BI$48,SAM!$B$7:$HA$7,0)),0)</f>
        <v>0</v>
      </c>
      <c r="BJ78" s="18">
        <f>_xlfn.IFNA(INDEX(SAM!$B$8:$HA$215,MATCH($BC78,SAM!$A$8:$A$215,0),MATCH(BJ$48,SAM!$B$7:$HA$7,0)),0)</f>
        <v>0</v>
      </c>
      <c r="BK78" s="18">
        <f>_xlfn.IFNA(INDEX(SAM!$B$8:$HA$215,MATCH($BC78,SAM!$A$8:$A$215,0),MATCH(BK$48,SAM!$B$7:$HA$7,0)),0)</f>
        <v>0</v>
      </c>
      <c r="BL78" s="18">
        <f>_xlfn.IFNA(INDEX(SAM!$B$8:$HA$215,MATCH($BC78,SAM!$A$8:$A$215,0),MATCH(BL$48,SAM!$B$7:$HA$7,0)),0)</f>
        <v>0</v>
      </c>
      <c r="BM78" s="18">
        <f>_xlfn.IFNA(INDEX(SAM!$B$8:$HA$215,MATCH($BC78,SAM!$A$8:$A$215,0),MATCH(BM$48,SAM!$B$7:$HA$7,0)),0)</f>
        <v>0</v>
      </c>
      <c r="BN78" s="18">
        <f>_xlfn.IFNA(INDEX(SAM!$B$8:$HA$215,MATCH($BC78,SAM!$A$8:$A$215,0),MATCH(BN$48,SAM!$B$7:$HA$7,0)),0)</f>
        <v>0</v>
      </c>
      <c r="BO78" s="18">
        <f>_xlfn.IFNA(INDEX(SAM!$B$8:$HA$215,MATCH($BC78,SAM!$A$8:$A$215,0),MATCH(BO$48,SAM!$B$7:$HA$7,0)),0)</f>
        <v>0</v>
      </c>
      <c r="BP78" s="18">
        <f>_xlfn.IFNA(INDEX(SAM!$B$8:$HA$215,MATCH($BC78,SAM!$A$8:$A$215,0),MATCH(BP$48,SAM!$B$7:$HA$7,0)),0)</f>
        <v>0</v>
      </c>
      <c r="BQ78" s="18">
        <f>_xlfn.IFNA(INDEX(SAM!$B$8:$HA$215,MATCH($BC78,SAM!$A$8:$A$215,0),MATCH(BQ$48,SAM!$B$7:$HA$7,0)),0)</f>
        <v>0</v>
      </c>
      <c r="BR78" s="18">
        <f>_xlfn.IFNA(INDEX(SAM!$B$8:$HA$215,MATCH($BC78,SAM!$A$8:$A$215,0),MATCH(BR$48,SAM!$B$7:$HA$7,0)),0)</f>
        <v>0</v>
      </c>
      <c r="BT78" t="str">
        <f t="shared" si="109"/>
        <v>cwood</v>
      </c>
      <c r="BU78" s="7">
        <f t="shared" si="110"/>
        <v>36.76477899058748</v>
      </c>
      <c r="BW78" s="51" t="s">
        <v>194</v>
      </c>
      <c r="BX78" s="43">
        <f t="shared" si="116"/>
        <v>1.1985129666176004</v>
      </c>
    </row>
    <row r="79" spans="1:76" x14ac:dyDescent="0.35">
      <c r="A79" t="str">
        <f t="shared" si="136"/>
        <v>manufacturing</v>
      </c>
      <c r="B79" t="s">
        <v>38</v>
      </c>
      <c r="C79" s="18">
        <f t="shared" si="79"/>
        <v>6.7109621118435769E-3</v>
      </c>
      <c r="D79" s="18">
        <f t="shared" si="80"/>
        <v>1.6401434692835223E-2</v>
      </c>
      <c r="E79" s="18">
        <f t="shared" si="81"/>
        <v>7.140045590405654E-2</v>
      </c>
      <c r="F79" s="18">
        <f t="shared" si="82"/>
        <v>0.15174061959899951</v>
      </c>
      <c r="G79" s="18">
        <f t="shared" si="83"/>
        <v>0.51519572931191726</v>
      </c>
      <c r="H79" s="18">
        <f t="shared" si="84"/>
        <v>0</v>
      </c>
      <c r="I79" s="18">
        <f t="shared" si="85"/>
        <v>0</v>
      </c>
      <c r="J79" s="18">
        <f t="shared" si="86"/>
        <v>0</v>
      </c>
      <c r="K79" s="18">
        <f t="shared" si="87"/>
        <v>9.9303122540992009E-2</v>
      </c>
      <c r="L79" s="18">
        <f t="shared" si="88"/>
        <v>0.71218797215606755</v>
      </c>
      <c r="M79" s="18">
        <f t="shared" si="89"/>
        <v>9.2319655053366992E-2</v>
      </c>
      <c r="N79" s="18">
        <f t="shared" si="90"/>
        <v>0</v>
      </c>
      <c r="O79" s="18">
        <f t="shared" si="91"/>
        <v>1.2118757707642513E-2</v>
      </c>
      <c r="P79" s="18">
        <f t="shared" si="92"/>
        <v>1.5291176258397534E-2</v>
      </c>
      <c r="Q79" s="18">
        <f t="shared" si="93"/>
        <v>1.2833016962038351</v>
      </c>
      <c r="R79" s="18">
        <f t="shared" si="94"/>
        <v>0.62486998646816949</v>
      </c>
      <c r="T79" t="str">
        <f t="shared" si="137"/>
        <v>petr</v>
      </c>
      <c r="U79" s="18">
        <f t="shared" si="138"/>
        <v>1.76112741733217E-2</v>
      </c>
      <c r="V79" s="18">
        <f t="shared" si="139"/>
        <v>6.1314015143310155E-2</v>
      </c>
      <c r="W79" s="18">
        <f t="shared" si="140"/>
        <v>0.4161943573246169</v>
      </c>
      <c r="X79" s="18">
        <f t="shared" si="141"/>
        <v>1.2118690390108418</v>
      </c>
      <c r="Y79" s="18">
        <f t="shared" si="142"/>
        <v>7.3660140657099502</v>
      </c>
      <c r="Z79" s="18">
        <f t="shared" si="143"/>
        <v>0</v>
      </c>
      <c r="AA79" s="18">
        <f t="shared" si="144"/>
        <v>0</v>
      </c>
      <c r="AB79" s="18">
        <f t="shared" si="145"/>
        <v>0</v>
      </c>
      <c r="AC79" s="18">
        <f t="shared" si="146"/>
        <v>5.3840048632829166E-2</v>
      </c>
      <c r="AD79" s="18">
        <f t="shared" si="147"/>
        <v>1.5661790437205991</v>
      </c>
      <c r="AE79" s="18">
        <f t="shared" si="148"/>
        <v>1.1022106328369585E-2</v>
      </c>
      <c r="AF79" s="18">
        <f t="shared" si="149"/>
        <v>0</v>
      </c>
      <c r="AG79" s="18">
        <f t="shared" si="150"/>
        <v>1.2492767071593934E-2</v>
      </c>
      <c r="AH79" s="18">
        <f t="shared" si="151"/>
        <v>3.8097642779382115E-2</v>
      </c>
      <c r="AI79" s="18">
        <f t="shared" si="152"/>
        <v>30.060320684043244</v>
      </c>
      <c r="AJ79" s="18">
        <f t="shared" si="153"/>
        <v>40.814955043938056</v>
      </c>
      <c r="AL79" t="str">
        <f t="shared" si="154"/>
        <v>cpetr</v>
      </c>
      <c r="AM79" s="18">
        <f>_xlfn.IFNA(INDEX(SAM!$B$8:$HA$215,MATCH($AL79,SAM!$A$8:$A$215,0),MATCH(AM$48,SAM!$B$7:$HA$7,0)),0)</f>
        <v>1.76112741733217E-2</v>
      </c>
      <c r="AN79" s="18">
        <f>_xlfn.IFNA(INDEX(SAM!$B$8:$HA$215,MATCH($AL79,SAM!$A$8:$A$215,0),MATCH(AN$48,SAM!$B$7:$HA$7,0)),0)</f>
        <v>6.1314015143310155E-2</v>
      </c>
      <c r="AO79" s="18">
        <f>_xlfn.IFNA(INDEX(SAM!$B$8:$HA$215,MATCH($AL79,SAM!$A$8:$A$215,0),MATCH(AO$48,SAM!$B$7:$HA$7,0)),0)</f>
        <v>0.4161943573246169</v>
      </c>
      <c r="AP79" s="18">
        <f>_xlfn.IFNA(INDEX(SAM!$B$8:$HA$215,MATCH($AL79,SAM!$A$8:$A$215,0),MATCH(AP$48,SAM!$B$7:$HA$7,0)),0)</f>
        <v>1.2118690390108418</v>
      </c>
      <c r="AQ79" s="18">
        <f>_xlfn.IFNA(INDEX(SAM!$B$8:$HA$215,MATCH($AL79,SAM!$A$8:$A$215,0),MATCH(AQ$48,SAM!$B$7:$HA$7,0)),0)</f>
        <v>7.3660140657099502</v>
      </c>
      <c r="AR79" s="18">
        <f>_xlfn.IFNA(INDEX(SAM!$B$8:$HA$215,MATCH($AL79,SAM!$A$8:$A$215,0),MATCH(AR$48,SAM!$B$7:$HA$7,0)),0)</f>
        <v>0</v>
      </c>
      <c r="AS79" s="18">
        <f>_xlfn.IFNA(INDEX(SAM!$B$8:$HA$215,MATCH($AL79,SAM!$A$8:$A$215,0),MATCH(AS$48,SAM!$B$7:$HA$7,0)),0)</f>
        <v>0</v>
      </c>
      <c r="AT79" s="18">
        <f>_xlfn.IFNA(INDEX(SAM!$B$8:$HA$215,MATCH($AL79,SAM!$A$8:$A$215,0),MATCH(AT$48,SAM!$B$7:$HA$7,0)),0)</f>
        <v>0</v>
      </c>
      <c r="AU79" s="18">
        <f>_xlfn.IFNA(INDEX(SAM!$B$8:$HA$215,MATCH($AL79,SAM!$A$8:$A$215,0),MATCH(AU$48,SAM!$B$7:$HA$7,0)),0)</f>
        <v>5.3840048632829166E-2</v>
      </c>
      <c r="AV79" s="18">
        <f>_xlfn.IFNA(INDEX(SAM!$B$8:$HA$215,MATCH($AL79,SAM!$A$8:$A$215,0),MATCH(AV$48,SAM!$B$7:$HA$7,0)),0)</f>
        <v>1.5661790437205991</v>
      </c>
      <c r="AW79" s="18">
        <f>_xlfn.IFNA(INDEX(SAM!$B$8:$HA$215,MATCH($AL79,SAM!$A$8:$A$215,0),MATCH(AW$48,SAM!$B$7:$HA$7,0)),0)</f>
        <v>1.1022106328369585E-2</v>
      </c>
      <c r="AX79" s="18">
        <f>_xlfn.IFNA(INDEX(SAM!$B$8:$HA$215,MATCH($AL79,SAM!$A$8:$A$215,0),MATCH(AX$48,SAM!$B$7:$HA$7,0)),0)</f>
        <v>0</v>
      </c>
      <c r="AY79" s="18">
        <f>_xlfn.IFNA(INDEX(SAM!$B$8:$HA$215,MATCH($AL79,SAM!$A$8:$A$215,0),MATCH(AY$48,SAM!$B$7:$HA$7,0)),0)</f>
        <v>1.2492767071593934E-2</v>
      </c>
      <c r="AZ79" s="18">
        <f>_xlfn.IFNA(INDEX(SAM!$B$8:$HA$215,MATCH($AL79,SAM!$A$8:$A$215,0),MATCH(AZ$48,SAM!$B$7:$HA$7,0)),0)</f>
        <v>3.8097642779382115E-2</v>
      </c>
      <c r="BA79" s="18">
        <f>_xlfn.IFNA(INDEX(SAM!$B$8:$HA$215,MATCH($AL79,SAM!$A$8:$A$215,0),MATCH(BA$48,SAM!$B$7:$HA$7,0)),0)</f>
        <v>30.060320684043244</v>
      </c>
      <c r="BB79" s="18"/>
      <c r="BC79" t="str">
        <f t="shared" si="155"/>
        <v>apetr</v>
      </c>
      <c r="BD79" s="18">
        <f>_xlfn.IFNA(INDEX(SAM!$B$8:$HA$215,MATCH($BC79,SAM!$A$8:$A$215,0),MATCH(BD$48,SAM!$B$7:$HA$7,0)),0)</f>
        <v>0</v>
      </c>
      <c r="BE79" s="18">
        <f>_xlfn.IFNA(INDEX(SAM!$B$8:$HA$215,MATCH($BC79,SAM!$A$8:$A$215,0),MATCH(BE$48,SAM!$B$7:$HA$7,0)),0)</f>
        <v>0</v>
      </c>
      <c r="BF79" s="18">
        <f>_xlfn.IFNA(INDEX(SAM!$B$8:$HA$215,MATCH($BC79,SAM!$A$8:$A$215,0),MATCH(BF$48,SAM!$B$7:$HA$7,0)),0)</f>
        <v>0</v>
      </c>
      <c r="BG79" s="18">
        <f>_xlfn.IFNA(INDEX(SAM!$B$8:$HA$215,MATCH($BC79,SAM!$A$8:$A$215,0),MATCH(BG$48,SAM!$B$7:$HA$7,0)),0)</f>
        <v>0</v>
      </c>
      <c r="BH79" s="18">
        <f>_xlfn.IFNA(INDEX(SAM!$B$8:$HA$215,MATCH($BC79,SAM!$A$8:$A$215,0),MATCH(BH$48,SAM!$B$7:$HA$7,0)),0)</f>
        <v>0</v>
      </c>
      <c r="BI79" s="18">
        <f>_xlfn.IFNA(INDEX(SAM!$B$8:$HA$215,MATCH($BC79,SAM!$A$8:$A$215,0),MATCH(BI$48,SAM!$B$7:$HA$7,0)),0)</f>
        <v>0</v>
      </c>
      <c r="BJ79" s="18">
        <f>_xlfn.IFNA(INDEX(SAM!$B$8:$HA$215,MATCH($BC79,SAM!$A$8:$A$215,0),MATCH(BJ$48,SAM!$B$7:$HA$7,0)),0)</f>
        <v>0</v>
      </c>
      <c r="BK79" s="18">
        <f>_xlfn.IFNA(INDEX(SAM!$B$8:$HA$215,MATCH($BC79,SAM!$A$8:$A$215,0),MATCH(BK$48,SAM!$B$7:$HA$7,0)),0)</f>
        <v>0</v>
      </c>
      <c r="BL79" s="18">
        <f>_xlfn.IFNA(INDEX(SAM!$B$8:$HA$215,MATCH($BC79,SAM!$A$8:$A$215,0),MATCH(BL$48,SAM!$B$7:$HA$7,0)),0)</f>
        <v>0</v>
      </c>
      <c r="BM79" s="18">
        <f>_xlfn.IFNA(INDEX(SAM!$B$8:$HA$215,MATCH($BC79,SAM!$A$8:$A$215,0),MATCH(BM$48,SAM!$B$7:$HA$7,0)),0)</f>
        <v>0</v>
      </c>
      <c r="BN79" s="18">
        <f>_xlfn.IFNA(INDEX(SAM!$B$8:$HA$215,MATCH($BC79,SAM!$A$8:$A$215,0),MATCH(BN$48,SAM!$B$7:$HA$7,0)),0)</f>
        <v>0</v>
      </c>
      <c r="BO79" s="18">
        <f>_xlfn.IFNA(INDEX(SAM!$B$8:$HA$215,MATCH($BC79,SAM!$A$8:$A$215,0),MATCH(BO$48,SAM!$B$7:$HA$7,0)),0)</f>
        <v>0</v>
      </c>
      <c r="BP79" s="18">
        <f>_xlfn.IFNA(INDEX(SAM!$B$8:$HA$215,MATCH($BC79,SAM!$A$8:$A$215,0),MATCH(BP$48,SAM!$B$7:$HA$7,0)),0)</f>
        <v>0</v>
      </c>
      <c r="BQ79" s="18">
        <f>_xlfn.IFNA(INDEX(SAM!$B$8:$HA$215,MATCH($BC79,SAM!$A$8:$A$215,0),MATCH(BQ$48,SAM!$B$7:$HA$7,0)),0)</f>
        <v>0</v>
      </c>
      <c r="BR79" s="18">
        <f>_xlfn.IFNA(INDEX(SAM!$B$8:$HA$215,MATCH($BC79,SAM!$A$8:$A$215,0),MATCH(BR$48,SAM!$B$7:$HA$7,0)),0)</f>
        <v>0</v>
      </c>
      <c r="BT79" t="str">
        <f t="shared" si="109"/>
        <v>cpetr</v>
      </c>
      <c r="BU79" s="7">
        <f t="shared" si="110"/>
        <v>40.814955043938056</v>
      </c>
      <c r="BW79" s="51" t="s">
        <v>195</v>
      </c>
      <c r="BX79" s="43">
        <f t="shared" si="116"/>
        <v>0.19855359461954133</v>
      </c>
    </row>
    <row r="80" spans="1:76" x14ac:dyDescent="0.35">
      <c r="A80" t="str">
        <f t="shared" si="136"/>
        <v>manufacturing</v>
      </c>
      <c r="B80" t="s">
        <v>502</v>
      </c>
      <c r="C80" s="18">
        <f t="shared" si="79"/>
        <v>0</v>
      </c>
      <c r="D80" s="18">
        <f t="shared" si="80"/>
        <v>0</v>
      </c>
      <c r="E80" s="18">
        <f t="shared" si="81"/>
        <v>0</v>
      </c>
      <c r="F80" s="18">
        <f t="shared" si="82"/>
        <v>0</v>
      </c>
      <c r="G80" s="18">
        <f t="shared" si="83"/>
        <v>0</v>
      </c>
      <c r="H80" s="18">
        <f t="shared" si="84"/>
        <v>0</v>
      </c>
      <c r="I80" s="18">
        <f t="shared" si="85"/>
        <v>0</v>
      </c>
      <c r="J80" s="18">
        <f t="shared" si="86"/>
        <v>0</v>
      </c>
      <c r="K80" s="18">
        <f t="shared" si="87"/>
        <v>0</v>
      </c>
      <c r="L80" s="18">
        <f t="shared" si="88"/>
        <v>0</v>
      </c>
      <c r="M80" s="18">
        <f t="shared" si="89"/>
        <v>0</v>
      </c>
      <c r="N80" s="18">
        <f t="shared" si="90"/>
        <v>0</v>
      </c>
      <c r="O80" s="18">
        <f t="shared" si="91"/>
        <v>0</v>
      </c>
      <c r="P80" s="18">
        <f t="shared" si="92"/>
        <v>0</v>
      </c>
      <c r="Q80" s="18">
        <f t="shared" si="93"/>
        <v>0</v>
      </c>
      <c r="R80" s="18">
        <f t="shared" si="94"/>
        <v>0</v>
      </c>
      <c r="T80" t="str">
        <f t="shared" si="137"/>
        <v>fert</v>
      </c>
      <c r="U80" s="18">
        <f t="shared" si="138"/>
        <v>0</v>
      </c>
      <c r="V80" s="18">
        <f t="shared" si="139"/>
        <v>0</v>
      </c>
      <c r="W80" s="18">
        <f t="shared" si="140"/>
        <v>0</v>
      </c>
      <c r="X80" s="18">
        <f t="shared" si="141"/>
        <v>0</v>
      </c>
      <c r="Y80" s="18">
        <f t="shared" si="142"/>
        <v>0</v>
      </c>
      <c r="Z80" s="18">
        <f t="shared" si="143"/>
        <v>0</v>
      </c>
      <c r="AA80" s="18">
        <f t="shared" si="144"/>
        <v>0</v>
      </c>
      <c r="AB80" s="18">
        <f t="shared" si="145"/>
        <v>0</v>
      </c>
      <c r="AC80" s="18">
        <f t="shared" si="146"/>
        <v>0</v>
      </c>
      <c r="AD80" s="18">
        <f t="shared" si="147"/>
        <v>0</v>
      </c>
      <c r="AE80" s="18">
        <f t="shared" si="148"/>
        <v>0</v>
      </c>
      <c r="AF80" s="18">
        <f t="shared" si="149"/>
        <v>0</v>
      </c>
      <c r="AG80" s="18">
        <f t="shared" si="150"/>
        <v>0</v>
      </c>
      <c r="AH80" s="18">
        <f t="shared" si="151"/>
        <v>0</v>
      </c>
      <c r="AI80" s="18">
        <f t="shared" si="152"/>
        <v>0</v>
      </c>
      <c r="AJ80" s="18">
        <f t="shared" si="153"/>
        <v>0</v>
      </c>
      <c r="AL80" t="str">
        <f t="shared" si="154"/>
        <v>cfert</v>
      </c>
      <c r="AM80" s="18">
        <f>_xlfn.IFNA(INDEX(SAM!$B$8:$HA$215,MATCH($AL80,SAM!$A$8:$A$215,0),MATCH(AM$48,SAM!$B$7:$HA$7,0)),0)</f>
        <v>0</v>
      </c>
      <c r="AN80" s="18">
        <f>_xlfn.IFNA(INDEX(SAM!$B$8:$HA$215,MATCH($AL80,SAM!$A$8:$A$215,0),MATCH(AN$48,SAM!$B$7:$HA$7,0)),0)</f>
        <v>0</v>
      </c>
      <c r="AO80" s="18">
        <f>_xlfn.IFNA(INDEX(SAM!$B$8:$HA$215,MATCH($AL80,SAM!$A$8:$A$215,0),MATCH(AO$48,SAM!$B$7:$HA$7,0)),0)</f>
        <v>0</v>
      </c>
      <c r="AP80" s="18">
        <f>_xlfn.IFNA(INDEX(SAM!$B$8:$HA$215,MATCH($AL80,SAM!$A$8:$A$215,0),MATCH(AP$48,SAM!$B$7:$HA$7,0)),0)</f>
        <v>0</v>
      </c>
      <c r="AQ80" s="18">
        <f>_xlfn.IFNA(INDEX(SAM!$B$8:$HA$215,MATCH($AL80,SAM!$A$8:$A$215,0),MATCH(AQ$48,SAM!$B$7:$HA$7,0)),0)</f>
        <v>0</v>
      </c>
      <c r="AR80" s="18">
        <f>_xlfn.IFNA(INDEX(SAM!$B$8:$HA$215,MATCH($AL80,SAM!$A$8:$A$215,0),MATCH(AR$48,SAM!$B$7:$HA$7,0)),0)</f>
        <v>0</v>
      </c>
      <c r="AS80" s="18">
        <f>_xlfn.IFNA(INDEX(SAM!$B$8:$HA$215,MATCH($AL80,SAM!$A$8:$A$215,0),MATCH(AS$48,SAM!$B$7:$HA$7,0)),0)</f>
        <v>0</v>
      </c>
      <c r="AT80" s="18">
        <f>_xlfn.IFNA(INDEX(SAM!$B$8:$HA$215,MATCH($AL80,SAM!$A$8:$A$215,0),MATCH(AT$48,SAM!$B$7:$HA$7,0)),0)</f>
        <v>0</v>
      </c>
      <c r="AU80" s="18">
        <f>_xlfn.IFNA(INDEX(SAM!$B$8:$HA$215,MATCH($AL80,SAM!$A$8:$A$215,0),MATCH(AU$48,SAM!$B$7:$HA$7,0)),0)</f>
        <v>0</v>
      </c>
      <c r="AV80" s="18">
        <f>_xlfn.IFNA(INDEX(SAM!$B$8:$HA$215,MATCH($AL80,SAM!$A$8:$A$215,0),MATCH(AV$48,SAM!$B$7:$HA$7,0)),0)</f>
        <v>0</v>
      </c>
      <c r="AW80" s="18">
        <f>_xlfn.IFNA(INDEX(SAM!$B$8:$HA$215,MATCH($AL80,SAM!$A$8:$A$215,0),MATCH(AW$48,SAM!$B$7:$HA$7,0)),0)</f>
        <v>0</v>
      </c>
      <c r="AX80" s="18">
        <f>_xlfn.IFNA(INDEX(SAM!$B$8:$HA$215,MATCH($AL80,SAM!$A$8:$A$215,0),MATCH(AX$48,SAM!$B$7:$HA$7,0)),0)</f>
        <v>0</v>
      </c>
      <c r="AY80" s="18">
        <f>_xlfn.IFNA(INDEX(SAM!$B$8:$HA$215,MATCH($AL80,SAM!$A$8:$A$215,0),MATCH(AY$48,SAM!$B$7:$HA$7,0)),0)</f>
        <v>0</v>
      </c>
      <c r="AZ80" s="18">
        <f>_xlfn.IFNA(INDEX(SAM!$B$8:$HA$215,MATCH($AL80,SAM!$A$8:$A$215,0),MATCH(AZ$48,SAM!$B$7:$HA$7,0)),0)</f>
        <v>0</v>
      </c>
      <c r="BA80" s="18">
        <f>_xlfn.IFNA(INDEX(SAM!$B$8:$HA$215,MATCH($AL80,SAM!$A$8:$A$215,0),MATCH(BA$48,SAM!$B$7:$HA$7,0)),0)</f>
        <v>0</v>
      </c>
      <c r="BB80" s="18"/>
      <c r="BC80" t="str">
        <f t="shared" si="155"/>
        <v>afert</v>
      </c>
      <c r="BD80" s="18">
        <f>_xlfn.IFNA(INDEX(SAM!$B$8:$HA$215,MATCH($BC80,SAM!$A$8:$A$215,0),MATCH(BD$48,SAM!$B$7:$HA$7,0)),0)</f>
        <v>0</v>
      </c>
      <c r="BE80" s="18">
        <f>_xlfn.IFNA(INDEX(SAM!$B$8:$HA$215,MATCH($BC80,SAM!$A$8:$A$215,0),MATCH(BE$48,SAM!$B$7:$HA$7,0)),0)</f>
        <v>0</v>
      </c>
      <c r="BF80" s="18">
        <f>_xlfn.IFNA(INDEX(SAM!$B$8:$HA$215,MATCH($BC80,SAM!$A$8:$A$215,0),MATCH(BF$48,SAM!$B$7:$HA$7,0)),0)</f>
        <v>0</v>
      </c>
      <c r="BG80" s="18">
        <f>_xlfn.IFNA(INDEX(SAM!$B$8:$HA$215,MATCH($BC80,SAM!$A$8:$A$215,0),MATCH(BG$48,SAM!$B$7:$HA$7,0)),0)</f>
        <v>0</v>
      </c>
      <c r="BH80" s="18">
        <f>_xlfn.IFNA(INDEX(SAM!$B$8:$HA$215,MATCH($BC80,SAM!$A$8:$A$215,0),MATCH(BH$48,SAM!$B$7:$HA$7,0)),0)</f>
        <v>0</v>
      </c>
      <c r="BI80" s="18">
        <f>_xlfn.IFNA(INDEX(SAM!$B$8:$HA$215,MATCH($BC80,SAM!$A$8:$A$215,0),MATCH(BI$48,SAM!$B$7:$HA$7,0)),0)</f>
        <v>0</v>
      </c>
      <c r="BJ80" s="18">
        <f>_xlfn.IFNA(INDEX(SAM!$B$8:$HA$215,MATCH($BC80,SAM!$A$8:$A$215,0),MATCH(BJ$48,SAM!$B$7:$HA$7,0)),0)</f>
        <v>0</v>
      </c>
      <c r="BK80" s="18">
        <f>_xlfn.IFNA(INDEX(SAM!$B$8:$HA$215,MATCH($BC80,SAM!$A$8:$A$215,0),MATCH(BK$48,SAM!$B$7:$HA$7,0)),0)</f>
        <v>0</v>
      </c>
      <c r="BL80" s="18">
        <f>_xlfn.IFNA(INDEX(SAM!$B$8:$HA$215,MATCH($BC80,SAM!$A$8:$A$215,0),MATCH(BL$48,SAM!$B$7:$HA$7,0)),0)</f>
        <v>0</v>
      </c>
      <c r="BM80" s="18">
        <f>_xlfn.IFNA(INDEX(SAM!$B$8:$HA$215,MATCH($BC80,SAM!$A$8:$A$215,0),MATCH(BM$48,SAM!$B$7:$HA$7,0)),0)</f>
        <v>0</v>
      </c>
      <c r="BN80" s="18">
        <f>_xlfn.IFNA(INDEX(SAM!$B$8:$HA$215,MATCH($BC80,SAM!$A$8:$A$215,0),MATCH(BN$48,SAM!$B$7:$HA$7,0)),0)</f>
        <v>0</v>
      </c>
      <c r="BO80" s="18">
        <f>_xlfn.IFNA(INDEX(SAM!$B$8:$HA$215,MATCH($BC80,SAM!$A$8:$A$215,0),MATCH(BO$48,SAM!$B$7:$HA$7,0)),0)</f>
        <v>0</v>
      </c>
      <c r="BP80" s="18">
        <f>_xlfn.IFNA(INDEX(SAM!$B$8:$HA$215,MATCH($BC80,SAM!$A$8:$A$215,0),MATCH(BP$48,SAM!$B$7:$HA$7,0)),0)</f>
        <v>0</v>
      </c>
      <c r="BQ80" s="18">
        <f>_xlfn.IFNA(INDEX(SAM!$B$8:$HA$215,MATCH($BC80,SAM!$A$8:$A$215,0),MATCH(BQ$48,SAM!$B$7:$HA$7,0)),0)</f>
        <v>0</v>
      </c>
      <c r="BR80" s="18">
        <f>_xlfn.IFNA(INDEX(SAM!$B$8:$HA$215,MATCH($BC80,SAM!$A$8:$A$215,0),MATCH(BR$48,SAM!$B$7:$HA$7,0)),0)</f>
        <v>0</v>
      </c>
      <c r="BT80" t="str">
        <f t="shared" si="109"/>
        <v>cfert</v>
      </c>
      <c r="BU80" s="7">
        <f t="shared" si="110"/>
        <v>0</v>
      </c>
      <c r="BW80" s="51" t="s">
        <v>196</v>
      </c>
      <c r="BX80" s="43">
        <f t="shared" si="116"/>
        <v>1.8213758530303259</v>
      </c>
    </row>
    <row r="81" spans="1:76" x14ac:dyDescent="0.35">
      <c r="A81" t="str">
        <f t="shared" si="136"/>
        <v>manufacturing</v>
      </c>
      <c r="B81" t="s">
        <v>39</v>
      </c>
      <c r="C81" s="18">
        <f t="shared" si="79"/>
        <v>2.671222457597072</v>
      </c>
      <c r="D81" s="18">
        <f t="shared" si="80"/>
        <v>2.4278542593492509</v>
      </c>
      <c r="E81" s="18">
        <f t="shared" si="81"/>
        <v>2.2784114685307437</v>
      </c>
      <c r="F81" s="18">
        <f t="shared" si="82"/>
        <v>2.0756181357069261</v>
      </c>
      <c r="G81" s="18">
        <f t="shared" si="83"/>
        <v>1.6737039190283363</v>
      </c>
      <c r="H81" s="18">
        <f t="shared" si="84"/>
        <v>2.8869058863820838</v>
      </c>
      <c r="I81" s="18">
        <f t="shared" si="85"/>
        <v>2.4247906885921373</v>
      </c>
      <c r="J81" s="18">
        <f t="shared" si="86"/>
        <v>2.3624372868708883</v>
      </c>
      <c r="K81" s="18">
        <f t="shared" si="87"/>
        <v>2.4522990463854502</v>
      </c>
      <c r="L81" s="18">
        <f t="shared" si="88"/>
        <v>1.7374019321711587</v>
      </c>
      <c r="M81" s="18">
        <f t="shared" si="89"/>
        <v>3.2747987641504155</v>
      </c>
      <c r="N81" s="18">
        <f t="shared" si="90"/>
        <v>3.3167147579089402</v>
      </c>
      <c r="O81" s="18">
        <f t="shared" si="91"/>
        <v>3.1562459104064131</v>
      </c>
      <c r="P81" s="18">
        <f t="shared" si="92"/>
        <v>2.5970945831252483</v>
      </c>
      <c r="Q81" s="18">
        <f t="shared" si="93"/>
        <v>1.4938699018633173</v>
      </c>
      <c r="R81" s="18">
        <f t="shared" si="94"/>
        <v>1.8835433739473768</v>
      </c>
      <c r="T81" t="str">
        <f t="shared" si="137"/>
        <v>chem</v>
      </c>
      <c r="U81" s="18">
        <f t="shared" si="138"/>
        <v>7.0099682124047664</v>
      </c>
      <c r="V81" s="18">
        <f t="shared" si="139"/>
        <v>9.0761263030555757</v>
      </c>
      <c r="W81" s="18">
        <f t="shared" si="140"/>
        <v>13.280895546947272</v>
      </c>
      <c r="X81" s="18">
        <f t="shared" si="141"/>
        <v>16.576822752667955</v>
      </c>
      <c r="Y81" s="18">
        <f t="shared" si="142"/>
        <v>23.929791937255125</v>
      </c>
      <c r="Z81" s="18">
        <f t="shared" si="143"/>
        <v>0.49887196588158883</v>
      </c>
      <c r="AA81" s="18">
        <f t="shared" si="144"/>
        <v>0.54082841647124646</v>
      </c>
      <c r="AB81" s="18">
        <f t="shared" si="145"/>
        <v>0.64913269955454489</v>
      </c>
      <c r="AC81" s="18">
        <f t="shared" si="146"/>
        <v>1.3295845743937296</v>
      </c>
      <c r="AD81" s="18">
        <f t="shared" si="147"/>
        <v>3.8207363829079855</v>
      </c>
      <c r="AE81" s="18">
        <f t="shared" si="148"/>
        <v>0.39098044898037954</v>
      </c>
      <c r="AF81" s="18">
        <f t="shared" si="149"/>
        <v>1.2076606945231616</v>
      </c>
      <c r="AG81" s="18">
        <f t="shared" si="150"/>
        <v>3.2536540403404679</v>
      </c>
      <c r="AH81" s="18">
        <f t="shared" si="151"/>
        <v>6.4706063170148127</v>
      </c>
      <c r="AI81" s="18">
        <f t="shared" si="152"/>
        <v>34.992713282534915</v>
      </c>
      <c r="AJ81" s="18">
        <f t="shared" si="153"/>
        <v>123.02837357493351</v>
      </c>
      <c r="AL81" t="str">
        <f t="shared" si="154"/>
        <v>cchem</v>
      </c>
      <c r="AM81" s="18">
        <f>_xlfn.IFNA(INDEX(SAM!$B$8:$HA$215,MATCH($AL81,SAM!$A$8:$A$215,0),MATCH(AM$48,SAM!$B$7:$HA$7,0)),0)</f>
        <v>7.0099682124047664</v>
      </c>
      <c r="AN81" s="18">
        <f>_xlfn.IFNA(INDEX(SAM!$B$8:$HA$215,MATCH($AL81,SAM!$A$8:$A$215,0),MATCH(AN$48,SAM!$B$7:$HA$7,0)),0)</f>
        <v>9.0761263030555757</v>
      </c>
      <c r="AO81" s="18">
        <f>_xlfn.IFNA(INDEX(SAM!$B$8:$HA$215,MATCH($AL81,SAM!$A$8:$A$215,0),MATCH(AO$48,SAM!$B$7:$HA$7,0)),0)</f>
        <v>13.280895546947272</v>
      </c>
      <c r="AP81" s="18">
        <f>_xlfn.IFNA(INDEX(SAM!$B$8:$HA$215,MATCH($AL81,SAM!$A$8:$A$215,0),MATCH(AP$48,SAM!$B$7:$HA$7,0)),0)</f>
        <v>16.576822752667955</v>
      </c>
      <c r="AQ81" s="18">
        <f>_xlfn.IFNA(INDEX(SAM!$B$8:$HA$215,MATCH($AL81,SAM!$A$8:$A$215,0),MATCH(AQ$48,SAM!$B$7:$HA$7,0)),0)</f>
        <v>23.929791937255125</v>
      </c>
      <c r="AR81" s="18">
        <f>_xlfn.IFNA(INDEX(SAM!$B$8:$HA$215,MATCH($AL81,SAM!$A$8:$A$215,0),MATCH(AR$48,SAM!$B$7:$HA$7,0)),0)</f>
        <v>0.49887196588158883</v>
      </c>
      <c r="AS81" s="18">
        <f>_xlfn.IFNA(INDEX(SAM!$B$8:$HA$215,MATCH($AL81,SAM!$A$8:$A$215,0),MATCH(AS$48,SAM!$B$7:$HA$7,0)),0)</f>
        <v>0.54082841647124646</v>
      </c>
      <c r="AT81" s="18">
        <f>_xlfn.IFNA(INDEX(SAM!$B$8:$HA$215,MATCH($AL81,SAM!$A$8:$A$215,0),MATCH(AT$48,SAM!$B$7:$HA$7,0)),0)</f>
        <v>0.64913269955454489</v>
      </c>
      <c r="AU81" s="18">
        <f>_xlfn.IFNA(INDEX(SAM!$B$8:$HA$215,MATCH($AL81,SAM!$A$8:$A$215,0),MATCH(AU$48,SAM!$B$7:$HA$7,0)),0)</f>
        <v>1.3295845743937296</v>
      </c>
      <c r="AV81" s="18">
        <f>_xlfn.IFNA(INDEX(SAM!$B$8:$HA$215,MATCH($AL81,SAM!$A$8:$A$215,0),MATCH(AV$48,SAM!$B$7:$HA$7,0)),0)</f>
        <v>3.8207363829079855</v>
      </c>
      <c r="AW81" s="18">
        <f>_xlfn.IFNA(INDEX(SAM!$B$8:$HA$215,MATCH($AL81,SAM!$A$8:$A$215,0),MATCH(AW$48,SAM!$B$7:$HA$7,0)),0)</f>
        <v>0.39098044898037954</v>
      </c>
      <c r="AX81" s="18">
        <f>_xlfn.IFNA(INDEX(SAM!$B$8:$HA$215,MATCH($AL81,SAM!$A$8:$A$215,0),MATCH(AX$48,SAM!$B$7:$HA$7,0)),0)</f>
        <v>1.2076606945231616</v>
      </c>
      <c r="AY81" s="18">
        <f>_xlfn.IFNA(INDEX(SAM!$B$8:$HA$215,MATCH($AL81,SAM!$A$8:$A$215,0),MATCH(AY$48,SAM!$B$7:$HA$7,0)),0)</f>
        <v>3.2536540403404679</v>
      </c>
      <c r="AZ81" s="18">
        <f>_xlfn.IFNA(INDEX(SAM!$B$8:$HA$215,MATCH($AL81,SAM!$A$8:$A$215,0),MATCH(AZ$48,SAM!$B$7:$HA$7,0)),0)</f>
        <v>6.4706063170148127</v>
      </c>
      <c r="BA81" s="18">
        <f>_xlfn.IFNA(INDEX(SAM!$B$8:$HA$215,MATCH($AL81,SAM!$A$8:$A$215,0),MATCH(BA$48,SAM!$B$7:$HA$7,0)),0)</f>
        <v>34.992713282534915</v>
      </c>
      <c r="BB81" s="18"/>
      <c r="BC81" t="str">
        <f t="shared" si="155"/>
        <v>achem</v>
      </c>
      <c r="BD81" s="18">
        <f>_xlfn.IFNA(INDEX(SAM!$B$8:$HA$215,MATCH($BC81,SAM!$A$8:$A$215,0),MATCH(BD$48,SAM!$B$7:$HA$7,0)),0)</f>
        <v>0</v>
      </c>
      <c r="BE81" s="18">
        <f>_xlfn.IFNA(INDEX(SAM!$B$8:$HA$215,MATCH($BC81,SAM!$A$8:$A$215,0),MATCH(BE$48,SAM!$B$7:$HA$7,0)),0)</f>
        <v>0</v>
      </c>
      <c r="BF81" s="18">
        <f>_xlfn.IFNA(INDEX(SAM!$B$8:$HA$215,MATCH($BC81,SAM!$A$8:$A$215,0),MATCH(BF$48,SAM!$B$7:$HA$7,0)),0)</f>
        <v>0</v>
      </c>
      <c r="BG81" s="18">
        <f>_xlfn.IFNA(INDEX(SAM!$B$8:$HA$215,MATCH($BC81,SAM!$A$8:$A$215,0),MATCH(BG$48,SAM!$B$7:$HA$7,0)),0)</f>
        <v>0</v>
      </c>
      <c r="BH81" s="18">
        <f>_xlfn.IFNA(INDEX(SAM!$B$8:$HA$215,MATCH($BC81,SAM!$A$8:$A$215,0),MATCH(BH$48,SAM!$B$7:$HA$7,0)),0)</f>
        <v>0</v>
      </c>
      <c r="BI81" s="18">
        <f>_xlfn.IFNA(INDEX(SAM!$B$8:$HA$215,MATCH($BC81,SAM!$A$8:$A$215,0),MATCH(BI$48,SAM!$B$7:$HA$7,0)),0)</f>
        <v>0</v>
      </c>
      <c r="BJ81" s="18">
        <f>_xlfn.IFNA(INDEX(SAM!$B$8:$HA$215,MATCH($BC81,SAM!$A$8:$A$215,0),MATCH(BJ$48,SAM!$B$7:$HA$7,0)),0)</f>
        <v>0</v>
      </c>
      <c r="BK81" s="18">
        <f>_xlfn.IFNA(INDEX(SAM!$B$8:$HA$215,MATCH($BC81,SAM!$A$8:$A$215,0),MATCH(BK$48,SAM!$B$7:$HA$7,0)),0)</f>
        <v>0</v>
      </c>
      <c r="BL81" s="18">
        <f>_xlfn.IFNA(INDEX(SAM!$B$8:$HA$215,MATCH($BC81,SAM!$A$8:$A$215,0),MATCH(BL$48,SAM!$B$7:$HA$7,0)),0)</f>
        <v>0</v>
      </c>
      <c r="BM81" s="18">
        <f>_xlfn.IFNA(INDEX(SAM!$B$8:$HA$215,MATCH($BC81,SAM!$A$8:$A$215,0),MATCH(BM$48,SAM!$B$7:$HA$7,0)),0)</f>
        <v>0</v>
      </c>
      <c r="BN81" s="18">
        <f>_xlfn.IFNA(INDEX(SAM!$B$8:$HA$215,MATCH($BC81,SAM!$A$8:$A$215,0),MATCH(BN$48,SAM!$B$7:$HA$7,0)),0)</f>
        <v>0</v>
      </c>
      <c r="BO81" s="18">
        <f>_xlfn.IFNA(INDEX(SAM!$B$8:$HA$215,MATCH($BC81,SAM!$A$8:$A$215,0),MATCH(BO$48,SAM!$B$7:$HA$7,0)),0)</f>
        <v>0</v>
      </c>
      <c r="BP81" s="18">
        <f>_xlfn.IFNA(INDEX(SAM!$B$8:$HA$215,MATCH($BC81,SAM!$A$8:$A$215,0),MATCH(BP$48,SAM!$B$7:$HA$7,0)),0)</f>
        <v>0</v>
      </c>
      <c r="BQ81" s="18">
        <f>_xlfn.IFNA(INDEX(SAM!$B$8:$HA$215,MATCH($BC81,SAM!$A$8:$A$215,0),MATCH(BQ$48,SAM!$B$7:$HA$7,0)),0)</f>
        <v>0</v>
      </c>
      <c r="BR81" s="18">
        <f>_xlfn.IFNA(INDEX(SAM!$B$8:$HA$215,MATCH($BC81,SAM!$A$8:$A$215,0),MATCH(BR$48,SAM!$B$7:$HA$7,0)),0)</f>
        <v>0</v>
      </c>
      <c r="BT81" t="str">
        <f t="shared" si="109"/>
        <v>cchem</v>
      </c>
      <c r="BU81" s="7">
        <f t="shared" si="110"/>
        <v>123.02837357493351</v>
      </c>
      <c r="BW81" s="51" t="s">
        <v>197</v>
      </c>
      <c r="BX81" s="43">
        <f t="shared" si="116"/>
        <v>0.95305759000178403</v>
      </c>
    </row>
    <row r="82" spans="1:76" x14ac:dyDescent="0.35">
      <c r="A82" t="str">
        <f t="shared" si="136"/>
        <v>manufacturing</v>
      </c>
      <c r="B82" t="s">
        <v>40</v>
      </c>
      <c r="C82" s="18">
        <f t="shared" si="79"/>
        <v>7.453187413449093E-2</v>
      </c>
      <c r="D82" s="18">
        <f t="shared" si="80"/>
        <v>0.10373859607110625</v>
      </c>
      <c r="E82" s="18">
        <f t="shared" si="81"/>
        <v>0.11870880064146587</v>
      </c>
      <c r="F82" s="18">
        <f t="shared" si="82"/>
        <v>0.23232880415606827</v>
      </c>
      <c r="G82" s="18">
        <f t="shared" si="83"/>
        <v>0.5000241444606407</v>
      </c>
      <c r="H82" s="18">
        <f t="shared" si="84"/>
        <v>7.1290470900630565E-2</v>
      </c>
      <c r="I82" s="18">
        <f t="shared" si="85"/>
        <v>5.4009418749227808E-2</v>
      </c>
      <c r="J82" s="18">
        <f t="shared" si="86"/>
        <v>0.13772059325752287</v>
      </c>
      <c r="K82" s="18">
        <f t="shared" si="87"/>
        <v>0.2225741941203174</v>
      </c>
      <c r="L82" s="18">
        <f t="shared" si="88"/>
        <v>0.30454587977460068</v>
      </c>
      <c r="M82" s="18">
        <f t="shared" si="89"/>
        <v>0.11783565817963355</v>
      </c>
      <c r="N82" s="18">
        <f t="shared" si="90"/>
        <v>8.8404297547673774E-2</v>
      </c>
      <c r="O82" s="18">
        <f t="shared" si="91"/>
        <v>0.280366558253767</v>
      </c>
      <c r="P82" s="18">
        <f t="shared" si="92"/>
        <v>0.29154593050453209</v>
      </c>
      <c r="Q82" s="18">
        <f t="shared" si="93"/>
        <v>0.57803629637331955</v>
      </c>
      <c r="R82" s="18">
        <f t="shared" si="94"/>
        <v>0.3939869078496388</v>
      </c>
      <c r="T82" t="str">
        <f t="shared" si="137"/>
        <v>nmet</v>
      </c>
      <c r="U82" s="18">
        <f t="shared" si="138"/>
        <v>0.19559062443781811</v>
      </c>
      <c r="V82" s="18">
        <f t="shared" si="139"/>
        <v>0.38780935750871298</v>
      </c>
      <c r="W82" s="18">
        <f t="shared" si="140"/>
        <v>0.69195542754152095</v>
      </c>
      <c r="X82" s="18">
        <f t="shared" si="141"/>
        <v>1.8554826345852677</v>
      </c>
      <c r="Y82" s="18">
        <f t="shared" si="142"/>
        <v>7.1490982392475084</v>
      </c>
      <c r="Z82" s="18">
        <f t="shared" si="143"/>
        <v>1.2319354619277932E-2</v>
      </c>
      <c r="AA82" s="18">
        <f t="shared" si="144"/>
        <v>1.2046329835437016E-2</v>
      </c>
      <c r="AB82" s="18">
        <f t="shared" si="145"/>
        <v>3.7841825889871804E-2</v>
      </c>
      <c r="AC82" s="18">
        <f t="shared" si="146"/>
        <v>0.12067501131098811</v>
      </c>
      <c r="AD82" s="18">
        <f t="shared" si="147"/>
        <v>0.66972961268982178</v>
      </c>
      <c r="AE82" s="18">
        <f t="shared" si="148"/>
        <v>1.4068479274305584E-2</v>
      </c>
      <c r="AF82" s="18">
        <f t="shared" si="149"/>
        <v>3.2189200208029192E-2</v>
      </c>
      <c r="AG82" s="18">
        <f t="shared" si="150"/>
        <v>0.28901923707245575</v>
      </c>
      <c r="AH82" s="18">
        <f t="shared" si="151"/>
        <v>0.72638052995069102</v>
      </c>
      <c r="AI82" s="18">
        <f t="shared" si="152"/>
        <v>13.540040107013708</v>
      </c>
      <c r="AJ82" s="18">
        <f t="shared" si="153"/>
        <v>25.734245971185413</v>
      </c>
      <c r="AL82" t="str">
        <f t="shared" si="154"/>
        <v>cnmet</v>
      </c>
      <c r="AM82" s="18">
        <f>_xlfn.IFNA(INDEX(SAM!$B$8:$HA$215,MATCH($AL82,SAM!$A$8:$A$215,0),MATCH(AM$48,SAM!$B$7:$HA$7,0)),0)</f>
        <v>0.19559062443781811</v>
      </c>
      <c r="AN82" s="18">
        <f>_xlfn.IFNA(INDEX(SAM!$B$8:$HA$215,MATCH($AL82,SAM!$A$8:$A$215,0),MATCH(AN$48,SAM!$B$7:$HA$7,0)),0)</f>
        <v>0.38780935750871298</v>
      </c>
      <c r="AO82" s="18">
        <f>_xlfn.IFNA(INDEX(SAM!$B$8:$HA$215,MATCH($AL82,SAM!$A$8:$A$215,0),MATCH(AO$48,SAM!$B$7:$HA$7,0)),0)</f>
        <v>0.69195542754152095</v>
      </c>
      <c r="AP82" s="18">
        <f>_xlfn.IFNA(INDEX(SAM!$B$8:$HA$215,MATCH($AL82,SAM!$A$8:$A$215,0),MATCH(AP$48,SAM!$B$7:$HA$7,0)),0)</f>
        <v>1.8554826345852677</v>
      </c>
      <c r="AQ82" s="18">
        <f>_xlfn.IFNA(INDEX(SAM!$B$8:$HA$215,MATCH($AL82,SAM!$A$8:$A$215,0),MATCH(AQ$48,SAM!$B$7:$HA$7,0)),0)</f>
        <v>7.1490982392475084</v>
      </c>
      <c r="AR82" s="18">
        <f>_xlfn.IFNA(INDEX(SAM!$B$8:$HA$215,MATCH($AL82,SAM!$A$8:$A$215,0),MATCH(AR$48,SAM!$B$7:$HA$7,0)),0)</f>
        <v>1.2319354619277932E-2</v>
      </c>
      <c r="AS82" s="18">
        <f>_xlfn.IFNA(INDEX(SAM!$B$8:$HA$215,MATCH($AL82,SAM!$A$8:$A$215,0),MATCH(AS$48,SAM!$B$7:$HA$7,0)),0)</f>
        <v>1.2046329835437016E-2</v>
      </c>
      <c r="AT82" s="18">
        <f>_xlfn.IFNA(INDEX(SAM!$B$8:$HA$215,MATCH($AL82,SAM!$A$8:$A$215,0),MATCH(AT$48,SAM!$B$7:$HA$7,0)),0)</f>
        <v>3.7841825889871804E-2</v>
      </c>
      <c r="AU82" s="18">
        <f>_xlfn.IFNA(INDEX(SAM!$B$8:$HA$215,MATCH($AL82,SAM!$A$8:$A$215,0),MATCH(AU$48,SAM!$B$7:$HA$7,0)),0)</f>
        <v>0.12067501131098811</v>
      </c>
      <c r="AV82" s="18">
        <f>_xlfn.IFNA(INDEX(SAM!$B$8:$HA$215,MATCH($AL82,SAM!$A$8:$A$215,0),MATCH(AV$48,SAM!$B$7:$HA$7,0)),0)</f>
        <v>0.66972961268982178</v>
      </c>
      <c r="AW82" s="18">
        <f>_xlfn.IFNA(INDEX(SAM!$B$8:$HA$215,MATCH($AL82,SAM!$A$8:$A$215,0),MATCH(AW$48,SAM!$B$7:$HA$7,0)),0)</f>
        <v>1.4068479274305584E-2</v>
      </c>
      <c r="AX82" s="18">
        <f>_xlfn.IFNA(INDEX(SAM!$B$8:$HA$215,MATCH($AL82,SAM!$A$8:$A$215,0),MATCH(AX$48,SAM!$B$7:$HA$7,0)),0)</f>
        <v>3.2189200208029192E-2</v>
      </c>
      <c r="AY82" s="18">
        <f>_xlfn.IFNA(INDEX(SAM!$B$8:$HA$215,MATCH($AL82,SAM!$A$8:$A$215,0),MATCH(AY$48,SAM!$B$7:$HA$7,0)),0)</f>
        <v>0.28901923707245575</v>
      </c>
      <c r="AZ82" s="18">
        <f>_xlfn.IFNA(INDEX(SAM!$B$8:$HA$215,MATCH($AL82,SAM!$A$8:$A$215,0),MATCH(AZ$48,SAM!$B$7:$HA$7,0)),0)</f>
        <v>0.72638052995069102</v>
      </c>
      <c r="BA82" s="18">
        <f>_xlfn.IFNA(INDEX(SAM!$B$8:$HA$215,MATCH($AL82,SAM!$A$8:$A$215,0),MATCH(BA$48,SAM!$B$7:$HA$7,0)),0)</f>
        <v>13.540040107013708</v>
      </c>
      <c r="BB82" s="18"/>
      <c r="BC82" t="str">
        <f t="shared" si="155"/>
        <v>anmet</v>
      </c>
      <c r="BD82" s="18">
        <f>_xlfn.IFNA(INDEX(SAM!$B$8:$HA$215,MATCH($BC82,SAM!$A$8:$A$215,0),MATCH(BD$48,SAM!$B$7:$HA$7,0)),0)</f>
        <v>0</v>
      </c>
      <c r="BE82" s="18">
        <f>_xlfn.IFNA(INDEX(SAM!$B$8:$HA$215,MATCH($BC82,SAM!$A$8:$A$215,0),MATCH(BE$48,SAM!$B$7:$HA$7,0)),0)</f>
        <v>0</v>
      </c>
      <c r="BF82" s="18">
        <f>_xlfn.IFNA(INDEX(SAM!$B$8:$HA$215,MATCH($BC82,SAM!$A$8:$A$215,0),MATCH(BF$48,SAM!$B$7:$HA$7,0)),0)</f>
        <v>0</v>
      </c>
      <c r="BG82" s="18">
        <f>_xlfn.IFNA(INDEX(SAM!$B$8:$HA$215,MATCH($BC82,SAM!$A$8:$A$215,0),MATCH(BG$48,SAM!$B$7:$HA$7,0)),0)</f>
        <v>0</v>
      </c>
      <c r="BH82" s="18">
        <f>_xlfn.IFNA(INDEX(SAM!$B$8:$HA$215,MATCH($BC82,SAM!$A$8:$A$215,0),MATCH(BH$48,SAM!$B$7:$HA$7,0)),0)</f>
        <v>0</v>
      </c>
      <c r="BI82" s="18">
        <f>_xlfn.IFNA(INDEX(SAM!$B$8:$HA$215,MATCH($BC82,SAM!$A$8:$A$215,0),MATCH(BI$48,SAM!$B$7:$HA$7,0)),0)</f>
        <v>0</v>
      </c>
      <c r="BJ82" s="18">
        <f>_xlfn.IFNA(INDEX(SAM!$B$8:$HA$215,MATCH($BC82,SAM!$A$8:$A$215,0),MATCH(BJ$48,SAM!$B$7:$HA$7,0)),0)</f>
        <v>0</v>
      </c>
      <c r="BK82" s="18">
        <f>_xlfn.IFNA(INDEX(SAM!$B$8:$HA$215,MATCH($BC82,SAM!$A$8:$A$215,0),MATCH(BK$48,SAM!$B$7:$HA$7,0)),0)</f>
        <v>0</v>
      </c>
      <c r="BL82" s="18">
        <f>_xlfn.IFNA(INDEX(SAM!$B$8:$HA$215,MATCH($BC82,SAM!$A$8:$A$215,0),MATCH(BL$48,SAM!$B$7:$HA$7,0)),0)</f>
        <v>0</v>
      </c>
      <c r="BM82" s="18">
        <f>_xlfn.IFNA(INDEX(SAM!$B$8:$HA$215,MATCH($BC82,SAM!$A$8:$A$215,0),MATCH(BM$48,SAM!$B$7:$HA$7,0)),0)</f>
        <v>0</v>
      </c>
      <c r="BN82" s="18">
        <f>_xlfn.IFNA(INDEX(SAM!$B$8:$HA$215,MATCH($BC82,SAM!$A$8:$A$215,0),MATCH(BN$48,SAM!$B$7:$HA$7,0)),0)</f>
        <v>0</v>
      </c>
      <c r="BO82" s="18">
        <f>_xlfn.IFNA(INDEX(SAM!$B$8:$HA$215,MATCH($BC82,SAM!$A$8:$A$215,0),MATCH(BO$48,SAM!$B$7:$HA$7,0)),0)</f>
        <v>0</v>
      </c>
      <c r="BP82" s="18">
        <f>_xlfn.IFNA(INDEX(SAM!$B$8:$HA$215,MATCH($BC82,SAM!$A$8:$A$215,0),MATCH(BP$48,SAM!$B$7:$HA$7,0)),0)</f>
        <v>0</v>
      </c>
      <c r="BQ82" s="18">
        <f>_xlfn.IFNA(INDEX(SAM!$B$8:$HA$215,MATCH($BC82,SAM!$A$8:$A$215,0),MATCH(BQ$48,SAM!$B$7:$HA$7,0)),0)</f>
        <v>0</v>
      </c>
      <c r="BR82" s="18">
        <f>_xlfn.IFNA(INDEX(SAM!$B$8:$HA$215,MATCH($BC82,SAM!$A$8:$A$215,0),MATCH(BR$48,SAM!$B$7:$HA$7,0)),0)</f>
        <v>0</v>
      </c>
      <c r="BT82" t="str">
        <f t="shared" si="109"/>
        <v>cnmet</v>
      </c>
      <c r="BU82" s="7">
        <f t="shared" si="110"/>
        <v>25.734245971185413</v>
      </c>
      <c r="BW82" s="51" t="s">
        <v>198</v>
      </c>
      <c r="BX82" s="43">
        <f t="shared" si="116"/>
        <v>0</v>
      </c>
    </row>
    <row r="83" spans="1:76" x14ac:dyDescent="0.35">
      <c r="A83" t="str">
        <f t="shared" si="136"/>
        <v>manufacturing</v>
      </c>
      <c r="B83" t="s">
        <v>41</v>
      </c>
      <c r="C83" s="18">
        <f t="shared" si="79"/>
        <v>7.8899525458649478E-2</v>
      </c>
      <c r="D83" s="18">
        <f t="shared" si="80"/>
        <v>8.5244412638344702E-2</v>
      </c>
      <c r="E83" s="18">
        <f t="shared" si="81"/>
        <v>9.4000029978166491E-2</v>
      </c>
      <c r="F83" s="18">
        <f t="shared" si="82"/>
        <v>0.10310479311535457</v>
      </c>
      <c r="G83" s="18">
        <f t="shared" si="83"/>
        <v>0.10565578744875383</v>
      </c>
      <c r="H83" s="18">
        <f t="shared" si="84"/>
        <v>9.1868185949236181E-2</v>
      </c>
      <c r="I83" s="18">
        <f t="shared" si="85"/>
        <v>6.7874470097722739E-2</v>
      </c>
      <c r="J83" s="18">
        <f t="shared" si="86"/>
        <v>7.4182275007396728E-2</v>
      </c>
      <c r="K83" s="18">
        <f t="shared" si="87"/>
        <v>9.0699399611907511E-2</v>
      </c>
      <c r="L83" s="18">
        <f t="shared" si="88"/>
        <v>0.30079910525443554</v>
      </c>
      <c r="M83" s="18">
        <f t="shared" si="89"/>
        <v>0.12969982241574127</v>
      </c>
      <c r="N83" s="18">
        <f t="shared" si="90"/>
        <v>2.6401349612897775E-2</v>
      </c>
      <c r="O83" s="18">
        <f t="shared" si="91"/>
        <v>4.5455936819639518E-2</v>
      </c>
      <c r="P83" s="18">
        <f t="shared" si="92"/>
        <v>4.1339203219828577E-2</v>
      </c>
      <c r="Q83" s="18">
        <f t="shared" si="93"/>
        <v>0.13417383255195597</v>
      </c>
      <c r="R83" s="18">
        <f t="shared" si="94"/>
        <v>0.11463446077444379</v>
      </c>
      <c r="T83" t="str">
        <f t="shared" si="137"/>
        <v>metl</v>
      </c>
      <c r="U83" s="18">
        <f t="shared" si="138"/>
        <v>0.20705245415482376</v>
      </c>
      <c r="V83" s="18">
        <f t="shared" si="139"/>
        <v>0.31867195189170006</v>
      </c>
      <c r="W83" s="18">
        <f t="shared" si="140"/>
        <v>0.54792762272873718</v>
      </c>
      <c r="X83" s="18">
        <f t="shared" si="141"/>
        <v>0.82344138886684937</v>
      </c>
      <c r="Y83" s="18">
        <f t="shared" si="142"/>
        <v>1.5106142620992009</v>
      </c>
      <c r="Z83" s="18">
        <f t="shared" si="143"/>
        <v>1.587528805239518E-2</v>
      </c>
      <c r="AA83" s="18">
        <f t="shared" si="144"/>
        <v>1.513880862149373E-2</v>
      </c>
      <c r="AB83" s="18">
        <f t="shared" si="145"/>
        <v>2.0383246024037547E-2</v>
      </c>
      <c r="AC83" s="18">
        <f t="shared" si="146"/>
        <v>4.9175292388793847E-2</v>
      </c>
      <c r="AD83" s="18">
        <f t="shared" si="147"/>
        <v>0.66149004678243373</v>
      </c>
      <c r="AE83" s="18">
        <f t="shared" si="148"/>
        <v>1.5484949901627861E-2</v>
      </c>
      <c r="AF83" s="18">
        <f t="shared" si="149"/>
        <v>9.6130884134161959E-3</v>
      </c>
      <c r="AG83" s="18">
        <f t="shared" si="150"/>
        <v>4.6858798930415765E-2</v>
      </c>
      <c r="AH83" s="18">
        <f t="shared" si="151"/>
        <v>0.10299575195782611</v>
      </c>
      <c r="AI83" s="18">
        <f t="shared" si="152"/>
        <v>3.1429152208322808</v>
      </c>
      <c r="AJ83" s="18">
        <f t="shared" si="153"/>
        <v>7.4876381716460312</v>
      </c>
      <c r="AL83" t="str">
        <f t="shared" si="154"/>
        <v>cmetl</v>
      </c>
      <c r="AM83" s="18">
        <f>_xlfn.IFNA(INDEX(SAM!$B$8:$HA$215,MATCH($AL83,SAM!$A$8:$A$215,0),MATCH(AM$48,SAM!$B$7:$HA$7,0)),0)</f>
        <v>0.20705245415482376</v>
      </c>
      <c r="AN83" s="18">
        <f>_xlfn.IFNA(INDEX(SAM!$B$8:$HA$215,MATCH($AL83,SAM!$A$8:$A$215,0),MATCH(AN$48,SAM!$B$7:$HA$7,0)),0)</f>
        <v>0.31867195189170006</v>
      </c>
      <c r="AO83" s="18">
        <f>_xlfn.IFNA(INDEX(SAM!$B$8:$HA$215,MATCH($AL83,SAM!$A$8:$A$215,0),MATCH(AO$48,SAM!$B$7:$HA$7,0)),0)</f>
        <v>0.54792762272873718</v>
      </c>
      <c r="AP83" s="18">
        <f>_xlfn.IFNA(INDEX(SAM!$B$8:$HA$215,MATCH($AL83,SAM!$A$8:$A$215,0),MATCH(AP$48,SAM!$B$7:$HA$7,0)),0)</f>
        <v>0.82344138886684937</v>
      </c>
      <c r="AQ83" s="18">
        <f>_xlfn.IFNA(INDEX(SAM!$B$8:$HA$215,MATCH($AL83,SAM!$A$8:$A$215,0),MATCH(AQ$48,SAM!$B$7:$HA$7,0)),0)</f>
        <v>1.5106142620992009</v>
      </c>
      <c r="AR83" s="18">
        <f>_xlfn.IFNA(INDEX(SAM!$B$8:$HA$215,MATCH($AL83,SAM!$A$8:$A$215,0),MATCH(AR$48,SAM!$B$7:$HA$7,0)),0)</f>
        <v>1.587528805239518E-2</v>
      </c>
      <c r="AS83" s="18">
        <f>_xlfn.IFNA(INDEX(SAM!$B$8:$HA$215,MATCH($AL83,SAM!$A$8:$A$215,0),MATCH(AS$48,SAM!$B$7:$HA$7,0)),0)</f>
        <v>1.513880862149373E-2</v>
      </c>
      <c r="AT83" s="18">
        <f>_xlfn.IFNA(INDEX(SAM!$B$8:$HA$215,MATCH($AL83,SAM!$A$8:$A$215,0),MATCH(AT$48,SAM!$B$7:$HA$7,0)),0)</f>
        <v>2.0383246024037547E-2</v>
      </c>
      <c r="AU83" s="18">
        <f>_xlfn.IFNA(INDEX(SAM!$B$8:$HA$215,MATCH($AL83,SAM!$A$8:$A$215,0),MATCH(AU$48,SAM!$B$7:$HA$7,0)),0)</f>
        <v>4.9175292388793847E-2</v>
      </c>
      <c r="AV83" s="18">
        <f>_xlfn.IFNA(INDEX(SAM!$B$8:$HA$215,MATCH($AL83,SAM!$A$8:$A$215,0),MATCH(AV$48,SAM!$B$7:$HA$7,0)),0)</f>
        <v>0.66149004678243373</v>
      </c>
      <c r="AW83" s="18">
        <f>_xlfn.IFNA(INDEX(SAM!$B$8:$HA$215,MATCH($AL83,SAM!$A$8:$A$215,0),MATCH(AW$48,SAM!$B$7:$HA$7,0)),0)</f>
        <v>1.5484949901627861E-2</v>
      </c>
      <c r="AX83" s="18">
        <f>_xlfn.IFNA(INDEX(SAM!$B$8:$HA$215,MATCH($AL83,SAM!$A$8:$A$215,0),MATCH(AX$48,SAM!$B$7:$HA$7,0)),0)</f>
        <v>9.6130884134161959E-3</v>
      </c>
      <c r="AY83" s="18">
        <f>_xlfn.IFNA(INDEX(SAM!$B$8:$HA$215,MATCH($AL83,SAM!$A$8:$A$215,0),MATCH(AY$48,SAM!$B$7:$HA$7,0)),0)</f>
        <v>4.6858798930415765E-2</v>
      </c>
      <c r="AZ83" s="18">
        <f>_xlfn.IFNA(INDEX(SAM!$B$8:$HA$215,MATCH($AL83,SAM!$A$8:$A$215,0),MATCH(AZ$48,SAM!$B$7:$HA$7,0)),0)</f>
        <v>0.10299575195782611</v>
      </c>
      <c r="BA83" s="18">
        <f>_xlfn.IFNA(INDEX(SAM!$B$8:$HA$215,MATCH($AL83,SAM!$A$8:$A$215,0),MATCH(BA$48,SAM!$B$7:$HA$7,0)),0)</f>
        <v>3.1429152208322808</v>
      </c>
      <c r="BB83" s="18"/>
      <c r="BC83" t="str">
        <f t="shared" si="155"/>
        <v>ametl</v>
      </c>
      <c r="BD83" s="18">
        <f>_xlfn.IFNA(INDEX(SAM!$B$8:$HA$215,MATCH($BC83,SAM!$A$8:$A$215,0),MATCH(BD$48,SAM!$B$7:$HA$7,0)),0)</f>
        <v>0</v>
      </c>
      <c r="BE83" s="18">
        <f>_xlfn.IFNA(INDEX(SAM!$B$8:$HA$215,MATCH($BC83,SAM!$A$8:$A$215,0),MATCH(BE$48,SAM!$B$7:$HA$7,0)),0)</f>
        <v>0</v>
      </c>
      <c r="BF83" s="18">
        <f>_xlfn.IFNA(INDEX(SAM!$B$8:$HA$215,MATCH($BC83,SAM!$A$8:$A$215,0),MATCH(BF$48,SAM!$B$7:$HA$7,0)),0)</f>
        <v>0</v>
      </c>
      <c r="BG83" s="18">
        <f>_xlfn.IFNA(INDEX(SAM!$B$8:$HA$215,MATCH($BC83,SAM!$A$8:$A$215,0),MATCH(BG$48,SAM!$B$7:$HA$7,0)),0)</f>
        <v>0</v>
      </c>
      <c r="BH83" s="18">
        <f>_xlfn.IFNA(INDEX(SAM!$B$8:$HA$215,MATCH($BC83,SAM!$A$8:$A$215,0),MATCH(BH$48,SAM!$B$7:$HA$7,0)),0)</f>
        <v>0</v>
      </c>
      <c r="BI83" s="18">
        <f>_xlfn.IFNA(INDEX(SAM!$B$8:$HA$215,MATCH($BC83,SAM!$A$8:$A$215,0),MATCH(BI$48,SAM!$B$7:$HA$7,0)),0)</f>
        <v>0</v>
      </c>
      <c r="BJ83" s="18">
        <f>_xlfn.IFNA(INDEX(SAM!$B$8:$HA$215,MATCH($BC83,SAM!$A$8:$A$215,0),MATCH(BJ$48,SAM!$B$7:$HA$7,0)),0)</f>
        <v>0</v>
      </c>
      <c r="BK83" s="18">
        <f>_xlfn.IFNA(INDEX(SAM!$B$8:$HA$215,MATCH($BC83,SAM!$A$8:$A$215,0),MATCH(BK$48,SAM!$B$7:$HA$7,0)),0)</f>
        <v>0</v>
      </c>
      <c r="BL83" s="18">
        <f>_xlfn.IFNA(INDEX(SAM!$B$8:$HA$215,MATCH($BC83,SAM!$A$8:$A$215,0),MATCH(BL$48,SAM!$B$7:$HA$7,0)),0)</f>
        <v>0</v>
      </c>
      <c r="BM83" s="18">
        <f>_xlfn.IFNA(INDEX(SAM!$B$8:$HA$215,MATCH($BC83,SAM!$A$8:$A$215,0),MATCH(BM$48,SAM!$B$7:$HA$7,0)),0)</f>
        <v>0</v>
      </c>
      <c r="BN83" s="18">
        <f>_xlfn.IFNA(INDEX(SAM!$B$8:$HA$215,MATCH($BC83,SAM!$A$8:$A$215,0),MATCH(BN$48,SAM!$B$7:$HA$7,0)),0)</f>
        <v>0</v>
      </c>
      <c r="BO83" s="18">
        <f>_xlfn.IFNA(INDEX(SAM!$B$8:$HA$215,MATCH($BC83,SAM!$A$8:$A$215,0),MATCH(BO$48,SAM!$B$7:$HA$7,0)),0)</f>
        <v>0</v>
      </c>
      <c r="BP83" s="18">
        <f>_xlfn.IFNA(INDEX(SAM!$B$8:$HA$215,MATCH($BC83,SAM!$A$8:$A$215,0),MATCH(BP$48,SAM!$B$7:$HA$7,0)),0)</f>
        <v>0</v>
      </c>
      <c r="BQ83" s="18">
        <f>_xlfn.IFNA(INDEX(SAM!$B$8:$HA$215,MATCH($BC83,SAM!$A$8:$A$215,0),MATCH(BQ$48,SAM!$B$7:$HA$7,0)),0)</f>
        <v>0</v>
      </c>
      <c r="BR83" s="18">
        <f>_xlfn.IFNA(INDEX(SAM!$B$8:$HA$215,MATCH($BC83,SAM!$A$8:$A$215,0),MATCH(BR$48,SAM!$B$7:$HA$7,0)),0)</f>
        <v>0</v>
      </c>
      <c r="BT83" t="str">
        <f t="shared" si="109"/>
        <v>cmetl</v>
      </c>
      <c r="BU83" s="7">
        <f t="shared" si="110"/>
        <v>7.4876381716460312</v>
      </c>
      <c r="BW83" s="51" t="s">
        <v>199</v>
      </c>
      <c r="BX83" s="43">
        <f t="shared" si="116"/>
        <v>2.0314842156302473</v>
      </c>
    </row>
    <row r="84" spans="1:76" x14ac:dyDescent="0.35">
      <c r="A84" t="str">
        <f t="shared" si="136"/>
        <v>manufacturing</v>
      </c>
      <c r="B84" t="s">
        <v>42</v>
      </c>
      <c r="C84" s="18">
        <f t="shared" si="79"/>
        <v>0.15134884005561336</v>
      </c>
      <c r="D84" s="18">
        <f t="shared" si="80"/>
        <v>0.22933289585516844</v>
      </c>
      <c r="E84" s="18">
        <f t="shared" si="81"/>
        <v>0.21075221062156155</v>
      </c>
      <c r="F84" s="18">
        <f t="shared" si="82"/>
        <v>0.33619523035306209</v>
      </c>
      <c r="G84" s="18">
        <f t="shared" si="83"/>
        <v>1.491695536538846</v>
      </c>
      <c r="H84" s="18">
        <f t="shared" si="84"/>
        <v>0.10279441429102157</v>
      </c>
      <c r="I84" s="18">
        <f t="shared" si="85"/>
        <v>0.13078437698636303</v>
      </c>
      <c r="J84" s="18">
        <f t="shared" si="86"/>
        <v>0.11348330957027729</v>
      </c>
      <c r="K84" s="18">
        <f t="shared" si="87"/>
        <v>1.2531989072445315</v>
      </c>
      <c r="L84" s="18">
        <f t="shared" si="88"/>
        <v>0.88534889071828571</v>
      </c>
      <c r="M84" s="18">
        <f t="shared" si="89"/>
        <v>6.6612888907581921E-2</v>
      </c>
      <c r="N84" s="18">
        <f t="shared" si="90"/>
        <v>0.17151105269598027</v>
      </c>
      <c r="O84" s="18">
        <f t="shared" si="91"/>
        <v>0.30863031984841621</v>
      </c>
      <c r="P84" s="18">
        <f t="shared" si="92"/>
        <v>0.33214866863356235</v>
      </c>
      <c r="Q84" s="18">
        <f t="shared" si="93"/>
        <v>2.0435156140687081</v>
      </c>
      <c r="R84" s="18">
        <f t="shared" si="94"/>
        <v>1.1985129666176004</v>
      </c>
      <c r="T84" t="str">
        <f t="shared" si="137"/>
        <v>mach</v>
      </c>
      <c r="U84" s="18">
        <f t="shared" si="138"/>
        <v>0.3971779118421207</v>
      </c>
      <c r="V84" s="18">
        <f t="shared" si="139"/>
        <v>0.85732260089816981</v>
      </c>
      <c r="W84" s="18">
        <f t="shared" si="140"/>
        <v>1.2284778821615303</v>
      </c>
      <c r="X84" s="18">
        <f t="shared" si="141"/>
        <v>2.6850067688182833</v>
      </c>
      <c r="Y84" s="18">
        <f t="shared" si="142"/>
        <v>21.32752598430308</v>
      </c>
      <c r="Z84" s="18">
        <f t="shared" si="143"/>
        <v>1.7763395675941103E-2</v>
      </c>
      <c r="AA84" s="18">
        <f t="shared" si="144"/>
        <v>2.9170314715197557E-2</v>
      </c>
      <c r="AB84" s="18">
        <f t="shared" si="145"/>
        <v>3.1182087882345631E-2</v>
      </c>
      <c r="AC84" s="18">
        <f t="shared" si="146"/>
        <v>0.67945789000543866</v>
      </c>
      <c r="AD84" s="18">
        <f t="shared" si="147"/>
        <v>1.9469787938519099</v>
      </c>
      <c r="AE84" s="18">
        <f t="shared" si="148"/>
        <v>7.9529580559504192E-3</v>
      </c>
      <c r="AF84" s="18">
        <f t="shared" si="149"/>
        <v>6.2449493591005018E-2</v>
      </c>
      <c r="AG84" s="18">
        <f t="shared" si="150"/>
        <v>0.3181552754921646</v>
      </c>
      <c r="AH84" s="18">
        <f t="shared" si="151"/>
        <v>0.82754139468502375</v>
      </c>
      <c r="AI84" s="18">
        <f t="shared" si="152"/>
        <v>47.867726555235379</v>
      </c>
      <c r="AJ84" s="18">
        <f t="shared" si="153"/>
        <v>78.283889307213542</v>
      </c>
      <c r="AL84" t="str">
        <f t="shared" si="154"/>
        <v>cmach</v>
      </c>
      <c r="AM84" s="18">
        <f>_xlfn.IFNA(INDEX(SAM!$B$8:$HA$215,MATCH($AL84,SAM!$A$8:$A$215,0),MATCH(AM$48,SAM!$B$7:$HA$7,0)),0)</f>
        <v>0.3971779118421207</v>
      </c>
      <c r="AN84" s="18">
        <f>_xlfn.IFNA(INDEX(SAM!$B$8:$HA$215,MATCH($AL84,SAM!$A$8:$A$215,0),MATCH(AN$48,SAM!$B$7:$HA$7,0)),0)</f>
        <v>0.85732260089816981</v>
      </c>
      <c r="AO84" s="18">
        <f>_xlfn.IFNA(INDEX(SAM!$B$8:$HA$215,MATCH($AL84,SAM!$A$8:$A$215,0),MATCH(AO$48,SAM!$B$7:$HA$7,0)),0)</f>
        <v>1.2284778821615303</v>
      </c>
      <c r="AP84" s="18">
        <f>_xlfn.IFNA(INDEX(SAM!$B$8:$HA$215,MATCH($AL84,SAM!$A$8:$A$215,0),MATCH(AP$48,SAM!$B$7:$HA$7,0)),0)</f>
        <v>2.6850067688182833</v>
      </c>
      <c r="AQ84" s="18">
        <f>_xlfn.IFNA(INDEX(SAM!$B$8:$HA$215,MATCH($AL84,SAM!$A$8:$A$215,0),MATCH(AQ$48,SAM!$B$7:$HA$7,0)),0)</f>
        <v>21.32752598430308</v>
      </c>
      <c r="AR84" s="18">
        <f>_xlfn.IFNA(INDEX(SAM!$B$8:$HA$215,MATCH($AL84,SAM!$A$8:$A$215,0),MATCH(AR$48,SAM!$B$7:$HA$7,0)),0)</f>
        <v>1.7763395675941103E-2</v>
      </c>
      <c r="AS84" s="18">
        <f>_xlfn.IFNA(INDEX(SAM!$B$8:$HA$215,MATCH($AL84,SAM!$A$8:$A$215,0),MATCH(AS$48,SAM!$B$7:$HA$7,0)),0)</f>
        <v>2.9170314715197557E-2</v>
      </c>
      <c r="AT84" s="18">
        <f>_xlfn.IFNA(INDEX(SAM!$B$8:$HA$215,MATCH($AL84,SAM!$A$8:$A$215,0),MATCH(AT$48,SAM!$B$7:$HA$7,0)),0)</f>
        <v>3.1182087882345631E-2</v>
      </c>
      <c r="AU84" s="18">
        <f>_xlfn.IFNA(INDEX(SAM!$B$8:$HA$215,MATCH($AL84,SAM!$A$8:$A$215,0),MATCH(AU$48,SAM!$B$7:$HA$7,0)),0)</f>
        <v>0.67945789000543866</v>
      </c>
      <c r="AV84" s="18">
        <f>_xlfn.IFNA(INDEX(SAM!$B$8:$HA$215,MATCH($AL84,SAM!$A$8:$A$215,0),MATCH(AV$48,SAM!$B$7:$HA$7,0)),0)</f>
        <v>1.9469787938519099</v>
      </c>
      <c r="AW84" s="18">
        <f>_xlfn.IFNA(INDEX(SAM!$B$8:$HA$215,MATCH($AL84,SAM!$A$8:$A$215,0),MATCH(AW$48,SAM!$B$7:$HA$7,0)),0)</f>
        <v>7.9529580559504192E-3</v>
      </c>
      <c r="AX84" s="18">
        <f>_xlfn.IFNA(INDEX(SAM!$B$8:$HA$215,MATCH($AL84,SAM!$A$8:$A$215,0),MATCH(AX$48,SAM!$B$7:$HA$7,0)),0)</f>
        <v>6.2449493591005018E-2</v>
      </c>
      <c r="AY84" s="18">
        <f>_xlfn.IFNA(INDEX(SAM!$B$8:$HA$215,MATCH($AL84,SAM!$A$8:$A$215,0),MATCH(AY$48,SAM!$B$7:$HA$7,0)),0)</f>
        <v>0.3181552754921646</v>
      </c>
      <c r="AZ84" s="18">
        <f>_xlfn.IFNA(INDEX(SAM!$B$8:$HA$215,MATCH($AL84,SAM!$A$8:$A$215,0),MATCH(AZ$48,SAM!$B$7:$HA$7,0)),0)</f>
        <v>0.82754139468502375</v>
      </c>
      <c r="BA84" s="18">
        <f>_xlfn.IFNA(INDEX(SAM!$B$8:$HA$215,MATCH($AL84,SAM!$A$8:$A$215,0),MATCH(BA$48,SAM!$B$7:$HA$7,0)),0)</f>
        <v>47.867726555235379</v>
      </c>
      <c r="BB84" s="18"/>
      <c r="BC84" t="str">
        <f t="shared" si="155"/>
        <v>amach</v>
      </c>
      <c r="BD84" s="18">
        <f>_xlfn.IFNA(INDEX(SAM!$B$8:$HA$215,MATCH($BC84,SAM!$A$8:$A$215,0),MATCH(BD$48,SAM!$B$7:$HA$7,0)),0)</f>
        <v>0</v>
      </c>
      <c r="BE84" s="18">
        <f>_xlfn.IFNA(INDEX(SAM!$B$8:$HA$215,MATCH($BC84,SAM!$A$8:$A$215,0),MATCH(BE$48,SAM!$B$7:$HA$7,0)),0)</f>
        <v>0</v>
      </c>
      <c r="BF84" s="18">
        <f>_xlfn.IFNA(INDEX(SAM!$B$8:$HA$215,MATCH($BC84,SAM!$A$8:$A$215,0),MATCH(BF$48,SAM!$B$7:$HA$7,0)),0)</f>
        <v>0</v>
      </c>
      <c r="BG84" s="18">
        <f>_xlfn.IFNA(INDEX(SAM!$B$8:$HA$215,MATCH($BC84,SAM!$A$8:$A$215,0),MATCH(BG$48,SAM!$B$7:$HA$7,0)),0)</f>
        <v>0</v>
      </c>
      <c r="BH84" s="18">
        <f>_xlfn.IFNA(INDEX(SAM!$B$8:$HA$215,MATCH($BC84,SAM!$A$8:$A$215,0),MATCH(BH$48,SAM!$B$7:$HA$7,0)),0)</f>
        <v>0</v>
      </c>
      <c r="BI84" s="18">
        <f>_xlfn.IFNA(INDEX(SAM!$B$8:$HA$215,MATCH($BC84,SAM!$A$8:$A$215,0),MATCH(BI$48,SAM!$B$7:$HA$7,0)),0)</f>
        <v>0</v>
      </c>
      <c r="BJ84" s="18">
        <f>_xlfn.IFNA(INDEX(SAM!$B$8:$HA$215,MATCH($BC84,SAM!$A$8:$A$215,0),MATCH(BJ$48,SAM!$B$7:$HA$7,0)),0)</f>
        <v>0</v>
      </c>
      <c r="BK84" s="18">
        <f>_xlfn.IFNA(INDEX(SAM!$B$8:$HA$215,MATCH($BC84,SAM!$A$8:$A$215,0),MATCH(BK$48,SAM!$B$7:$HA$7,0)),0)</f>
        <v>0</v>
      </c>
      <c r="BL84" s="18">
        <f>_xlfn.IFNA(INDEX(SAM!$B$8:$HA$215,MATCH($BC84,SAM!$A$8:$A$215,0),MATCH(BL$48,SAM!$B$7:$HA$7,0)),0)</f>
        <v>0</v>
      </c>
      <c r="BM84" s="18">
        <f>_xlfn.IFNA(INDEX(SAM!$B$8:$HA$215,MATCH($BC84,SAM!$A$8:$A$215,0),MATCH(BM$48,SAM!$B$7:$HA$7,0)),0)</f>
        <v>0</v>
      </c>
      <c r="BN84" s="18">
        <f>_xlfn.IFNA(INDEX(SAM!$B$8:$HA$215,MATCH($BC84,SAM!$A$8:$A$215,0),MATCH(BN$48,SAM!$B$7:$HA$7,0)),0)</f>
        <v>0</v>
      </c>
      <c r="BO84" s="18">
        <f>_xlfn.IFNA(INDEX(SAM!$B$8:$HA$215,MATCH($BC84,SAM!$A$8:$A$215,0),MATCH(BO$48,SAM!$B$7:$HA$7,0)),0)</f>
        <v>0</v>
      </c>
      <c r="BP84" s="18">
        <f>_xlfn.IFNA(INDEX(SAM!$B$8:$HA$215,MATCH($BC84,SAM!$A$8:$A$215,0),MATCH(BP$48,SAM!$B$7:$HA$7,0)),0)</f>
        <v>0</v>
      </c>
      <c r="BQ84" s="18">
        <f>_xlfn.IFNA(INDEX(SAM!$B$8:$HA$215,MATCH($BC84,SAM!$A$8:$A$215,0),MATCH(BQ$48,SAM!$B$7:$HA$7,0)),0)</f>
        <v>0</v>
      </c>
      <c r="BR84" s="18">
        <f>_xlfn.IFNA(INDEX(SAM!$B$8:$HA$215,MATCH($BC84,SAM!$A$8:$A$215,0),MATCH(BR$48,SAM!$B$7:$HA$7,0)),0)</f>
        <v>0</v>
      </c>
      <c r="BT84" t="str">
        <f t="shared" si="109"/>
        <v>cmach</v>
      </c>
      <c r="BU84" s="7">
        <f t="shared" si="110"/>
        <v>78.283889307213542</v>
      </c>
      <c r="BW84" s="51" t="s">
        <v>200</v>
      </c>
      <c r="BX84" s="43">
        <f t="shared" si="116"/>
        <v>2.5300363666774359</v>
      </c>
    </row>
    <row r="85" spans="1:76" x14ac:dyDescent="0.35">
      <c r="A85" s="26" t="str">
        <f t="shared" si="136"/>
        <v>manufacturing</v>
      </c>
      <c r="B85" s="26" t="s">
        <v>43</v>
      </c>
      <c r="C85" s="45">
        <f t="shared" si="79"/>
        <v>3.0750131438086612E-2</v>
      </c>
      <c r="D85" s="45">
        <f t="shared" si="80"/>
        <v>4.1284401181242068E-2</v>
      </c>
      <c r="E85" s="45">
        <f t="shared" si="81"/>
        <v>6.1271459553521174E-2</v>
      </c>
      <c r="F85" s="45">
        <f t="shared" si="82"/>
        <v>0.1170093482964176</v>
      </c>
      <c r="G85" s="45">
        <f t="shared" si="83"/>
        <v>0.21688791726761469</v>
      </c>
      <c r="H85" s="45">
        <f t="shared" si="84"/>
        <v>2.6878028688864217E-2</v>
      </c>
      <c r="I85" s="45">
        <f t="shared" si="85"/>
        <v>0.10806857963407371</v>
      </c>
      <c r="J85" s="45">
        <f t="shared" si="86"/>
        <v>4.7965625226800417E-2</v>
      </c>
      <c r="K85" s="45">
        <f t="shared" si="87"/>
        <v>0.11344412351066374</v>
      </c>
      <c r="L85" s="45">
        <f t="shared" si="88"/>
        <v>0.5083714792353089</v>
      </c>
      <c r="M85" s="45">
        <f t="shared" si="89"/>
        <v>2.8700263301292182E-2</v>
      </c>
      <c r="N85" s="45">
        <f t="shared" si="90"/>
        <v>0.12813569879841036</v>
      </c>
      <c r="O85" s="45">
        <f t="shared" si="91"/>
        <v>0.22861772205263586</v>
      </c>
      <c r="P85" s="45">
        <f t="shared" si="92"/>
        <v>0.17492237491423332</v>
      </c>
      <c r="Q85" s="45">
        <f t="shared" si="93"/>
        <v>0.27315454893985525</v>
      </c>
      <c r="R85" s="45">
        <f t="shared" si="94"/>
        <v>0.19855359461954133</v>
      </c>
      <c r="S85" s="26"/>
      <c r="T85" s="26" t="str">
        <f t="shared" si="137"/>
        <v>oman</v>
      </c>
      <c r="U85" s="45">
        <f t="shared" si="138"/>
        <v>8.0696178371517102E-2</v>
      </c>
      <c r="V85" s="45">
        <f t="shared" si="139"/>
        <v>0.1543348156192057</v>
      </c>
      <c r="W85" s="45">
        <f t="shared" si="140"/>
        <v>0.35715228156925816</v>
      </c>
      <c r="X85" s="45">
        <f t="shared" si="141"/>
        <v>0.93448943895177972</v>
      </c>
      <c r="Y85" s="45">
        <f t="shared" si="142"/>
        <v>3.100956313068628</v>
      </c>
      <c r="Z85" s="45">
        <f t="shared" si="143"/>
        <v>4.6446595555075148E-3</v>
      </c>
      <c r="AA85" s="45">
        <f t="shared" si="144"/>
        <v>2.4103754220422074E-2</v>
      </c>
      <c r="AB85" s="45">
        <f t="shared" si="145"/>
        <v>1.3179632730287237E-2</v>
      </c>
      <c r="AC85" s="45">
        <f t="shared" si="146"/>
        <v>6.1506999685750248E-2</v>
      </c>
      <c r="AD85" s="45">
        <f t="shared" si="147"/>
        <v>1.1179643413426035</v>
      </c>
      <c r="AE85" s="45">
        <f t="shared" si="148"/>
        <v>3.4265439312590757E-3</v>
      </c>
      <c r="AF85" s="45">
        <f t="shared" si="149"/>
        <v>4.6655940681995606E-2</v>
      </c>
      <c r="AG85" s="45">
        <f t="shared" si="150"/>
        <v>0.23567332716296874</v>
      </c>
      <c r="AH85" s="45">
        <f t="shared" si="151"/>
        <v>0.43581540366744753</v>
      </c>
      <c r="AI85" s="45">
        <f t="shared" si="152"/>
        <v>6.3984278690869969</v>
      </c>
      <c r="AJ85" s="45">
        <f t="shared" si="153"/>
        <v>12.969027499645629</v>
      </c>
      <c r="AK85" s="26"/>
      <c r="AL85" s="26" t="str">
        <f t="shared" si="154"/>
        <v>coman</v>
      </c>
      <c r="AM85" s="45">
        <f>_xlfn.IFNA(INDEX(SAM!$B$8:$HA$215,MATCH($AL85,SAM!$A$8:$A$215,0),MATCH(AM$48,SAM!$B$7:$HA$7,0)),0)</f>
        <v>8.0696178371517102E-2</v>
      </c>
      <c r="AN85" s="45">
        <f>_xlfn.IFNA(INDEX(SAM!$B$8:$HA$215,MATCH($AL85,SAM!$A$8:$A$215,0),MATCH(AN$48,SAM!$B$7:$HA$7,0)),0)</f>
        <v>0.1543348156192057</v>
      </c>
      <c r="AO85" s="45">
        <f>_xlfn.IFNA(INDEX(SAM!$B$8:$HA$215,MATCH($AL85,SAM!$A$8:$A$215,0),MATCH(AO$48,SAM!$B$7:$HA$7,0)),0)</f>
        <v>0.35715228156925816</v>
      </c>
      <c r="AP85" s="45">
        <f>_xlfn.IFNA(INDEX(SAM!$B$8:$HA$215,MATCH($AL85,SAM!$A$8:$A$215,0),MATCH(AP$48,SAM!$B$7:$HA$7,0)),0)</f>
        <v>0.93448943895177972</v>
      </c>
      <c r="AQ85" s="45">
        <f>_xlfn.IFNA(INDEX(SAM!$B$8:$HA$215,MATCH($AL85,SAM!$A$8:$A$215,0),MATCH(AQ$48,SAM!$B$7:$HA$7,0)),0)</f>
        <v>3.100956313068628</v>
      </c>
      <c r="AR85" s="45">
        <f>_xlfn.IFNA(INDEX(SAM!$B$8:$HA$215,MATCH($AL85,SAM!$A$8:$A$215,0),MATCH(AR$48,SAM!$B$7:$HA$7,0)),0)</f>
        <v>4.6446595555075148E-3</v>
      </c>
      <c r="AS85" s="45">
        <f>_xlfn.IFNA(INDEX(SAM!$B$8:$HA$215,MATCH($AL85,SAM!$A$8:$A$215,0),MATCH(AS$48,SAM!$B$7:$HA$7,0)),0)</f>
        <v>2.4103754220422074E-2</v>
      </c>
      <c r="AT85" s="45">
        <f>_xlfn.IFNA(INDEX(SAM!$B$8:$HA$215,MATCH($AL85,SAM!$A$8:$A$215,0),MATCH(AT$48,SAM!$B$7:$HA$7,0)),0)</f>
        <v>1.3179632730287237E-2</v>
      </c>
      <c r="AU85" s="45">
        <f>_xlfn.IFNA(INDEX(SAM!$B$8:$HA$215,MATCH($AL85,SAM!$A$8:$A$215,0),MATCH(AU$48,SAM!$B$7:$HA$7,0)),0)</f>
        <v>6.1506999685750248E-2</v>
      </c>
      <c r="AV85" s="45">
        <f>_xlfn.IFNA(INDEX(SAM!$B$8:$HA$215,MATCH($AL85,SAM!$A$8:$A$215,0),MATCH(AV$48,SAM!$B$7:$HA$7,0)),0)</f>
        <v>1.1179643413426035</v>
      </c>
      <c r="AW85" s="45">
        <f>_xlfn.IFNA(INDEX(SAM!$B$8:$HA$215,MATCH($AL85,SAM!$A$8:$A$215,0),MATCH(AW$48,SAM!$B$7:$HA$7,0)),0)</f>
        <v>3.4265439312590757E-3</v>
      </c>
      <c r="AX85" s="45">
        <f>_xlfn.IFNA(INDEX(SAM!$B$8:$HA$215,MATCH($AL85,SAM!$A$8:$A$215,0),MATCH(AX$48,SAM!$B$7:$HA$7,0)),0)</f>
        <v>4.6655940681995606E-2</v>
      </c>
      <c r="AY85" s="45">
        <f>_xlfn.IFNA(INDEX(SAM!$B$8:$HA$215,MATCH($AL85,SAM!$A$8:$A$215,0),MATCH(AY$48,SAM!$B$7:$HA$7,0)),0)</f>
        <v>0.23567332716296874</v>
      </c>
      <c r="AZ85" s="45">
        <f>_xlfn.IFNA(INDEX(SAM!$B$8:$HA$215,MATCH($AL85,SAM!$A$8:$A$215,0),MATCH(AZ$48,SAM!$B$7:$HA$7,0)),0)</f>
        <v>0.43581540366744753</v>
      </c>
      <c r="BA85" s="45">
        <f>_xlfn.IFNA(INDEX(SAM!$B$8:$HA$215,MATCH($AL85,SAM!$A$8:$A$215,0),MATCH(BA$48,SAM!$B$7:$HA$7,0)),0)</f>
        <v>6.3984278690869969</v>
      </c>
      <c r="BB85" s="45"/>
      <c r="BC85" s="26" t="str">
        <f t="shared" si="155"/>
        <v>aoman</v>
      </c>
      <c r="BD85" s="45">
        <f>_xlfn.IFNA(INDEX(SAM!$B$8:$HA$215,MATCH($BC85,SAM!$A$8:$A$215,0),MATCH(BD$48,SAM!$B$7:$HA$7,0)),0)</f>
        <v>0</v>
      </c>
      <c r="BE85" s="45">
        <f>_xlfn.IFNA(INDEX(SAM!$B$8:$HA$215,MATCH($BC85,SAM!$A$8:$A$215,0),MATCH(BE$48,SAM!$B$7:$HA$7,0)),0)</f>
        <v>0</v>
      </c>
      <c r="BF85" s="45">
        <f>_xlfn.IFNA(INDEX(SAM!$B$8:$HA$215,MATCH($BC85,SAM!$A$8:$A$215,0),MATCH(BF$48,SAM!$B$7:$HA$7,0)),0)</f>
        <v>0</v>
      </c>
      <c r="BG85" s="45">
        <f>_xlfn.IFNA(INDEX(SAM!$B$8:$HA$215,MATCH($BC85,SAM!$A$8:$A$215,0),MATCH(BG$48,SAM!$B$7:$HA$7,0)),0)</f>
        <v>0</v>
      </c>
      <c r="BH85" s="45">
        <f>_xlfn.IFNA(INDEX(SAM!$B$8:$HA$215,MATCH($BC85,SAM!$A$8:$A$215,0),MATCH(BH$48,SAM!$B$7:$HA$7,0)),0)</f>
        <v>0</v>
      </c>
      <c r="BI85" s="45">
        <f>_xlfn.IFNA(INDEX(SAM!$B$8:$HA$215,MATCH($BC85,SAM!$A$8:$A$215,0),MATCH(BI$48,SAM!$B$7:$HA$7,0)),0)</f>
        <v>0</v>
      </c>
      <c r="BJ85" s="45">
        <f>_xlfn.IFNA(INDEX(SAM!$B$8:$HA$215,MATCH($BC85,SAM!$A$8:$A$215,0),MATCH(BJ$48,SAM!$B$7:$HA$7,0)),0)</f>
        <v>0</v>
      </c>
      <c r="BK85" s="45">
        <f>_xlfn.IFNA(INDEX(SAM!$B$8:$HA$215,MATCH($BC85,SAM!$A$8:$A$215,0),MATCH(BK$48,SAM!$B$7:$HA$7,0)),0)</f>
        <v>0</v>
      </c>
      <c r="BL85" s="45">
        <f>_xlfn.IFNA(INDEX(SAM!$B$8:$HA$215,MATCH($BC85,SAM!$A$8:$A$215,0),MATCH(BL$48,SAM!$B$7:$HA$7,0)),0)</f>
        <v>0</v>
      </c>
      <c r="BM85" s="45">
        <f>_xlfn.IFNA(INDEX(SAM!$B$8:$HA$215,MATCH($BC85,SAM!$A$8:$A$215,0),MATCH(BM$48,SAM!$B$7:$HA$7,0)),0)</f>
        <v>0</v>
      </c>
      <c r="BN85" s="45">
        <f>_xlfn.IFNA(INDEX(SAM!$B$8:$HA$215,MATCH($BC85,SAM!$A$8:$A$215,0),MATCH(BN$48,SAM!$B$7:$HA$7,0)),0)</f>
        <v>0</v>
      </c>
      <c r="BO85" s="45">
        <f>_xlfn.IFNA(INDEX(SAM!$B$8:$HA$215,MATCH($BC85,SAM!$A$8:$A$215,0),MATCH(BO$48,SAM!$B$7:$HA$7,0)),0)</f>
        <v>0</v>
      </c>
      <c r="BP85" s="45">
        <f>_xlfn.IFNA(INDEX(SAM!$B$8:$HA$215,MATCH($BC85,SAM!$A$8:$A$215,0),MATCH(BP$48,SAM!$B$7:$HA$7,0)),0)</f>
        <v>0</v>
      </c>
      <c r="BQ85" s="45">
        <f>_xlfn.IFNA(INDEX(SAM!$B$8:$HA$215,MATCH($BC85,SAM!$A$8:$A$215,0),MATCH(BQ$48,SAM!$B$7:$HA$7,0)),0)</f>
        <v>0</v>
      </c>
      <c r="BR85" s="45">
        <f>_xlfn.IFNA(INDEX(SAM!$B$8:$HA$215,MATCH($BC85,SAM!$A$8:$A$215,0),MATCH(BR$48,SAM!$B$7:$HA$7,0)),0)</f>
        <v>0</v>
      </c>
      <c r="BT85" t="str">
        <f t="shared" si="109"/>
        <v>coman</v>
      </c>
      <c r="BU85" s="7">
        <f t="shared" si="110"/>
        <v>12.969027499645629</v>
      </c>
      <c r="BW85" s="51" t="s">
        <v>201</v>
      </c>
      <c r="BX85" s="43">
        <f t="shared" si="116"/>
        <v>0.52849458878354338</v>
      </c>
    </row>
    <row r="86" spans="1:76" x14ac:dyDescent="0.35">
      <c r="A86" s="47" t="str">
        <f t="shared" si="136"/>
        <v>contruction</v>
      </c>
      <c r="B86" s="47" t="s">
        <v>46</v>
      </c>
      <c r="C86" s="48">
        <f t="shared" si="79"/>
        <v>0</v>
      </c>
      <c r="D86" s="48">
        <f t="shared" si="80"/>
        <v>0</v>
      </c>
      <c r="E86" s="48">
        <f t="shared" si="81"/>
        <v>0</v>
      </c>
      <c r="F86" s="48">
        <f t="shared" si="82"/>
        <v>0</v>
      </c>
      <c r="G86" s="48">
        <f t="shared" si="83"/>
        <v>0</v>
      </c>
      <c r="H86" s="48">
        <f t="shared" si="84"/>
        <v>0</v>
      </c>
      <c r="I86" s="48">
        <f t="shared" si="85"/>
        <v>0</v>
      </c>
      <c r="J86" s="48">
        <f t="shared" si="86"/>
        <v>0</v>
      </c>
      <c r="K86" s="48">
        <f t="shared" si="87"/>
        <v>0</v>
      </c>
      <c r="L86" s="48">
        <f t="shared" si="88"/>
        <v>0</v>
      </c>
      <c r="M86" s="48">
        <f t="shared" si="89"/>
        <v>0</v>
      </c>
      <c r="N86" s="48">
        <f t="shared" si="90"/>
        <v>0</v>
      </c>
      <c r="O86" s="48">
        <f t="shared" si="91"/>
        <v>0</v>
      </c>
      <c r="P86" s="48">
        <f t="shared" si="92"/>
        <v>0</v>
      </c>
      <c r="Q86" s="48">
        <f t="shared" si="93"/>
        <v>0</v>
      </c>
      <c r="R86" s="48">
        <f t="shared" si="94"/>
        <v>0</v>
      </c>
      <c r="S86" s="47"/>
      <c r="T86" s="47" t="str">
        <f t="shared" si="137"/>
        <v>cons</v>
      </c>
      <c r="U86" s="48">
        <f t="shared" si="138"/>
        <v>0</v>
      </c>
      <c r="V86" s="48">
        <f t="shared" si="139"/>
        <v>0</v>
      </c>
      <c r="W86" s="48">
        <f t="shared" si="140"/>
        <v>0</v>
      </c>
      <c r="X86" s="48">
        <f t="shared" si="141"/>
        <v>0</v>
      </c>
      <c r="Y86" s="48">
        <f t="shared" si="142"/>
        <v>0</v>
      </c>
      <c r="Z86" s="48">
        <f t="shared" si="143"/>
        <v>0</v>
      </c>
      <c r="AA86" s="48">
        <f t="shared" si="144"/>
        <v>0</v>
      </c>
      <c r="AB86" s="48">
        <f t="shared" si="145"/>
        <v>0</v>
      </c>
      <c r="AC86" s="48">
        <f t="shared" si="146"/>
        <v>0</v>
      </c>
      <c r="AD86" s="48">
        <f t="shared" si="147"/>
        <v>0</v>
      </c>
      <c r="AE86" s="48">
        <f t="shared" si="148"/>
        <v>0</v>
      </c>
      <c r="AF86" s="48">
        <f t="shared" si="149"/>
        <v>0</v>
      </c>
      <c r="AG86" s="48">
        <f t="shared" si="150"/>
        <v>0</v>
      </c>
      <c r="AH86" s="48">
        <f t="shared" si="151"/>
        <v>0</v>
      </c>
      <c r="AI86" s="48">
        <f t="shared" si="152"/>
        <v>0</v>
      </c>
      <c r="AJ86" s="48">
        <f t="shared" si="153"/>
        <v>0</v>
      </c>
      <c r="AK86" s="47"/>
      <c r="AL86" s="47" t="str">
        <f t="shared" si="154"/>
        <v>ccons</v>
      </c>
      <c r="AM86" s="48">
        <f>_xlfn.IFNA(INDEX(SAM!$B$8:$HA$215,MATCH($AL86,SAM!$A$8:$A$215,0),MATCH(AM$48,SAM!$B$7:$HA$7,0)),0)</f>
        <v>0</v>
      </c>
      <c r="AN86" s="48">
        <f>_xlfn.IFNA(INDEX(SAM!$B$8:$HA$215,MATCH($AL86,SAM!$A$8:$A$215,0),MATCH(AN$48,SAM!$B$7:$HA$7,0)),0)</f>
        <v>0</v>
      </c>
      <c r="AO86" s="48">
        <f>_xlfn.IFNA(INDEX(SAM!$B$8:$HA$215,MATCH($AL86,SAM!$A$8:$A$215,0),MATCH(AO$48,SAM!$B$7:$HA$7,0)),0)</f>
        <v>0</v>
      </c>
      <c r="AP86" s="48">
        <f>_xlfn.IFNA(INDEX(SAM!$B$8:$HA$215,MATCH($AL86,SAM!$A$8:$A$215,0),MATCH(AP$48,SAM!$B$7:$HA$7,0)),0)</f>
        <v>0</v>
      </c>
      <c r="AQ86" s="48">
        <f>_xlfn.IFNA(INDEX(SAM!$B$8:$HA$215,MATCH($AL86,SAM!$A$8:$A$215,0),MATCH(AQ$48,SAM!$B$7:$HA$7,0)),0)</f>
        <v>0</v>
      </c>
      <c r="AR86" s="48">
        <f>_xlfn.IFNA(INDEX(SAM!$B$8:$HA$215,MATCH($AL86,SAM!$A$8:$A$215,0),MATCH(AR$48,SAM!$B$7:$HA$7,0)),0)</f>
        <v>0</v>
      </c>
      <c r="AS86" s="48">
        <f>_xlfn.IFNA(INDEX(SAM!$B$8:$HA$215,MATCH($AL86,SAM!$A$8:$A$215,0),MATCH(AS$48,SAM!$B$7:$HA$7,0)),0)</f>
        <v>0</v>
      </c>
      <c r="AT86" s="48">
        <f>_xlfn.IFNA(INDEX(SAM!$B$8:$HA$215,MATCH($AL86,SAM!$A$8:$A$215,0),MATCH(AT$48,SAM!$B$7:$HA$7,0)),0)</f>
        <v>0</v>
      </c>
      <c r="AU86" s="48">
        <f>_xlfn.IFNA(INDEX(SAM!$B$8:$HA$215,MATCH($AL86,SAM!$A$8:$A$215,0),MATCH(AU$48,SAM!$B$7:$HA$7,0)),0)</f>
        <v>0</v>
      </c>
      <c r="AV86" s="48">
        <f>_xlfn.IFNA(INDEX(SAM!$B$8:$HA$215,MATCH($AL86,SAM!$A$8:$A$215,0),MATCH(AV$48,SAM!$B$7:$HA$7,0)),0)</f>
        <v>0</v>
      </c>
      <c r="AW86" s="48">
        <f>_xlfn.IFNA(INDEX(SAM!$B$8:$HA$215,MATCH($AL86,SAM!$A$8:$A$215,0),MATCH(AW$48,SAM!$B$7:$HA$7,0)),0)</f>
        <v>0</v>
      </c>
      <c r="AX86" s="48">
        <f>_xlfn.IFNA(INDEX(SAM!$B$8:$HA$215,MATCH($AL86,SAM!$A$8:$A$215,0),MATCH(AX$48,SAM!$B$7:$HA$7,0)),0)</f>
        <v>0</v>
      </c>
      <c r="AY86" s="48">
        <f>_xlfn.IFNA(INDEX(SAM!$B$8:$HA$215,MATCH($AL86,SAM!$A$8:$A$215,0),MATCH(AY$48,SAM!$B$7:$HA$7,0)),0)</f>
        <v>0</v>
      </c>
      <c r="AZ86" s="48">
        <f>_xlfn.IFNA(INDEX(SAM!$B$8:$HA$215,MATCH($AL86,SAM!$A$8:$A$215,0),MATCH(AZ$48,SAM!$B$7:$HA$7,0)),0)</f>
        <v>0</v>
      </c>
      <c r="BA86" s="48">
        <f>_xlfn.IFNA(INDEX(SAM!$B$8:$HA$215,MATCH($AL86,SAM!$A$8:$A$215,0),MATCH(BA$48,SAM!$B$7:$HA$7,0)),0)</f>
        <v>0</v>
      </c>
      <c r="BB86" s="48"/>
      <c r="BC86" s="47" t="str">
        <f t="shared" si="155"/>
        <v>acons</v>
      </c>
      <c r="BD86" s="48">
        <f>_xlfn.IFNA(INDEX(SAM!$B$8:$HA$215,MATCH($BC86,SAM!$A$8:$A$215,0),MATCH(BD$48,SAM!$B$7:$HA$7,0)),0)</f>
        <v>0</v>
      </c>
      <c r="BE86" s="48">
        <f>_xlfn.IFNA(INDEX(SAM!$B$8:$HA$215,MATCH($BC86,SAM!$A$8:$A$215,0),MATCH(BE$48,SAM!$B$7:$HA$7,0)),0)</f>
        <v>0</v>
      </c>
      <c r="BF86" s="48">
        <f>_xlfn.IFNA(INDEX(SAM!$B$8:$HA$215,MATCH($BC86,SAM!$A$8:$A$215,0),MATCH(BF$48,SAM!$B$7:$HA$7,0)),0)</f>
        <v>0</v>
      </c>
      <c r="BG86" s="48">
        <f>_xlfn.IFNA(INDEX(SAM!$B$8:$HA$215,MATCH($BC86,SAM!$A$8:$A$215,0),MATCH(BG$48,SAM!$B$7:$HA$7,0)),0)</f>
        <v>0</v>
      </c>
      <c r="BH86" s="48">
        <f>_xlfn.IFNA(INDEX(SAM!$B$8:$HA$215,MATCH($BC86,SAM!$A$8:$A$215,0),MATCH(BH$48,SAM!$B$7:$HA$7,0)),0)</f>
        <v>0</v>
      </c>
      <c r="BI86" s="48">
        <f>_xlfn.IFNA(INDEX(SAM!$B$8:$HA$215,MATCH($BC86,SAM!$A$8:$A$215,0),MATCH(BI$48,SAM!$B$7:$HA$7,0)),0)</f>
        <v>0</v>
      </c>
      <c r="BJ86" s="48">
        <f>_xlfn.IFNA(INDEX(SAM!$B$8:$HA$215,MATCH($BC86,SAM!$A$8:$A$215,0),MATCH(BJ$48,SAM!$B$7:$HA$7,0)),0)</f>
        <v>0</v>
      </c>
      <c r="BK86" s="48">
        <f>_xlfn.IFNA(INDEX(SAM!$B$8:$HA$215,MATCH($BC86,SAM!$A$8:$A$215,0),MATCH(BK$48,SAM!$B$7:$HA$7,0)),0)</f>
        <v>0</v>
      </c>
      <c r="BL86" s="48">
        <f>_xlfn.IFNA(INDEX(SAM!$B$8:$HA$215,MATCH($BC86,SAM!$A$8:$A$215,0),MATCH(BL$48,SAM!$B$7:$HA$7,0)),0)</f>
        <v>0</v>
      </c>
      <c r="BM86" s="48">
        <f>_xlfn.IFNA(INDEX(SAM!$B$8:$HA$215,MATCH($BC86,SAM!$A$8:$A$215,0),MATCH(BM$48,SAM!$B$7:$HA$7,0)),0)</f>
        <v>0</v>
      </c>
      <c r="BN86" s="48">
        <f>_xlfn.IFNA(INDEX(SAM!$B$8:$HA$215,MATCH($BC86,SAM!$A$8:$A$215,0),MATCH(BN$48,SAM!$B$7:$HA$7,0)),0)</f>
        <v>0</v>
      </c>
      <c r="BO86" s="48">
        <f>_xlfn.IFNA(INDEX(SAM!$B$8:$HA$215,MATCH($BC86,SAM!$A$8:$A$215,0),MATCH(BO$48,SAM!$B$7:$HA$7,0)),0)</f>
        <v>0</v>
      </c>
      <c r="BP86" s="48">
        <f>_xlfn.IFNA(INDEX(SAM!$B$8:$HA$215,MATCH($BC86,SAM!$A$8:$A$215,0),MATCH(BP$48,SAM!$B$7:$HA$7,0)),0)</f>
        <v>0</v>
      </c>
      <c r="BQ86" s="48">
        <f>_xlfn.IFNA(INDEX(SAM!$B$8:$HA$215,MATCH($BC86,SAM!$A$8:$A$215,0),MATCH(BQ$48,SAM!$B$7:$HA$7,0)),0)</f>
        <v>0</v>
      </c>
      <c r="BR86" s="48">
        <f>_xlfn.IFNA(INDEX(SAM!$B$8:$HA$215,MATCH($BC86,SAM!$A$8:$A$215,0),MATCH(BR$48,SAM!$B$7:$HA$7,0)),0)</f>
        <v>0</v>
      </c>
      <c r="BT86" t="str">
        <f t="shared" si="109"/>
        <v>ccons</v>
      </c>
      <c r="BU86" s="7">
        <f t="shared" si="110"/>
        <v>0</v>
      </c>
      <c r="BW86" s="51" t="s">
        <v>549</v>
      </c>
      <c r="BX86" s="43">
        <f t="shared" si="116"/>
        <v>1.3527404067574487</v>
      </c>
    </row>
    <row r="87" spans="1:76" x14ac:dyDescent="0.35">
      <c r="A87" s="38" t="str">
        <f t="shared" si="136"/>
        <v>hotels and restaurants</v>
      </c>
      <c r="B87" s="38" t="s">
        <v>49</v>
      </c>
      <c r="C87" s="46">
        <f t="shared" si="79"/>
        <v>0</v>
      </c>
      <c r="D87" s="46">
        <f t="shared" si="80"/>
        <v>0</v>
      </c>
      <c r="E87" s="46">
        <f t="shared" si="81"/>
        <v>0</v>
      </c>
      <c r="F87" s="46">
        <f t="shared" si="82"/>
        <v>2.4648414134071342E-3</v>
      </c>
      <c r="G87" s="46">
        <f t="shared" si="83"/>
        <v>0.14246492644212011</v>
      </c>
      <c r="H87" s="46">
        <f t="shared" si="84"/>
        <v>0</v>
      </c>
      <c r="I87" s="46">
        <f t="shared" si="85"/>
        <v>0</v>
      </c>
      <c r="J87" s="46">
        <f t="shared" si="86"/>
        <v>0</v>
      </c>
      <c r="K87" s="46">
        <f t="shared" si="87"/>
        <v>0</v>
      </c>
      <c r="L87" s="46">
        <f t="shared" si="88"/>
        <v>0.14559591173858438</v>
      </c>
      <c r="M87" s="46">
        <f t="shared" si="89"/>
        <v>0</v>
      </c>
      <c r="N87" s="46">
        <f t="shared" si="90"/>
        <v>0</v>
      </c>
      <c r="O87" s="46">
        <f t="shared" si="91"/>
        <v>0</v>
      </c>
      <c r="P87" s="46">
        <f t="shared" si="92"/>
        <v>0</v>
      </c>
      <c r="Q87" s="46">
        <f t="shared" si="93"/>
        <v>1.3722213900957487</v>
      </c>
      <c r="R87" s="46">
        <f t="shared" si="94"/>
        <v>0.52849458878354338</v>
      </c>
      <c r="S87" s="38"/>
      <c r="T87" s="38" t="str">
        <f t="shared" si="137"/>
        <v>hotl</v>
      </c>
      <c r="U87" s="46">
        <f t="shared" si="138"/>
        <v>0</v>
      </c>
      <c r="V87" s="46">
        <f t="shared" si="139"/>
        <v>0</v>
      </c>
      <c r="W87" s="46">
        <f t="shared" si="140"/>
        <v>0</v>
      </c>
      <c r="X87" s="46">
        <f t="shared" si="141"/>
        <v>1.9685335428797232E-2</v>
      </c>
      <c r="Y87" s="46">
        <f t="shared" si="142"/>
        <v>2.0368931501907852</v>
      </c>
      <c r="Z87" s="46">
        <f t="shared" si="143"/>
        <v>0</v>
      </c>
      <c r="AA87" s="46">
        <f t="shared" si="144"/>
        <v>0</v>
      </c>
      <c r="AB87" s="46">
        <f t="shared" si="145"/>
        <v>0</v>
      </c>
      <c r="AC87" s="46">
        <f t="shared" si="146"/>
        <v>0</v>
      </c>
      <c r="AD87" s="46">
        <f t="shared" si="147"/>
        <v>0.32018129304547555</v>
      </c>
      <c r="AE87" s="46">
        <f t="shared" si="148"/>
        <v>0</v>
      </c>
      <c r="AF87" s="46">
        <f t="shared" si="149"/>
        <v>0</v>
      </c>
      <c r="AG87" s="46">
        <f t="shared" si="150"/>
        <v>0</v>
      </c>
      <c r="AH87" s="46">
        <f t="shared" si="151"/>
        <v>0</v>
      </c>
      <c r="AI87" s="46">
        <f t="shared" si="152"/>
        <v>32.143193730517673</v>
      </c>
      <c r="AJ87" s="46">
        <f t="shared" si="153"/>
        <v>34.519953509182734</v>
      </c>
      <c r="AK87" s="38"/>
      <c r="AL87" s="38" t="str">
        <f t="shared" si="154"/>
        <v>chotl</v>
      </c>
      <c r="AM87" s="46">
        <f>_xlfn.IFNA(INDEX(SAM!$B$8:$HA$215,MATCH($AL87,SAM!$A$8:$A$215,0),MATCH(AM$48,SAM!$B$7:$HA$7,0)),0)</f>
        <v>0</v>
      </c>
      <c r="AN87" s="46">
        <f>_xlfn.IFNA(INDEX(SAM!$B$8:$HA$215,MATCH($AL87,SAM!$A$8:$A$215,0),MATCH(AN$48,SAM!$B$7:$HA$7,0)),0)</f>
        <v>0</v>
      </c>
      <c r="AO87" s="46">
        <f>_xlfn.IFNA(INDEX(SAM!$B$8:$HA$215,MATCH($AL87,SAM!$A$8:$A$215,0),MATCH(AO$48,SAM!$B$7:$HA$7,0)),0)</f>
        <v>0</v>
      </c>
      <c r="AP87" s="46">
        <f>_xlfn.IFNA(INDEX(SAM!$B$8:$HA$215,MATCH($AL87,SAM!$A$8:$A$215,0),MATCH(AP$48,SAM!$B$7:$HA$7,0)),0)</f>
        <v>1.9685335428797232E-2</v>
      </c>
      <c r="AQ87" s="46">
        <f>_xlfn.IFNA(INDEX(SAM!$B$8:$HA$215,MATCH($AL87,SAM!$A$8:$A$215,0),MATCH(AQ$48,SAM!$B$7:$HA$7,0)),0)</f>
        <v>2.0368931501907852</v>
      </c>
      <c r="AR87" s="46">
        <f>_xlfn.IFNA(INDEX(SAM!$B$8:$HA$215,MATCH($AL87,SAM!$A$8:$A$215,0),MATCH(AR$48,SAM!$B$7:$HA$7,0)),0)</f>
        <v>0</v>
      </c>
      <c r="AS87" s="46">
        <f>_xlfn.IFNA(INDEX(SAM!$B$8:$HA$215,MATCH($AL87,SAM!$A$8:$A$215,0),MATCH(AS$48,SAM!$B$7:$HA$7,0)),0)</f>
        <v>0</v>
      </c>
      <c r="AT87" s="46">
        <f>_xlfn.IFNA(INDEX(SAM!$B$8:$HA$215,MATCH($AL87,SAM!$A$8:$A$215,0),MATCH(AT$48,SAM!$B$7:$HA$7,0)),0)</f>
        <v>0</v>
      </c>
      <c r="AU87" s="46">
        <f>_xlfn.IFNA(INDEX(SAM!$B$8:$HA$215,MATCH($AL87,SAM!$A$8:$A$215,0),MATCH(AU$48,SAM!$B$7:$HA$7,0)),0)</f>
        <v>0</v>
      </c>
      <c r="AV87" s="46">
        <f>_xlfn.IFNA(INDEX(SAM!$B$8:$HA$215,MATCH($AL87,SAM!$A$8:$A$215,0),MATCH(AV$48,SAM!$B$7:$HA$7,0)),0)</f>
        <v>0.32018129304547555</v>
      </c>
      <c r="AW87" s="46">
        <f>_xlfn.IFNA(INDEX(SAM!$B$8:$HA$215,MATCH($AL87,SAM!$A$8:$A$215,0),MATCH(AW$48,SAM!$B$7:$HA$7,0)),0)</f>
        <v>0</v>
      </c>
      <c r="AX87" s="46">
        <f>_xlfn.IFNA(INDEX(SAM!$B$8:$HA$215,MATCH($AL87,SAM!$A$8:$A$215,0),MATCH(AX$48,SAM!$B$7:$HA$7,0)),0)</f>
        <v>0</v>
      </c>
      <c r="AY87" s="46">
        <f>_xlfn.IFNA(INDEX(SAM!$B$8:$HA$215,MATCH($AL87,SAM!$A$8:$A$215,0),MATCH(AY$48,SAM!$B$7:$HA$7,0)),0)</f>
        <v>0</v>
      </c>
      <c r="AZ87" s="46">
        <f>_xlfn.IFNA(INDEX(SAM!$B$8:$HA$215,MATCH($AL87,SAM!$A$8:$A$215,0),MATCH(AZ$48,SAM!$B$7:$HA$7,0)),0)</f>
        <v>0</v>
      </c>
      <c r="BA87" s="46">
        <f>_xlfn.IFNA(INDEX(SAM!$B$8:$HA$215,MATCH($AL87,SAM!$A$8:$A$215,0),MATCH(BA$48,SAM!$B$7:$HA$7,0)),0)</f>
        <v>32.143193730517673</v>
      </c>
      <c r="BB87" s="46"/>
      <c r="BC87" s="38" t="str">
        <f t="shared" si="155"/>
        <v>ahotl</v>
      </c>
      <c r="BD87" s="46">
        <f>_xlfn.IFNA(INDEX(SAM!$B$8:$HA$215,MATCH($BC87,SAM!$A$8:$A$215,0),MATCH(BD$48,SAM!$B$7:$HA$7,0)),0)</f>
        <v>0</v>
      </c>
      <c r="BE87" s="46">
        <f>_xlfn.IFNA(INDEX(SAM!$B$8:$HA$215,MATCH($BC87,SAM!$A$8:$A$215,0),MATCH(BE$48,SAM!$B$7:$HA$7,0)),0)</f>
        <v>0</v>
      </c>
      <c r="BF87" s="46">
        <f>_xlfn.IFNA(INDEX(SAM!$B$8:$HA$215,MATCH($BC87,SAM!$A$8:$A$215,0),MATCH(BF$48,SAM!$B$7:$HA$7,0)),0)</f>
        <v>0</v>
      </c>
      <c r="BG87" s="46">
        <f>_xlfn.IFNA(INDEX(SAM!$B$8:$HA$215,MATCH($BC87,SAM!$A$8:$A$215,0),MATCH(BG$48,SAM!$B$7:$HA$7,0)),0)</f>
        <v>0</v>
      </c>
      <c r="BH87" s="46">
        <f>_xlfn.IFNA(INDEX(SAM!$B$8:$HA$215,MATCH($BC87,SAM!$A$8:$A$215,0),MATCH(BH$48,SAM!$B$7:$HA$7,0)),0)</f>
        <v>0</v>
      </c>
      <c r="BI87" s="46">
        <f>_xlfn.IFNA(INDEX(SAM!$B$8:$HA$215,MATCH($BC87,SAM!$A$8:$A$215,0),MATCH(BI$48,SAM!$B$7:$HA$7,0)),0)</f>
        <v>0</v>
      </c>
      <c r="BJ87" s="46">
        <f>_xlfn.IFNA(INDEX(SAM!$B$8:$HA$215,MATCH($BC87,SAM!$A$8:$A$215,0),MATCH(BJ$48,SAM!$B$7:$HA$7,0)),0)</f>
        <v>0</v>
      </c>
      <c r="BK87" s="46">
        <f>_xlfn.IFNA(INDEX(SAM!$B$8:$HA$215,MATCH($BC87,SAM!$A$8:$A$215,0),MATCH(BK$48,SAM!$B$7:$HA$7,0)),0)</f>
        <v>0</v>
      </c>
      <c r="BL87" s="46">
        <f>_xlfn.IFNA(INDEX(SAM!$B$8:$HA$215,MATCH($BC87,SAM!$A$8:$A$215,0),MATCH(BL$48,SAM!$B$7:$HA$7,0)),0)</f>
        <v>0</v>
      </c>
      <c r="BM87" s="46">
        <f>_xlfn.IFNA(INDEX(SAM!$B$8:$HA$215,MATCH($BC87,SAM!$A$8:$A$215,0),MATCH(BM$48,SAM!$B$7:$HA$7,0)),0)</f>
        <v>0</v>
      </c>
      <c r="BN87" s="46">
        <f>_xlfn.IFNA(INDEX(SAM!$B$8:$HA$215,MATCH($BC87,SAM!$A$8:$A$215,0),MATCH(BN$48,SAM!$B$7:$HA$7,0)),0)</f>
        <v>0</v>
      </c>
      <c r="BO87" s="46">
        <f>_xlfn.IFNA(INDEX(SAM!$B$8:$HA$215,MATCH($BC87,SAM!$A$8:$A$215,0),MATCH(BO$48,SAM!$B$7:$HA$7,0)),0)</f>
        <v>0</v>
      </c>
      <c r="BP87" s="46">
        <f>_xlfn.IFNA(INDEX(SAM!$B$8:$HA$215,MATCH($BC87,SAM!$A$8:$A$215,0),MATCH(BP$48,SAM!$B$7:$HA$7,0)),0)</f>
        <v>0</v>
      </c>
      <c r="BQ87" s="46">
        <f>_xlfn.IFNA(INDEX(SAM!$B$8:$HA$215,MATCH($BC87,SAM!$A$8:$A$215,0),MATCH(BQ$48,SAM!$B$7:$HA$7,0)),0)</f>
        <v>0</v>
      </c>
      <c r="BR87" s="46">
        <f>_xlfn.IFNA(INDEX(SAM!$B$8:$HA$215,MATCH($BC87,SAM!$A$8:$A$215,0),MATCH(BR$48,SAM!$B$7:$HA$7,0)),0)</f>
        <v>0</v>
      </c>
      <c r="BT87" t="str">
        <f t="shared" si="109"/>
        <v>chotl</v>
      </c>
      <c r="BU87" s="7">
        <f t="shared" si="110"/>
        <v>34.519953509182734</v>
      </c>
      <c r="BW87" s="51" t="s">
        <v>202</v>
      </c>
      <c r="BX87" s="43">
        <f t="shared" si="116"/>
        <v>4.340049608966714</v>
      </c>
    </row>
    <row r="88" spans="1:76" x14ac:dyDescent="0.35">
      <c r="A88" s="26" t="str">
        <f t="shared" si="136"/>
        <v>hotels and restaurants</v>
      </c>
      <c r="B88" s="26" t="s">
        <v>550</v>
      </c>
      <c r="C88" s="45">
        <f t="shared" si="79"/>
        <v>0.84084044936852287</v>
      </c>
      <c r="D88" s="45">
        <f t="shared" si="80"/>
        <v>1.17882737745415</v>
      </c>
      <c r="E88" s="45">
        <f t="shared" si="81"/>
        <v>1.3145767564381803</v>
      </c>
      <c r="F88" s="45">
        <f t="shared" si="82"/>
        <v>1.3994386351915791</v>
      </c>
      <c r="G88" s="45">
        <f t="shared" si="83"/>
        <v>1.3554723024719639</v>
      </c>
      <c r="H88" s="45">
        <f t="shared" si="84"/>
        <v>1.5570111723931992</v>
      </c>
      <c r="I88" s="45">
        <f t="shared" si="85"/>
        <v>1.7069852281288846</v>
      </c>
      <c r="J88" s="45">
        <f t="shared" si="86"/>
        <v>1.8934500024839291</v>
      </c>
      <c r="K88" s="45">
        <f t="shared" si="87"/>
        <v>1.9269999515784375</v>
      </c>
      <c r="L88" s="45">
        <f t="shared" si="88"/>
        <v>1.8619733744824483</v>
      </c>
      <c r="M88" s="45">
        <f t="shared" si="89"/>
        <v>1.5979661794539299</v>
      </c>
      <c r="N88" s="45">
        <f t="shared" si="90"/>
        <v>1.5926968550572793</v>
      </c>
      <c r="O88" s="45">
        <f t="shared" si="91"/>
        <v>1.636920536676846</v>
      </c>
      <c r="P88" s="45">
        <f t="shared" si="92"/>
        <v>2.2841586265345062</v>
      </c>
      <c r="Q88" s="45">
        <f t="shared" si="93"/>
        <v>1.2408750796455832</v>
      </c>
      <c r="R88" s="45">
        <f t="shared" si="94"/>
        <v>1.3527404067574487</v>
      </c>
      <c r="S88" s="26"/>
      <c r="T88" s="26" t="str">
        <f t="shared" si="137"/>
        <v>rest</v>
      </c>
      <c r="U88" s="45">
        <f t="shared" si="138"/>
        <v>2.20657954002069</v>
      </c>
      <c r="V88" s="45">
        <f t="shared" si="139"/>
        <v>4.4068486096613508</v>
      </c>
      <c r="W88" s="45">
        <f t="shared" si="140"/>
        <v>7.6626881631519659</v>
      </c>
      <c r="X88" s="45">
        <f t="shared" si="141"/>
        <v>11.176548233861601</v>
      </c>
      <c r="Y88" s="45">
        <f t="shared" si="142"/>
        <v>19.37987346871779</v>
      </c>
      <c r="Z88" s="45">
        <f t="shared" si="143"/>
        <v>0.26905942037647346</v>
      </c>
      <c r="AA88" s="45">
        <f t="shared" si="144"/>
        <v>0.38072816850215108</v>
      </c>
      <c r="AB88" s="45">
        <f t="shared" si="145"/>
        <v>0.52026791077782608</v>
      </c>
      <c r="AC88" s="45">
        <f t="shared" si="146"/>
        <v>1.0447785372067726</v>
      </c>
      <c r="AD88" s="45">
        <f t="shared" si="147"/>
        <v>4.0946825741127384</v>
      </c>
      <c r="AE88" s="45">
        <f t="shared" si="148"/>
        <v>0.19078226764277068</v>
      </c>
      <c r="AF88" s="45">
        <f t="shared" si="149"/>
        <v>0.57992246259849667</v>
      </c>
      <c r="AG88" s="45">
        <f t="shared" si="150"/>
        <v>1.687439213882137</v>
      </c>
      <c r="AH88" s="45">
        <f t="shared" si="151"/>
        <v>5.6909329887140565</v>
      </c>
      <c r="AI88" s="45">
        <f t="shared" si="152"/>
        <v>29.066510964121068</v>
      </c>
      <c r="AJ88" s="45">
        <f t="shared" si="153"/>
        <v>88.357642523347891</v>
      </c>
      <c r="AK88" s="26"/>
      <c r="AL88" s="26" t="str">
        <f t="shared" si="154"/>
        <v>crest</v>
      </c>
      <c r="AM88" s="45">
        <f>_xlfn.IFNA(INDEX(SAM!$B$8:$HA$215,MATCH($AL88,SAM!$A$8:$A$215,0),MATCH(AM$48,SAM!$B$7:$HA$7,0)),0)</f>
        <v>2.20657954002069</v>
      </c>
      <c r="AN88" s="45">
        <f>_xlfn.IFNA(INDEX(SAM!$B$8:$HA$215,MATCH($AL88,SAM!$A$8:$A$215,0),MATCH(AN$48,SAM!$B$7:$HA$7,0)),0)</f>
        <v>4.4068486096613508</v>
      </c>
      <c r="AO88" s="45">
        <f>_xlfn.IFNA(INDEX(SAM!$B$8:$HA$215,MATCH($AL88,SAM!$A$8:$A$215,0),MATCH(AO$48,SAM!$B$7:$HA$7,0)),0)</f>
        <v>7.6626881631519659</v>
      </c>
      <c r="AP88" s="45">
        <f>_xlfn.IFNA(INDEX(SAM!$B$8:$HA$215,MATCH($AL88,SAM!$A$8:$A$215,0),MATCH(AP$48,SAM!$B$7:$HA$7,0)),0)</f>
        <v>11.176548233861601</v>
      </c>
      <c r="AQ88" s="45">
        <f>_xlfn.IFNA(INDEX(SAM!$B$8:$HA$215,MATCH($AL88,SAM!$A$8:$A$215,0),MATCH(AQ$48,SAM!$B$7:$HA$7,0)),0)</f>
        <v>19.37987346871779</v>
      </c>
      <c r="AR88" s="45">
        <f>_xlfn.IFNA(INDEX(SAM!$B$8:$HA$215,MATCH($AL88,SAM!$A$8:$A$215,0),MATCH(AR$48,SAM!$B$7:$HA$7,0)),0)</f>
        <v>0.26905942037647346</v>
      </c>
      <c r="AS88" s="45">
        <f>_xlfn.IFNA(INDEX(SAM!$B$8:$HA$215,MATCH($AL88,SAM!$A$8:$A$215,0),MATCH(AS$48,SAM!$B$7:$HA$7,0)),0)</f>
        <v>0.38072816850215108</v>
      </c>
      <c r="AT88" s="45">
        <f>_xlfn.IFNA(INDEX(SAM!$B$8:$HA$215,MATCH($AL88,SAM!$A$8:$A$215,0),MATCH(AT$48,SAM!$B$7:$HA$7,0)),0)</f>
        <v>0.52026791077782608</v>
      </c>
      <c r="AU88" s="45">
        <f>_xlfn.IFNA(INDEX(SAM!$B$8:$HA$215,MATCH($AL88,SAM!$A$8:$A$215,0),MATCH(AU$48,SAM!$B$7:$HA$7,0)),0)</f>
        <v>1.0447785372067726</v>
      </c>
      <c r="AV88" s="45">
        <f>_xlfn.IFNA(INDEX(SAM!$B$8:$HA$215,MATCH($AL88,SAM!$A$8:$A$215,0),MATCH(AV$48,SAM!$B$7:$HA$7,0)),0)</f>
        <v>4.0946825741127384</v>
      </c>
      <c r="AW88" s="45">
        <f>_xlfn.IFNA(INDEX(SAM!$B$8:$HA$215,MATCH($AL88,SAM!$A$8:$A$215,0),MATCH(AW$48,SAM!$B$7:$HA$7,0)),0)</f>
        <v>0.19078226764277068</v>
      </c>
      <c r="AX88" s="45">
        <f>_xlfn.IFNA(INDEX(SAM!$B$8:$HA$215,MATCH($AL88,SAM!$A$8:$A$215,0),MATCH(AX$48,SAM!$B$7:$HA$7,0)),0)</f>
        <v>0.57992246259849667</v>
      </c>
      <c r="AY88" s="45">
        <f>_xlfn.IFNA(INDEX(SAM!$B$8:$HA$215,MATCH($AL88,SAM!$A$8:$A$215,0),MATCH(AY$48,SAM!$B$7:$HA$7,0)),0)</f>
        <v>1.687439213882137</v>
      </c>
      <c r="AZ88" s="45">
        <f>_xlfn.IFNA(INDEX(SAM!$B$8:$HA$215,MATCH($AL88,SAM!$A$8:$A$215,0),MATCH(AZ$48,SAM!$B$7:$HA$7,0)),0)</f>
        <v>5.6909329887140565</v>
      </c>
      <c r="BA88" s="45">
        <f>_xlfn.IFNA(INDEX(SAM!$B$8:$HA$215,MATCH($AL88,SAM!$A$8:$A$215,0),MATCH(BA$48,SAM!$B$7:$HA$7,0)),0)</f>
        <v>29.066510964121068</v>
      </c>
      <c r="BB88" s="45"/>
      <c r="BC88" s="26" t="str">
        <f t="shared" si="155"/>
        <v>arest</v>
      </c>
      <c r="BD88" s="45">
        <f>_xlfn.IFNA(INDEX(SAM!$B$8:$HA$215,MATCH($BC88,SAM!$A$8:$A$215,0),MATCH(BD$48,SAM!$B$7:$HA$7,0)),0)</f>
        <v>0</v>
      </c>
      <c r="BE88" s="45">
        <f>_xlfn.IFNA(INDEX(SAM!$B$8:$HA$215,MATCH($BC88,SAM!$A$8:$A$215,0),MATCH(BE$48,SAM!$B$7:$HA$7,0)),0)</f>
        <v>0</v>
      </c>
      <c r="BF88" s="45">
        <f>_xlfn.IFNA(INDEX(SAM!$B$8:$HA$215,MATCH($BC88,SAM!$A$8:$A$215,0),MATCH(BF$48,SAM!$B$7:$HA$7,0)),0)</f>
        <v>0</v>
      </c>
      <c r="BG88" s="45">
        <f>_xlfn.IFNA(INDEX(SAM!$B$8:$HA$215,MATCH($BC88,SAM!$A$8:$A$215,0),MATCH(BG$48,SAM!$B$7:$HA$7,0)),0)</f>
        <v>0</v>
      </c>
      <c r="BH88" s="45">
        <f>_xlfn.IFNA(INDEX(SAM!$B$8:$HA$215,MATCH($BC88,SAM!$A$8:$A$215,0),MATCH(BH$48,SAM!$B$7:$HA$7,0)),0)</f>
        <v>0</v>
      </c>
      <c r="BI88" s="45">
        <f>_xlfn.IFNA(INDEX(SAM!$B$8:$HA$215,MATCH($BC88,SAM!$A$8:$A$215,0),MATCH(BI$48,SAM!$B$7:$HA$7,0)),0)</f>
        <v>0</v>
      </c>
      <c r="BJ88" s="45">
        <f>_xlfn.IFNA(INDEX(SAM!$B$8:$HA$215,MATCH($BC88,SAM!$A$8:$A$215,0),MATCH(BJ$48,SAM!$B$7:$HA$7,0)),0)</f>
        <v>0</v>
      </c>
      <c r="BK88" s="45">
        <f>_xlfn.IFNA(INDEX(SAM!$B$8:$HA$215,MATCH($BC88,SAM!$A$8:$A$215,0),MATCH(BK$48,SAM!$B$7:$HA$7,0)),0)</f>
        <v>0</v>
      </c>
      <c r="BL88" s="45">
        <f>_xlfn.IFNA(INDEX(SAM!$B$8:$HA$215,MATCH($BC88,SAM!$A$8:$A$215,0),MATCH(BL$48,SAM!$B$7:$HA$7,0)),0)</f>
        <v>0</v>
      </c>
      <c r="BM88" s="45">
        <f>_xlfn.IFNA(INDEX(SAM!$B$8:$HA$215,MATCH($BC88,SAM!$A$8:$A$215,0),MATCH(BM$48,SAM!$B$7:$HA$7,0)),0)</f>
        <v>0</v>
      </c>
      <c r="BN88" s="45">
        <f>_xlfn.IFNA(INDEX(SAM!$B$8:$HA$215,MATCH($BC88,SAM!$A$8:$A$215,0),MATCH(BN$48,SAM!$B$7:$HA$7,0)),0)</f>
        <v>0</v>
      </c>
      <c r="BO88" s="45">
        <f>_xlfn.IFNA(INDEX(SAM!$B$8:$HA$215,MATCH($BC88,SAM!$A$8:$A$215,0),MATCH(BO$48,SAM!$B$7:$HA$7,0)),0)</f>
        <v>0</v>
      </c>
      <c r="BP88" s="45">
        <f>_xlfn.IFNA(INDEX(SAM!$B$8:$HA$215,MATCH($BC88,SAM!$A$8:$A$215,0),MATCH(BP$48,SAM!$B$7:$HA$7,0)),0)</f>
        <v>0</v>
      </c>
      <c r="BQ88" s="45">
        <f>_xlfn.IFNA(INDEX(SAM!$B$8:$HA$215,MATCH($BC88,SAM!$A$8:$A$215,0),MATCH(BQ$48,SAM!$B$7:$HA$7,0)),0)</f>
        <v>0</v>
      </c>
      <c r="BR88" s="45">
        <f>_xlfn.IFNA(INDEX(SAM!$B$8:$HA$215,MATCH($BC88,SAM!$A$8:$A$215,0),MATCH(BR$48,SAM!$B$7:$HA$7,0)),0)</f>
        <v>0</v>
      </c>
      <c r="BT88" t="str">
        <f t="shared" si="109"/>
        <v>crest</v>
      </c>
      <c r="BU88" s="7">
        <f t="shared" si="110"/>
        <v>88.357642523347891</v>
      </c>
      <c r="BW88" s="51" t="s">
        <v>203</v>
      </c>
      <c r="BX88" s="43">
        <f t="shared" si="116"/>
        <v>0.97519600922708471</v>
      </c>
    </row>
    <row r="89" spans="1:76" x14ac:dyDescent="0.35">
      <c r="A89" s="38" t="str">
        <f t="shared" si="136"/>
        <v>trade, transport and comm</v>
      </c>
      <c r="B89" s="38" t="s">
        <v>47</v>
      </c>
      <c r="C89" s="46">
        <f t="shared" si="79"/>
        <v>0.37883430499809517</v>
      </c>
      <c r="D89" s="46">
        <f t="shared" si="80"/>
        <v>0.53822567930998699</v>
      </c>
      <c r="E89" s="46">
        <f t="shared" si="81"/>
        <v>0.72532173683858847</v>
      </c>
      <c r="F89" s="46">
        <f t="shared" si="82"/>
        <v>0.73891756019345334</v>
      </c>
      <c r="G89" s="46">
        <f t="shared" si="83"/>
        <v>2.0536631583982001</v>
      </c>
      <c r="H89" s="46">
        <f t="shared" si="84"/>
        <v>0.21827315322171642</v>
      </c>
      <c r="I89" s="46">
        <f t="shared" si="85"/>
        <v>0.4745551528346143</v>
      </c>
      <c r="J89" s="46">
        <f t="shared" si="86"/>
        <v>7.173709879696484E-2</v>
      </c>
      <c r="K89" s="46">
        <f t="shared" si="87"/>
        <v>0.44276954892471226</v>
      </c>
      <c r="L89" s="46">
        <f t="shared" si="88"/>
        <v>1.4770342033282113</v>
      </c>
      <c r="M89" s="46">
        <f t="shared" si="89"/>
        <v>0</v>
      </c>
      <c r="N89" s="46">
        <f t="shared" si="90"/>
        <v>0.31581682152873308</v>
      </c>
      <c r="O89" s="46">
        <f t="shared" si="91"/>
        <v>0.6232977371997418</v>
      </c>
      <c r="P89" s="46">
        <f t="shared" si="92"/>
        <v>0.49402208021312993</v>
      </c>
      <c r="Q89" s="46">
        <f t="shared" si="93"/>
        <v>3.6096811600026339</v>
      </c>
      <c r="R89" s="46">
        <f t="shared" si="94"/>
        <v>2.0314842156302473</v>
      </c>
      <c r="S89" s="38"/>
      <c r="T89" s="38" t="str">
        <f t="shared" si="137"/>
        <v>trad</v>
      </c>
      <c r="U89" s="46">
        <f t="shared" si="138"/>
        <v>0.99415772290039406</v>
      </c>
      <c r="V89" s="46">
        <f t="shared" si="139"/>
        <v>2.0120665094101153</v>
      </c>
      <c r="W89" s="46">
        <f t="shared" si="140"/>
        <v>4.2279115769618016</v>
      </c>
      <c r="X89" s="46">
        <f t="shared" si="141"/>
        <v>5.9013289648237368</v>
      </c>
      <c r="Y89" s="46">
        <f t="shared" si="142"/>
        <v>29.36226146749145</v>
      </c>
      <c r="Z89" s="46">
        <f t="shared" si="143"/>
        <v>3.7718706924441535E-2</v>
      </c>
      <c r="AA89" s="46">
        <f t="shared" si="144"/>
        <v>0.10584538824043019</v>
      </c>
      <c r="AB89" s="46">
        <f t="shared" si="145"/>
        <v>1.971137894710593E-2</v>
      </c>
      <c r="AC89" s="46">
        <f t="shared" si="146"/>
        <v>0.24006026635669778</v>
      </c>
      <c r="AD89" s="46">
        <f t="shared" si="147"/>
        <v>3.2481593435339047</v>
      </c>
      <c r="AE89" s="46">
        <f t="shared" si="148"/>
        <v>0</v>
      </c>
      <c r="AF89" s="46">
        <f t="shared" si="149"/>
        <v>0.11499317543663139</v>
      </c>
      <c r="AG89" s="46">
        <f t="shared" si="150"/>
        <v>0.64253396552167785</v>
      </c>
      <c r="AH89" s="46">
        <f t="shared" si="151"/>
        <v>1.2308455817289408</v>
      </c>
      <c r="AI89" s="46">
        <f t="shared" si="152"/>
        <v>84.553907750460368</v>
      </c>
      <c r="AJ89" s="46">
        <f t="shared" si="153"/>
        <v>132.6915017987377</v>
      </c>
      <c r="AK89" s="38"/>
      <c r="AL89" s="38" t="str">
        <f t="shared" si="154"/>
        <v>ctrad</v>
      </c>
      <c r="AM89" s="46">
        <f>_xlfn.IFNA(INDEX(SAM!$B$8:$HA$215,MATCH($AL89,SAM!$A$8:$A$215,0),MATCH(AM$48,SAM!$B$7:$HA$7,0)),0)</f>
        <v>0.99415772290039406</v>
      </c>
      <c r="AN89" s="46">
        <f>_xlfn.IFNA(INDEX(SAM!$B$8:$HA$215,MATCH($AL89,SAM!$A$8:$A$215,0),MATCH(AN$48,SAM!$B$7:$HA$7,0)),0)</f>
        <v>2.0120665094101153</v>
      </c>
      <c r="AO89" s="46">
        <f>_xlfn.IFNA(INDEX(SAM!$B$8:$HA$215,MATCH($AL89,SAM!$A$8:$A$215,0),MATCH(AO$48,SAM!$B$7:$HA$7,0)),0)</f>
        <v>4.2279115769618016</v>
      </c>
      <c r="AP89" s="46">
        <f>_xlfn.IFNA(INDEX(SAM!$B$8:$HA$215,MATCH($AL89,SAM!$A$8:$A$215,0),MATCH(AP$48,SAM!$B$7:$HA$7,0)),0)</f>
        <v>5.9013289648237368</v>
      </c>
      <c r="AQ89" s="46">
        <f>_xlfn.IFNA(INDEX(SAM!$B$8:$HA$215,MATCH($AL89,SAM!$A$8:$A$215,0),MATCH(AQ$48,SAM!$B$7:$HA$7,0)),0)</f>
        <v>29.36226146749145</v>
      </c>
      <c r="AR89" s="46">
        <f>_xlfn.IFNA(INDEX(SAM!$B$8:$HA$215,MATCH($AL89,SAM!$A$8:$A$215,0),MATCH(AR$48,SAM!$B$7:$HA$7,0)),0)</f>
        <v>3.7718706924441535E-2</v>
      </c>
      <c r="AS89" s="46">
        <f>_xlfn.IFNA(INDEX(SAM!$B$8:$HA$215,MATCH($AL89,SAM!$A$8:$A$215,0),MATCH(AS$48,SAM!$B$7:$HA$7,0)),0)</f>
        <v>0.10584538824043019</v>
      </c>
      <c r="AT89" s="46">
        <f>_xlfn.IFNA(INDEX(SAM!$B$8:$HA$215,MATCH($AL89,SAM!$A$8:$A$215,0),MATCH(AT$48,SAM!$B$7:$HA$7,0)),0)</f>
        <v>1.971137894710593E-2</v>
      </c>
      <c r="AU89" s="46">
        <f>_xlfn.IFNA(INDEX(SAM!$B$8:$HA$215,MATCH($AL89,SAM!$A$8:$A$215,0),MATCH(AU$48,SAM!$B$7:$HA$7,0)),0)</f>
        <v>0.24006026635669778</v>
      </c>
      <c r="AV89" s="46">
        <f>_xlfn.IFNA(INDEX(SAM!$B$8:$HA$215,MATCH($AL89,SAM!$A$8:$A$215,0),MATCH(AV$48,SAM!$B$7:$HA$7,0)),0)</f>
        <v>3.2481593435339047</v>
      </c>
      <c r="AW89" s="46">
        <f>_xlfn.IFNA(INDEX(SAM!$B$8:$HA$215,MATCH($AL89,SAM!$A$8:$A$215,0),MATCH(AW$48,SAM!$B$7:$HA$7,0)),0)</f>
        <v>0</v>
      </c>
      <c r="AX89" s="46">
        <f>_xlfn.IFNA(INDEX(SAM!$B$8:$HA$215,MATCH($AL89,SAM!$A$8:$A$215,0),MATCH(AX$48,SAM!$B$7:$HA$7,0)),0)</f>
        <v>0.11499317543663139</v>
      </c>
      <c r="AY89" s="46">
        <f>_xlfn.IFNA(INDEX(SAM!$B$8:$HA$215,MATCH($AL89,SAM!$A$8:$A$215,0),MATCH(AY$48,SAM!$B$7:$HA$7,0)),0)</f>
        <v>0.64253396552167785</v>
      </c>
      <c r="AZ89" s="46">
        <f>_xlfn.IFNA(INDEX(SAM!$B$8:$HA$215,MATCH($AL89,SAM!$A$8:$A$215,0),MATCH(AZ$48,SAM!$B$7:$HA$7,0)),0)</f>
        <v>1.2308455817289408</v>
      </c>
      <c r="BA89" s="46">
        <f>_xlfn.IFNA(INDEX(SAM!$B$8:$HA$215,MATCH($AL89,SAM!$A$8:$A$215,0),MATCH(BA$48,SAM!$B$7:$HA$7,0)),0)</f>
        <v>84.553907750460368</v>
      </c>
      <c r="BB89" s="46"/>
      <c r="BC89" s="38" t="str">
        <f t="shared" si="155"/>
        <v>atrad</v>
      </c>
      <c r="BD89" s="46">
        <f>_xlfn.IFNA(INDEX(SAM!$B$8:$HA$215,MATCH($BC89,SAM!$A$8:$A$215,0),MATCH(BD$48,SAM!$B$7:$HA$7,0)),0)</f>
        <v>0</v>
      </c>
      <c r="BE89" s="46">
        <f>_xlfn.IFNA(INDEX(SAM!$B$8:$HA$215,MATCH($BC89,SAM!$A$8:$A$215,0),MATCH(BE$48,SAM!$B$7:$HA$7,0)),0)</f>
        <v>0</v>
      </c>
      <c r="BF89" s="46">
        <f>_xlfn.IFNA(INDEX(SAM!$B$8:$HA$215,MATCH($BC89,SAM!$A$8:$A$215,0),MATCH(BF$48,SAM!$B$7:$HA$7,0)),0)</f>
        <v>0</v>
      </c>
      <c r="BG89" s="46">
        <f>_xlfn.IFNA(INDEX(SAM!$B$8:$HA$215,MATCH($BC89,SAM!$A$8:$A$215,0),MATCH(BG$48,SAM!$B$7:$HA$7,0)),0)</f>
        <v>0</v>
      </c>
      <c r="BH89" s="46">
        <f>_xlfn.IFNA(INDEX(SAM!$B$8:$HA$215,MATCH($BC89,SAM!$A$8:$A$215,0),MATCH(BH$48,SAM!$B$7:$HA$7,0)),0)</f>
        <v>0</v>
      </c>
      <c r="BI89" s="46">
        <f>_xlfn.IFNA(INDEX(SAM!$B$8:$HA$215,MATCH($BC89,SAM!$A$8:$A$215,0),MATCH(BI$48,SAM!$B$7:$HA$7,0)),0)</f>
        <v>0</v>
      </c>
      <c r="BJ89" s="46">
        <f>_xlfn.IFNA(INDEX(SAM!$B$8:$HA$215,MATCH($BC89,SAM!$A$8:$A$215,0),MATCH(BJ$48,SAM!$B$7:$HA$7,0)),0)</f>
        <v>0</v>
      </c>
      <c r="BK89" s="46">
        <f>_xlfn.IFNA(INDEX(SAM!$B$8:$HA$215,MATCH($BC89,SAM!$A$8:$A$215,0),MATCH(BK$48,SAM!$B$7:$HA$7,0)),0)</f>
        <v>0</v>
      </c>
      <c r="BL89" s="46">
        <f>_xlfn.IFNA(INDEX(SAM!$B$8:$HA$215,MATCH($BC89,SAM!$A$8:$A$215,0),MATCH(BL$48,SAM!$B$7:$HA$7,0)),0)</f>
        <v>0</v>
      </c>
      <c r="BM89" s="46">
        <f>_xlfn.IFNA(INDEX(SAM!$B$8:$HA$215,MATCH($BC89,SAM!$A$8:$A$215,0),MATCH(BM$48,SAM!$B$7:$HA$7,0)),0)</f>
        <v>0</v>
      </c>
      <c r="BN89" s="46">
        <f>_xlfn.IFNA(INDEX(SAM!$B$8:$HA$215,MATCH($BC89,SAM!$A$8:$A$215,0),MATCH(BN$48,SAM!$B$7:$HA$7,0)),0)</f>
        <v>0</v>
      </c>
      <c r="BO89" s="46">
        <f>_xlfn.IFNA(INDEX(SAM!$B$8:$HA$215,MATCH($BC89,SAM!$A$8:$A$215,0),MATCH(BO$48,SAM!$B$7:$HA$7,0)),0)</f>
        <v>0</v>
      </c>
      <c r="BP89" s="46">
        <f>_xlfn.IFNA(INDEX(SAM!$B$8:$HA$215,MATCH($BC89,SAM!$A$8:$A$215,0),MATCH(BP$48,SAM!$B$7:$HA$7,0)),0)</f>
        <v>0</v>
      </c>
      <c r="BQ89" s="46">
        <f>_xlfn.IFNA(INDEX(SAM!$B$8:$HA$215,MATCH($BC89,SAM!$A$8:$A$215,0),MATCH(BQ$48,SAM!$B$7:$HA$7,0)),0)</f>
        <v>0</v>
      </c>
      <c r="BR89" s="46">
        <f>_xlfn.IFNA(INDEX(SAM!$B$8:$HA$215,MATCH($BC89,SAM!$A$8:$A$215,0),MATCH(BR$48,SAM!$B$7:$HA$7,0)),0)</f>
        <v>0</v>
      </c>
      <c r="BT89" t="str">
        <f t="shared" si="109"/>
        <v>ctrad</v>
      </c>
      <c r="BU89" s="7">
        <f t="shared" si="110"/>
        <v>132.6915017987377</v>
      </c>
      <c r="BW89" s="51" t="s">
        <v>204</v>
      </c>
      <c r="BX89" s="43">
        <f t="shared" si="116"/>
        <v>8.8806238093504319</v>
      </c>
    </row>
    <row r="90" spans="1:76" x14ac:dyDescent="0.35">
      <c r="A90" t="str">
        <f t="shared" si="136"/>
        <v>trade, transport and comm</v>
      </c>
      <c r="B90" t="s">
        <v>48</v>
      </c>
      <c r="C90" s="18">
        <f t="shared" si="79"/>
        <v>0.74153351611211338</v>
      </c>
      <c r="D90" s="18">
        <f t="shared" si="80"/>
        <v>1.1816109881114014</v>
      </c>
      <c r="E90" s="18">
        <f t="shared" si="81"/>
        <v>1.7709455015890589</v>
      </c>
      <c r="F90" s="18">
        <f t="shared" si="82"/>
        <v>2.4578709339732878</v>
      </c>
      <c r="G90" s="18">
        <f t="shared" si="83"/>
        <v>3.1082536140472299</v>
      </c>
      <c r="H90" s="18">
        <f t="shared" si="84"/>
        <v>0.8328742080806536</v>
      </c>
      <c r="I90" s="18">
        <f t="shared" si="85"/>
        <v>1.0636884221523937</v>
      </c>
      <c r="J90" s="18">
        <f t="shared" si="86"/>
        <v>2.5857458938329367</v>
      </c>
      <c r="K90" s="18">
        <f t="shared" si="87"/>
        <v>3.2785287773179728</v>
      </c>
      <c r="L90" s="18">
        <f t="shared" si="88"/>
        <v>3.3171423237815869</v>
      </c>
      <c r="M90" s="18">
        <f t="shared" si="89"/>
        <v>0.37694229866683748</v>
      </c>
      <c r="N90" s="18">
        <f t="shared" si="90"/>
        <v>1.6078875493894018</v>
      </c>
      <c r="O90" s="18">
        <f t="shared" si="91"/>
        <v>1.8418845011428506</v>
      </c>
      <c r="P90" s="18">
        <f t="shared" si="92"/>
        <v>2.4855577272206326</v>
      </c>
      <c r="Q90" s="18">
        <f t="shared" si="93"/>
        <v>2.801110449031567</v>
      </c>
      <c r="R90" s="18">
        <f t="shared" si="94"/>
        <v>2.5300363666774359</v>
      </c>
      <c r="T90" t="str">
        <f t="shared" si="137"/>
        <v>tran</v>
      </c>
      <c r="U90" s="18">
        <f t="shared" si="138"/>
        <v>1.9459728490957227</v>
      </c>
      <c r="V90" s="18">
        <f t="shared" si="139"/>
        <v>4.417254671642401</v>
      </c>
      <c r="W90" s="18">
        <f t="shared" si="140"/>
        <v>10.322868608586917</v>
      </c>
      <c r="X90" s="18">
        <f t="shared" si="141"/>
        <v>19.629666035623121</v>
      </c>
      <c r="Y90" s="18">
        <f t="shared" si="142"/>
        <v>44.440274905702864</v>
      </c>
      <c r="Z90" s="18">
        <f t="shared" si="143"/>
        <v>0.14392488354997099</v>
      </c>
      <c r="AA90" s="18">
        <f t="shared" si="144"/>
        <v>0.23724642612574867</v>
      </c>
      <c r="AB90" s="18">
        <f t="shared" si="145"/>
        <v>0.71049175432252942</v>
      </c>
      <c r="AC90" s="18">
        <f t="shared" si="146"/>
        <v>1.7775488252352216</v>
      </c>
      <c r="AD90" s="18">
        <f t="shared" si="147"/>
        <v>7.2947578387449896</v>
      </c>
      <c r="AE90" s="18">
        <f t="shared" si="148"/>
        <v>4.5003397089863818E-2</v>
      </c>
      <c r="AF90" s="18">
        <f t="shared" si="149"/>
        <v>0.5854535998250775</v>
      </c>
      <c r="AG90" s="18">
        <f t="shared" si="150"/>
        <v>1.8987287806773758</v>
      </c>
      <c r="AH90" s="18">
        <f t="shared" si="151"/>
        <v>6.1927145955943717</v>
      </c>
      <c r="AI90" s="18">
        <f t="shared" si="152"/>
        <v>65.61378249432228</v>
      </c>
      <c r="AJ90" s="18">
        <f t="shared" si="153"/>
        <v>165.25568966613844</v>
      </c>
      <c r="AL90" t="str">
        <f t="shared" si="154"/>
        <v>ctran</v>
      </c>
      <c r="AM90" s="18">
        <f>_xlfn.IFNA(INDEX(SAM!$B$8:$HA$215,MATCH($AL90,SAM!$A$8:$A$215,0),MATCH(AM$48,SAM!$B$7:$HA$7,0)),0)</f>
        <v>1.9459728490957227</v>
      </c>
      <c r="AN90" s="18">
        <f>_xlfn.IFNA(INDEX(SAM!$B$8:$HA$215,MATCH($AL90,SAM!$A$8:$A$215,0),MATCH(AN$48,SAM!$B$7:$HA$7,0)),0)</f>
        <v>4.417254671642401</v>
      </c>
      <c r="AO90" s="18">
        <f>_xlfn.IFNA(INDEX(SAM!$B$8:$HA$215,MATCH($AL90,SAM!$A$8:$A$215,0),MATCH(AO$48,SAM!$B$7:$HA$7,0)),0)</f>
        <v>10.322868608586917</v>
      </c>
      <c r="AP90" s="18">
        <f>_xlfn.IFNA(INDEX(SAM!$B$8:$HA$215,MATCH($AL90,SAM!$A$8:$A$215,0),MATCH(AP$48,SAM!$B$7:$HA$7,0)),0)</f>
        <v>19.629666035623121</v>
      </c>
      <c r="AQ90" s="18">
        <f>_xlfn.IFNA(INDEX(SAM!$B$8:$HA$215,MATCH($AL90,SAM!$A$8:$A$215,0),MATCH(AQ$48,SAM!$B$7:$HA$7,0)),0)</f>
        <v>44.440274905702864</v>
      </c>
      <c r="AR90" s="18">
        <f>_xlfn.IFNA(INDEX(SAM!$B$8:$HA$215,MATCH($AL90,SAM!$A$8:$A$215,0),MATCH(AR$48,SAM!$B$7:$HA$7,0)),0)</f>
        <v>0.14392488354997099</v>
      </c>
      <c r="AS90" s="18">
        <f>_xlfn.IFNA(INDEX(SAM!$B$8:$HA$215,MATCH($AL90,SAM!$A$8:$A$215,0),MATCH(AS$48,SAM!$B$7:$HA$7,0)),0)</f>
        <v>0.23724642612574867</v>
      </c>
      <c r="AT90" s="18">
        <f>_xlfn.IFNA(INDEX(SAM!$B$8:$HA$215,MATCH($AL90,SAM!$A$8:$A$215,0),MATCH(AT$48,SAM!$B$7:$HA$7,0)),0)</f>
        <v>0.71049175432252942</v>
      </c>
      <c r="AU90" s="18">
        <f>_xlfn.IFNA(INDEX(SAM!$B$8:$HA$215,MATCH($AL90,SAM!$A$8:$A$215,0),MATCH(AU$48,SAM!$B$7:$HA$7,0)),0)</f>
        <v>1.7775488252352216</v>
      </c>
      <c r="AV90" s="18">
        <f>_xlfn.IFNA(INDEX(SAM!$B$8:$HA$215,MATCH($AL90,SAM!$A$8:$A$215,0),MATCH(AV$48,SAM!$B$7:$HA$7,0)),0)</f>
        <v>7.2947578387449896</v>
      </c>
      <c r="AW90" s="18">
        <f>_xlfn.IFNA(INDEX(SAM!$B$8:$HA$215,MATCH($AL90,SAM!$A$8:$A$215,0),MATCH(AW$48,SAM!$B$7:$HA$7,0)),0)</f>
        <v>4.5003397089863818E-2</v>
      </c>
      <c r="AX90" s="18">
        <f>_xlfn.IFNA(INDEX(SAM!$B$8:$HA$215,MATCH($AL90,SAM!$A$8:$A$215,0),MATCH(AX$48,SAM!$B$7:$HA$7,0)),0)</f>
        <v>0.5854535998250775</v>
      </c>
      <c r="AY90" s="18">
        <f>_xlfn.IFNA(INDEX(SAM!$B$8:$HA$215,MATCH($AL90,SAM!$A$8:$A$215,0),MATCH(AY$48,SAM!$B$7:$HA$7,0)),0)</f>
        <v>1.8987287806773758</v>
      </c>
      <c r="AZ90" s="18">
        <f>_xlfn.IFNA(INDEX(SAM!$B$8:$HA$215,MATCH($AL90,SAM!$A$8:$A$215,0),MATCH(AZ$48,SAM!$B$7:$HA$7,0)),0)</f>
        <v>6.1927145955943717</v>
      </c>
      <c r="BA90" s="18">
        <f>_xlfn.IFNA(INDEX(SAM!$B$8:$HA$215,MATCH($AL90,SAM!$A$8:$A$215,0),MATCH(BA$48,SAM!$B$7:$HA$7,0)),0)</f>
        <v>65.61378249432228</v>
      </c>
      <c r="BB90" s="18"/>
      <c r="BC90" t="str">
        <f t="shared" si="155"/>
        <v>atran</v>
      </c>
      <c r="BD90" s="18">
        <f>_xlfn.IFNA(INDEX(SAM!$B$8:$HA$215,MATCH($BC90,SAM!$A$8:$A$215,0),MATCH(BD$48,SAM!$B$7:$HA$7,0)),0)</f>
        <v>0</v>
      </c>
      <c r="BE90" s="18">
        <f>_xlfn.IFNA(INDEX(SAM!$B$8:$HA$215,MATCH($BC90,SAM!$A$8:$A$215,0),MATCH(BE$48,SAM!$B$7:$HA$7,0)),0)</f>
        <v>0</v>
      </c>
      <c r="BF90" s="18">
        <f>_xlfn.IFNA(INDEX(SAM!$B$8:$HA$215,MATCH($BC90,SAM!$A$8:$A$215,0),MATCH(BF$48,SAM!$B$7:$HA$7,0)),0)</f>
        <v>0</v>
      </c>
      <c r="BG90" s="18">
        <f>_xlfn.IFNA(INDEX(SAM!$B$8:$HA$215,MATCH($BC90,SAM!$A$8:$A$215,0),MATCH(BG$48,SAM!$B$7:$HA$7,0)),0)</f>
        <v>0</v>
      </c>
      <c r="BH90" s="18">
        <f>_xlfn.IFNA(INDEX(SAM!$B$8:$HA$215,MATCH($BC90,SAM!$A$8:$A$215,0),MATCH(BH$48,SAM!$B$7:$HA$7,0)),0)</f>
        <v>0</v>
      </c>
      <c r="BI90" s="18">
        <f>_xlfn.IFNA(INDEX(SAM!$B$8:$HA$215,MATCH($BC90,SAM!$A$8:$A$215,0),MATCH(BI$48,SAM!$B$7:$HA$7,0)),0)</f>
        <v>0</v>
      </c>
      <c r="BJ90" s="18">
        <f>_xlfn.IFNA(INDEX(SAM!$B$8:$HA$215,MATCH($BC90,SAM!$A$8:$A$215,0),MATCH(BJ$48,SAM!$B$7:$HA$7,0)),0)</f>
        <v>0</v>
      </c>
      <c r="BK90" s="18">
        <f>_xlfn.IFNA(INDEX(SAM!$B$8:$HA$215,MATCH($BC90,SAM!$A$8:$A$215,0),MATCH(BK$48,SAM!$B$7:$HA$7,0)),0)</f>
        <v>0</v>
      </c>
      <c r="BL90" s="18">
        <f>_xlfn.IFNA(INDEX(SAM!$B$8:$HA$215,MATCH($BC90,SAM!$A$8:$A$215,0),MATCH(BL$48,SAM!$B$7:$HA$7,0)),0)</f>
        <v>0</v>
      </c>
      <c r="BM90" s="18">
        <f>_xlfn.IFNA(INDEX(SAM!$B$8:$HA$215,MATCH($BC90,SAM!$A$8:$A$215,0),MATCH(BM$48,SAM!$B$7:$HA$7,0)),0)</f>
        <v>0</v>
      </c>
      <c r="BN90" s="18">
        <f>_xlfn.IFNA(INDEX(SAM!$B$8:$HA$215,MATCH($BC90,SAM!$A$8:$A$215,0),MATCH(BN$48,SAM!$B$7:$HA$7,0)),0)</f>
        <v>0</v>
      </c>
      <c r="BO90" s="18">
        <f>_xlfn.IFNA(INDEX(SAM!$B$8:$HA$215,MATCH($BC90,SAM!$A$8:$A$215,0),MATCH(BO$48,SAM!$B$7:$HA$7,0)),0)</f>
        <v>0</v>
      </c>
      <c r="BP90" s="18">
        <f>_xlfn.IFNA(INDEX(SAM!$B$8:$HA$215,MATCH($BC90,SAM!$A$8:$A$215,0),MATCH(BP$48,SAM!$B$7:$HA$7,0)),0)</f>
        <v>0</v>
      </c>
      <c r="BQ90" s="18">
        <f>_xlfn.IFNA(INDEX(SAM!$B$8:$HA$215,MATCH($BC90,SAM!$A$8:$A$215,0),MATCH(BQ$48,SAM!$B$7:$HA$7,0)),0)</f>
        <v>0</v>
      </c>
      <c r="BR90" s="18">
        <f>_xlfn.IFNA(INDEX(SAM!$B$8:$HA$215,MATCH($BC90,SAM!$A$8:$A$215,0),MATCH(BR$48,SAM!$B$7:$HA$7,0)),0)</f>
        <v>0</v>
      </c>
      <c r="BT90" t="str">
        <f t="shared" si="109"/>
        <v>ctran</v>
      </c>
      <c r="BU90" s="7">
        <f t="shared" si="110"/>
        <v>165.25568966613844</v>
      </c>
      <c r="BW90" s="51" t="s">
        <v>205</v>
      </c>
      <c r="BX90" s="43">
        <f t="shared" si="116"/>
        <v>1.2944978329718404</v>
      </c>
    </row>
    <row r="91" spans="1:76" x14ac:dyDescent="0.35">
      <c r="A91" s="26" t="str">
        <f t="shared" si="136"/>
        <v>other services</v>
      </c>
      <c r="B91" s="26" t="s">
        <v>50</v>
      </c>
      <c r="C91" s="45">
        <f t="shared" si="79"/>
        <v>1.4205460939934673</v>
      </c>
      <c r="D91" s="45">
        <f t="shared" si="80"/>
        <v>2.1209848561809159</v>
      </c>
      <c r="E91" s="45">
        <f t="shared" si="81"/>
        <v>2.5300247840909198</v>
      </c>
      <c r="F91" s="45">
        <f t="shared" si="82"/>
        <v>2.5912414509964381</v>
      </c>
      <c r="G91" s="45">
        <f t="shared" si="83"/>
        <v>4.0405534446899534</v>
      </c>
      <c r="H91" s="45">
        <f t="shared" si="84"/>
        <v>2.2124712357861389</v>
      </c>
      <c r="I91" s="45">
        <f t="shared" si="85"/>
        <v>2.0556405497765828</v>
      </c>
      <c r="J91" s="45">
        <f t="shared" si="86"/>
        <v>3.0636146921163654</v>
      </c>
      <c r="K91" s="45">
        <f t="shared" si="87"/>
        <v>3.4873536970872574</v>
      </c>
      <c r="L91" s="45">
        <f t="shared" si="88"/>
        <v>4.8940539486997201</v>
      </c>
      <c r="M91" s="45">
        <f t="shared" si="89"/>
        <v>4.584522166556332</v>
      </c>
      <c r="N91" s="45">
        <f t="shared" si="90"/>
        <v>4.0875727449058843</v>
      </c>
      <c r="O91" s="45">
        <f t="shared" si="91"/>
        <v>5.8529772765928652</v>
      </c>
      <c r="P91" s="45">
        <f t="shared" si="92"/>
        <v>6.4393083725797711</v>
      </c>
      <c r="Q91" s="45">
        <f t="shared" si="93"/>
        <v>5.9837071265545267</v>
      </c>
      <c r="R91" s="45">
        <f t="shared" si="94"/>
        <v>4.340049608966714</v>
      </c>
      <c r="S91" s="26"/>
      <c r="T91" s="26" t="str">
        <f t="shared" si="137"/>
        <v>comm</v>
      </c>
      <c r="U91" s="45">
        <f t="shared" si="138"/>
        <v>3.7278748293048474</v>
      </c>
      <c r="V91" s="45">
        <f t="shared" si="139"/>
        <v>7.9289464626784945</v>
      </c>
      <c r="W91" s="45">
        <f t="shared" si="140"/>
        <v>14.747553439224596</v>
      </c>
      <c r="X91" s="45">
        <f t="shared" si="141"/>
        <v>20.694823148625247</v>
      </c>
      <c r="Y91" s="45">
        <f t="shared" si="142"/>
        <v>57.769837390906588</v>
      </c>
      <c r="Z91" s="45">
        <f t="shared" si="143"/>
        <v>0.3823262407200686</v>
      </c>
      <c r="AA91" s="45">
        <f t="shared" si="144"/>
        <v>0.45849269736978682</v>
      </c>
      <c r="AB91" s="45">
        <f t="shared" si="145"/>
        <v>0.84179693850097448</v>
      </c>
      <c r="AC91" s="45">
        <f t="shared" si="146"/>
        <v>1.8907692713645343</v>
      </c>
      <c r="AD91" s="45">
        <f t="shared" si="147"/>
        <v>10.762558528034035</v>
      </c>
      <c r="AE91" s="45">
        <f t="shared" si="148"/>
        <v>0.54734921567179606</v>
      </c>
      <c r="AF91" s="45">
        <f t="shared" si="149"/>
        <v>1.4883405117234727</v>
      </c>
      <c r="AG91" s="45">
        <f t="shared" si="150"/>
        <v>6.033611988603</v>
      </c>
      <c r="AH91" s="45">
        <f t="shared" si="151"/>
        <v>16.043400846295491</v>
      </c>
      <c r="AI91" s="45">
        <f t="shared" si="152"/>
        <v>140.16357621571612</v>
      </c>
      <c r="AJ91" s="45">
        <f t="shared" si="153"/>
        <v>283.48125772473907</v>
      </c>
      <c r="AK91" s="26"/>
      <c r="AL91" s="26" t="str">
        <f t="shared" si="154"/>
        <v>ccomm</v>
      </c>
      <c r="AM91" s="45">
        <f>_xlfn.IFNA(INDEX(SAM!$B$8:$HA$215,MATCH($AL91,SAM!$A$8:$A$215,0),MATCH(AM$48,SAM!$B$7:$HA$7,0)),0)</f>
        <v>3.7278748293048474</v>
      </c>
      <c r="AN91" s="45">
        <f>_xlfn.IFNA(INDEX(SAM!$B$8:$HA$215,MATCH($AL91,SAM!$A$8:$A$215,0),MATCH(AN$48,SAM!$B$7:$HA$7,0)),0)</f>
        <v>7.9289464626784945</v>
      </c>
      <c r="AO91" s="45">
        <f>_xlfn.IFNA(INDEX(SAM!$B$8:$HA$215,MATCH($AL91,SAM!$A$8:$A$215,0),MATCH(AO$48,SAM!$B$7:$HA$7,0)),0)</f>
        <v>14.747553439224596</v>
      </c>
      <c r="AP91" s="45">
        <f>_xlfn.IFNA(INDEX(SAM!$B$8:$HA$215,MATCH($AL91,SAM!$A$8:$A$215,0),MATCH(AP$48,SAM!$B$7:$HA$7,0)),0)</f>
        <v>20.694823148625247</v>
      </c>
      <c r="AQ91" s="45">
        <f>_xlfn.IFNA(INDEX(SAM!$B$8:$HA$215,MATCH($AL91,SAM!$A$8:$A$215,0),MATCH(AQ$48,SAM!$B$7:$HA$7,0)),0)</f>
        <v>57.769837390906588</v>
      </c>
      <c r="AR91" s="45">
        <f>_xlfn.IFNA(INDEX(SAM!$B$8:$HA$215,MATCH($AL91,SAM!$A$8:$A$215,0),MATCH(AR$48,SAM!$B$7:$HA$7,0)),0)</f>
        <v>0.3823262407200686</v>
      </c>
      <c r="AS91" s="45">
        <f>_xlfn.IFNA(INDEX(SAM!$B$8:$HA$215,MATCH($AL91,SAM!$A$8:$A$215,0),MATCH(AS$48,SAM!$B$7:$HA$7,0)),0)</f>
        <v>0.45849269736978682</v>
      </c>
      <c r="AT91" s="45">
        <f>_xlfn.IFNA(INDEX(SAM!$B$8:$HA$215,MATCH($AL91,SAM!$A$8:$A$215,0),MATCH(AT$48,SAM!$B$7:$HA$7,0)),0)</f>
        <v>0.84179693850097448</v>
      </c>
      <c r="AU91" s="45">
        <f>_xlfn.IFNA(INDEX(SAM!$B$8:$HA$215,MATCH($AL91,SAM!$A$8:$A$215,0),MATCH(AU$48,SAM!$B$7:$HA$7,0)),0)</f>
        <v>1.8907692713645343</v>
      </c>
      <c r="AV91" s="45">
        <f>_xlfn.IFNA(INDEX(SAM!$B$8:$HA$215,MATCH($AL91,SAM!$A$8:$A$215,0),MATCH(AV$48,SAM!$B$7:$HA$7,0)),0)</f>
        <v>10.762558528034035</v>
      </c>
      <c r="AW91" s="45">
        <f>_xlfn.IFNA(INDEX(SAM!$B$8:$HA$215,MATCH($AL91,SAM!$A$8:$A$215,0),MATCH(AW$48,SAM!$B$7:$HA$7,0)),0)</f>
        <v>0.54734921567179606</v>
      </c>
      <c r="AX91" s="45">
        <f>_xlfn.IFNA(INDEX(SAM!$B$8:$HA$215,MATCH($AL91,SAM!$A$8:$A$215,0),MATCH(AX$48,SAM!$B$7:$HA$7,0)),0)</f>
        <v>1.4883405117234727</v>
      </c>
      <c r="AY91" s="45">
        <f>_xlfn.IFNA(INDEX(SAM!$B$8:$HA$215,MATCH($AL91,SAM!$A$8:$A$215,0),MATCH(AY$48,SAM!$B$7:$HA$7,0)),0)</f>
        <v>6.033611988603</v>
      </c>
      <c r="AZ91" s="45">
        <f>_xlfn.IFNA(INDEX(SAM!$B$8:$HA$215,MATCH($AL91,SAM!$A$8:$A$215,0),MATCH(AZ$48,SAM!$B$7:$HA$7,0)),0)</f>
        <v>16.043400846295491</v>
      </c>
      <c r="BA91" s="45">
        <f>_xlfn.IFNA(INDEX(SAM!$B$8:$HA$215,MATCH($AL91,SAM!$A$8:$A$215,0),MATCH(BA$48,SAM!$B$7:$HA$7,0)),0)</f>
        <v>140.16357621571612</v>
      </c>
      <c r="BB91" s="45"/>
      <c r="BC91" s="26" t="str">
        <f t="shared" si="155"/>
        <v>acomm</v>
      </c>
      <c r="BD91" s="45">
        <f>_xlfn.IFNA(INDEX(SAM!$B$8:$HA$215,MATCH($BC91,SAM!$A$8:$A$215,0),MATCH(BD$48,SAM!$B$7:$HA$7,0)),0)</f>
        <v>0</v>
      </c>
      <c r="BE91" s="45">
        <f>_xlfn.IFNA(INDEX(SAM!$B$8:$HA$215,MATCH($BC91,SAM!$A$8:$A$215,0),MATCH(BE$48,SAM!$B$7:$HA$7,0)),0)</f>
        <v>0</v>
      </c>
      <c r="BF91" s="45">
        <f>_xlfn.IFNA(INDEX(SAM!$B$8:$HA$215,MATCH($BC91,SAM!$A$8:$A$215,0),MATCH(BF$48,SAM!$B$7:$HA$7,0)),0)</f>
        <v>0</v>
      </c>
      <c r="BG91" s="45">
        <f>_xlfn.IFNA(INDEX(SAM!$B$8:$HA$215,MATCH($BC91,SAM!$A$8:$A$215,0),MATCH(BG$48,SAM!$B$7:$HA$7,0)),0)</f>
        <v>0</v>
      </c>
      <c r="BH91" s="45">
        <f>_xlfn.IFNA(INDEX(SAM!$B$8:$HA$215,MATCH($BC91,SAM!$A$8:$A$215,0),MATCH(BH$48,SAM!$B$7:$HA$7,0)),0)</f>
        <v>0</v>
      </c>
      <c r="BI91" s="45">
        <f>_xlfn.IFNA(INDEX(SAM!$B$8:$HA$215,MATCH($BC91,SAM!$A$8:$A$215,0),MATCH(BI$48,SAM!$B$7:$HA$7,0)),0)</f>
        <v>0</v>
      </c>
      <c r="BJ91" s="45">
        <f>_xlfn.IFNA(INDEX(SAM!$B$8:$HA$215,MATCH($BC91,SAM!$A$8:$A$215,0),MATCH(BJ$48,SAM!$B$7:$HA$7,0)),0)</f>
        <v>0</v>
      </c>
      <c r="BK91" s="45">
        <f>_xlfn.IFNA(INDEX(SAM!$B$8:$HA$215,MATCH($BC91,SAM!$A$8:$A$215,0),MATCH(BK$48,SAM!$B$7:$HA$7,0)),0)</f>
        <v>0</v>
      </c>
      <c r="BL91" s="45">
        <f>_xlfn.IFNA(INDEX(SAM!$B$8:$HA$215,MATCH($BC91,SAM!$A$8:$A$215,0),MATCH(BL$48,SAM!$B$7:$HA$7,0)),0)</f>
        <v>0</v>
      </c>
      <c r="BM91" s="45">
        <f>_xlfn.IFNA(INDEX(SAM!$B$8:$HA$215,MATCH($BC91,SAM!$A$8:$A$215,0),MATCH(BM$48,SAM!$B$7:$HA$7,0)),0)</f>
        <v>0</v>
      </c>
      <c r="BN91" s="45">
        <f>_xlfn.IFNA(INDEX(SAM!$B$8:$HA$215,MATCH($BC91,SAM!$A$8:$A$215,0),MATCH(BN$48,SAM!$B$7:$HA$7,0)),0)</f>
        <v>0</v>
      </c>
      <c r="BO91" s="45">
        <f>_xlfn.IFNA(INDEX(SAM!$B$8:$HA$215,MATCH($BC91,SAM!$A$8:$A$215,0),MATCH(BO$48,SAM!$B$7:$HA$7,0)),0)</f>
        <v>0</v>
      </c>
      <c r="BP91" s="45">
        <f>_xlfn.IFNA(INDEX(SAM!$B$8:$HA$215,MATCH($BC91,SAM!$A$8:$A$215,0),MATCH(BP$48,SAM!$B$7:$HA$7,0)),0)</f>
        <v>0</v>
      </c>
      <c r="BQ91" s="45">
        <f>_xlfn.IFNA(INDEX(SAM!$B$8:$HA$215,MATCH($BC91,SAM!$A$8:$A$215,0),MATCH(BQ$48,SAM!$B$7:$HA$7,0)),0)</f>
        <v>0</v>
      </c>
      <c r="BR91" s="45">
        <f>_xlfn.IFNA(INDEX(SAM!$B$8:$HA$215,MATCH($BC91,SAM!$A$8:$A$215,0),MATCH(BR$48,SAM!$B$7:$HA$7,0)),0)</f>
        <v>0</v>
      </c>
      <c r="BT91" t="str">
        <f t="shared" si="109"/>
        <v>ccomm</v>
      </c>
      <c r="BU91" s="7">
        <f t="shared" si="110"/>
        <v>283.48125772473907</v>
      </c>
      <c r="BW91" s="51" t="s">
        <v>206</v>
      </c>
      <c r="BX91" s="43">
        <f t="shared" si="116"/>
        <v>0</v>
      </c>
    </row>
    <row r="92" spans="1:76" x14ac:dyDescent="0.35">
      <c r="A92" t="str">
        <f t="shared" si="136"/>
        <v>other services</v>
      </c>
      <c r="B92" t="s">
        <v>51</v>
      </c>
      <c r="C92" s="18">
        <f t="shared" si="79"/>
        <v>0</v>
      </c>
      <c r="D92" s="18">
        <f t="shared" si="80"/>
        <v>0</v>
      </c>
      <c r="E92" s="18">
        <f t="shared" si="81"/>
        <v>0</v>
      </c>
      <c r="F92" s="18">
        <f t="shared" si="82"/>
        <v>5.6911812481563132E-3</v>
      </c>
      <c r="G92" s="18">
        <f t="shared" si="83"/>
        <v>5.1606927793038083E-2</v>
      </c>
      <c r="H92" s="18">
        <f t="shared" si="84"/>
        <v>0</v>
      </c>
      <c r="I92" s="18">
        <f t="shared" si="85"/>
        <v>0</v>
      </c>
      <c r="J92" s="18">
        <f t="shared" si="86"/>
        <v>0</v>
      </c>
      <c r="K92" s="18">
        <f t="shared" si="87"/>
        <v>0</v>
      </c>
      <c r="L92" s="18">
        <f t="shared" si="88"/>
        <v>2.3503591556131718E-2</v>
      </c>
      <c r="M92" s="18">
        <f t="shared" si="89"/>
        <v>0</v>
      </c>
      <c r="N92" s="18">
        <f t="shared" si="90"/>
        <v>0</v>
      </c>
      <c r="O92" s="18">
        <f t="shared" si="91"/>
        <v>2.0879886166673021E-3</v>
      </c>
      <c r="P92" s="18">
        <f t="shared" si="92"/>
        <v>7.4362370963031443E-3</v>
      </c>
      <c r="Q92" s="18">
        <f t="shared" si="93"/>
        <v>2.682768269949825</v>
      </c>
      <c r="R92" s="18">
        <f t="shared" si="94"/>
        <v>0.97519600922708471</v>
      </c>
      <c r="T92" t="str">
        <f t="shared" si="137"/>
        <v>fsrv</v>
      </c>
      <c r="U92" s="18">
        <f t="shared" si="138"/>
        <v>0</v>
      </c>
      <c r="V92" s="18">
        <f t="shared" si="139"/>
        <v>0</v>
      </c>
      <c r="W92" s="18">
        <f t="shared" si="140"/>
        <v>0</v>
      </c>
      <c r="X92" s="18">
        <f t="shared" si="141"/>
        <v>4.5452340765881449E-2</v>
      </c>
      <c r="Y92" s="18">
        <f t="shared" si="142"/>
        <v>0.73785036323825581</v>
      </c>
      <c r="Z92" s="18">
        <f t="shared" si="143"/>
        <v>0</v>
      </c>
      <c r="AA92" s="18">
        <f t="shared" si="144"/>
        <v>0</v>
      </c>
      <c r="AB92" s="18">
        <f t="shared" si="145"/>
        <v>0</v>
      </c>
      <c r="AC92" s="18">
        <f t="shared" si="146"/>
        <v>0</v>
      </c>
      <c r="AD92" s="18">
        <f t="shared" si="147"/>
        <v>5.1686961850733515E-2</v>
      </c>
      <c r="AE92" s="18">
        <f t="shared" si="148"/>
        <v>0</v>
      </c>
      <c r="AF92" s="18">
        <f t="shared" si="149"/>
        <v>0</v>
      </c>
      <c r="AG92" s="18">
        <f t="shared" si="150"/>
        <v>2.1524281667678097E-3</v>
      </c>
      <c r="AH92" s="18">
        <f t="shared" si="151"/>
        <v>1.8527227711613348E-2</v>
      </c>
      <c r="AI92" s="18">
        <f t="shared" si="152"/>
        <v>62.841711153523079</v>
      </c>
      <c r="AJ92" s="18">
        <f t="shared" si="153"/>
        <v>63.697380475256331</v>
      </c>
      <c r="AL92" t="str">
        <f t="shared" si="154"/>
        <v>cfsrv</v>
      </c>
      <c r="AM92" s="18">
        <f>_xlfn.IFNA(INDEX(SAM!$B$8:$HA$215,MATCH($AL92,SAM!$A$8:$A$215,0),MATCH(AM$48,SAM!$B$7:$HA$7,0)),0)</f>
        <v>0</v>
      </c>
      <c r="AN92" s="18">
        <f>_xlfn.IFNA(INDEX(SAM!$B$8:$HA$215,MATCH($AL92,SAM!$A$8:$A$215,0),MATCH(AN$48,SAM!$B$7:$HA$7,0)),0)</f>
        <v>0</v>
      </c>
      <c r="AO92" s="18">
        <f>_xlfn.IFNA(INDEX(SAM!$B$8:$HA$215,MATCH($AL92,SAM!$A$8:$A$215,0),MATCH(AO$48,SAM!$B$7:$HA$7,0)),0)</f>
        <v>0</v>
      </c>
      <c r="AP92" s="18">
        <f>_xlfn.IFNA(INDEX(SAM!$B$8:$HA$215,MATCH($AL92,SAM!$A$8:$A$215,0),MATCH(AP$48,SAM!$B$7:$HA$7,0)),0)</f>
        <v>4.5452340765881449E-2</v>
      </c>
      <c r="AQ92" s="18">
        <f>_xlfn.IFNA(INDEX(SAM!$B$8:$HA$215,MATCH($AL92,SAM!$A$8:$A$215,0),MATCH(AQ$48,SAM!$B$7:$HA$7,0)),0)</f>
        <v>0.73785036323825581</v>
      </c>
      <c r="AR92" s="18">
        <f>_xlfn.IFNA(INDEX(SAM!$B$8:$HA$215,MATCH($AL92,SAM!$A$8:$A$215,0),MATCH(AR$48,SAM!$B$7:$HA$7,0)),0)</f>
        <v>0</v>
      </c>
      <c r="AS92" s="18">
        <f>_xlfn.IFNA(INDEX(SAM!$B$8:$HA$215,MATCH($AL92,SAM!$A$8:$A$215,0),MATCH(AS$48,SAM!$B$7:$HA$7,0)),0)</f>
        <v>0</v>
      </c>
      <c r="AT92" s="18">
        <f>_xlfn.IFNA(INDEX(SAM!$B$8:$HA$215,MATCH($AL92,SAM!$A$8:$A$215,0),MATCH(AT$48,SAM!$B$7:$HA$7,0)),0)</f>
        <v>0</v>
      </c>
      <c r="AU92" s="18">
        <f>_xlfn.IFNA(INDEX(SAM!$B$8:$HA$215,MATCH($AL92,SAM!$A$8:$A$215,0),MATCH(AU$48,SAM!$B$7:$HA$7,0)),0)</f>
        <v>0</v>
      </c>
      <c r="AV92" s="18">
        <f>_xlfn.IFNA(INDEX(SAM!$B$8:$HA$215,MATCH($AL92,SAM!$A$8:$A$215,0),MATCH(AV$48,SAM!$B$7:$HA$7,0)),0)</f>
        <v>5.1686961850733515E-2</v>
      </c>
      <c r="AW92" s="18">
        <f>_xlfn.IFNA(INDEX(SAM!$B$8:$HA$215,MATCH($AL92,SAM!$A$8:$A$215,0),MATCH(AW$48,SAM!$B$7:$HA$7,0)),0)</f>
        <v>0</v>
      </c>
      <c r="AX92" s="18">
        <f>_xlfn.IFNA(INDEX(SAM!$B$8:$HA$215,MATCH($AL92,SAM!$A$8:$A$215,0),MATCH(AX$48,SAM!$B$7:$HA$7,0)),0)</f>
        <v>0</v>
      </c>
      <c r="AY92" s="18">
        <f>_xlfn.IFNA(INDEX(SAM!$B$8:$HA$215,MATCH($AL92,SAM!$A$8:$A$215,0),MATCH(AY$48,SAM!$B$7:$HA$7,0)),0)</f>
        <v>2.1524281667678097E-3</v>
      </c>
      <c r="AZ92" s="18">
        <f>_xlfn.IFNA(INDEX(SAM!$B$8:$HA$215,MATCH($AL92,SAM!$A$8:$A$215,0),MATCH(AZ$48,SAM!$B$7:$HA$7,0)),0)</f>
        <v>1.8527227711613348E-2</v>
      </c>
      <c r="BA92" s="18">
        <f>_xlfn.IFNA(INDEX(SAM!$B$8:$HA$215,MATCH($AL92,SAM!$A$8:$A$215,0),MATCH(BA$48,SAM!$B$7:$HA$7,0)),0)</f>
        <v>62.841711153523079</v>
      </c>
      <c r="BB92" s="18"/>
      <c r="BC92" t="str">
        <f t="shared" si="155"/>
        <v>afsrv</v>
      </c>
      <c r="BD92" s="18">
        <f>_xlfn.IFNA(INDEX(SAM!$B$8:$HA$215,MATCH($BC92,SAM!$A$8:$A$215,0),MATCH(BD$48,SAM!$B$7:$HA$7,0)),0)</f>
        <v>0</v>
      </c>
      <c r="BE92" s="18">
        <f>_xlfn.IFNA(INDEX(SAM!$B$8:$HA$215,MATCH($BC92,SAM!$A$8:$A$215,0),MATCH(BE$48,SAM!$B$7:$HA$7,0)),0)</f>
        <v>0</v>
      </c>
      <c r="BF92" s="18">
        <f>_xlfn.IFNA(INDEX(SAM!$B$8:$HA$215,MATCH($BC92,SAM!$A$8:$A$215,0),MATCH(BF$48,SAM!$B$7:$HA$7,0)),0)</f>
        <v>0</v>
      </c>
      <c r="BG92" s="18">
        <f>_xlfn.IFNA(INDEX(SAM!$B$8:$HA$215,MATCH($BC92,SAM!$A$8:$A$215,0),MATCH(BG$48,SAM!$B$7:$HA$7,0)),0)</f>
        <v>0</v>
      </c>
      <c r="BH92" s="18">
        <f>_xlfn.IFNA(INDEX(SAM!$B$8:$HA$215,MATCH($BC92,SAM!$A$8:$A$215,0),MATCH(BH$48,SAM!$B$7:$HA$7,0)),0)</f>
        <v>0</v>
      </c>
      <c r="BI92" s="18">
        <f>_xlfn.IFNA(INDEX(SAM!$B$8:$HA$215,MATCH($BC92,SAM!$A$8:$A$215,0),MATCH(BI$48,SAM!$B$7:$HA$7,0)),0)</f>
        <v>0</v>
      </c>
      <c r="BJ92" s="18">
        <f>_xlfn.IFNA(INDEX(SAM!$B$8:$HA$215,MATCH($BC92,SAM!$A$8:$A$215,0),MATCH(BJ$48,SAM!$B$7:$HA$7,0)),0)</f>
        <v>0</v>
      </c>
      <c r="BK92" s="18">
        <f>_xlfn.IFNA(INDEX(SAM!$B$8:$HA$215,MATCH($BC92,SAM!$A$8:$A$215,0),MATCH(BK$48,SAM!$B$7:$HA$7,0)),0)</f>
        <v>0</v>
      </c>
      <c r="BL92" s="18">
        <f>_xlfn.IFNA(INDEX(SAM!$B$8:$HA$215,MATCH($BC92,SAM!$A$8:$A$215,0),MATCH(BL$48,SAM!$B$7:$HA$7,0)),0)</f>
        <v>0</v>
      </c>
      <c r="BM92" s="18">
        <f>_xlfn.IFNA(INDEX(SAM!$B$8:$HA$215,MATCH($BC92,SAM!$A$8:$A$215,0),MATCH(BM$48,SAM!$B$7:$HA$7,0)),0)</f>
        <v>0</v>
      </c>
      <c r="BN92" s="18">
        <f>_xlfn.IFNA(INDEX(SAM!$B$8:$HA$215,MATCH($BC92,SAM!$A$8:$A$215,0),MATCH(BN$48,SAM!$B$7:$HA$7,0)),0)</f>
        <v>0</v>
      </c>
      <c r="BO92" s="18">
        <f>_xlfn.IFNA(INDEX(SAM!$B$8:$HA$215,MATCH($BC92,SAM!$A$8:$A$215,0),MATCH(BO$48,SAM!$B$7:$HA$7,0)),0)</f>
        <v>0</v>
      </c>
      <c r="BP92" s="18">
        <f>_xlfn.IFNA(INDEX(SAM!$B$8:$HA$215,MATCH($BC92,SAM!$A$8:$A$215,0),MATCH(BP$48,SAM!$B$7:$HA$7,0)),0)</f>
        <v>0</v>
      </c>
      <c r="BQ92" s="18">
        <f>_xlfn.IFNA(INDEX(SAM!$B$8:$HA$215,MATCH($BC92,SAM!$A$8:$A$215,0),MATCH(BQ$48,SAM!$B$7:$HA$7,0)),0)</f>
        <v>0</v>
      </c>
      <c r="BR92" s="18">
        <f>_xlfn.IFNA(INDEX(SAM!$B$8:$HA$215,MATCH($BC92,SAM!$A$8:$A$215,0),MATCH(BR$48,SAM!$B$7:$HA$7,0)),0)</f>
        <v>0</v>
      </c>
      <c r="BT92" t="str">
        <f t="shared" si="109"/>
        <v>cfsrv</v>
      </c>
      <c r="BU92" s="7">
        <f t="shared" si="110"/>
        <v>63.697380475256331</v>
      </c>
      <c r="BW92" s="51" t="s">
        <v>207</v>
      </c>
      <c r="BX92" s="43">
        <f t="shared" si="116"/>
        <v>1.9239909576623113</v>
      </c>
    </row>
    <row r="93" spans="1:76" x14ac:dyDescent="0.35">
      <c r="A93" t="str">
        <f t="shared" si="136"/>
        <v>other services</v>
      </c>
      <c r="B93" t="s">
        <v>53</v>
      </c>
      <c r="C93" s="18">
        <f t="shared" si="79"/>
        <v>2.4968684469512867</v>
      </c>
      <c r="D93" s="18">
        <f t="shared" si="80"/>
        <v>2.2080413454939483</v>
      </c>
      <c r="E93" s="18">
        <f t="shared" si="81"/>
        <v>2.1036143493085606</v>
      </c>
      <c r="F93" s="18">
        <f t="shared" si="82"/>
        <v>1.8077811924725671</v>
      </c>
      <c r="G93" s="18">
        <f t="shared" si="83"/>
        <v>1.2617581734542509</v>
      </c>
      <c r="H93" s="18">
        <f t="shared" si="84"/>
        <v>2.2838416403038444</v>
      </c>
      <c r="I93" s="18">
        <f t="shared" si="85"/>
        <v>1.8946426677258561</v>
      </c>
      <c r="J93" s="18">
        <f t="shared" si="86"/>
        <v>1.6497967288613353</v>
      </c>
      <c r="K93" s="18">
        <f t="shared" si="87"/>
        <v>1.5372501748874197</v>
      </c>
      <c r="L93" s="18">
        <f t="shared" si="88"/>
        <v>0.71691066570753503</v>
      </c>
      <c r="M93" s="18">
        <f t="shared" si="89"/>
        <v>2.1389937888090245</v>
      </c>
      <c r="N93" s="18">
        <f t="shared" si="90"/>
        <v>1.9743569835273687</v>
      </c>
      <c r="O93" s="18">
        <f t="shared" si="91"/>
        <v>1.5905916623708198</v>
      </c>
      <c r="P93" s="18">
        <f t="shared" si="92"/>
        <v>1.4755509122911317</v>
      </c>
      <c r="Q93" s="18">
        <f t="shared" si="93"/>
        <v>0.64189920243091636</v>
      </c>
      <c r="R93" s="18">
        <f t="shared" si="94"/>
        <v>1.2944978329718404</v>
      </c>
      <c r="T93" t="str">
        <f t="shared" si="137"/>
        <v>bsrv</v>
      </c>
      <c r="U93" s="18">
        <f t="shared" si="138"/>
        <v>6.5524188724551102</v>
      </c>
      <c r="V93" s="18">
        <f t="shared" si="139"/>
        <v>8.2543925595613743</v>
      </c>
      <c r="W93" s="18">
        <f t="shared" si="140"/>
        <v>12.262000446408596</v>
      </c>
      <c r="X93" s="18">
        <f t="shared" si="141"/>
        <v>14.437756101518175</v>
      </c>
      <c r="Y93" s="18">
        <f t="shared" si="142"/>
        <v>18.039995140490618</v>
      </c>
      <c r="Z93" s="18">
        <f t="shared" si="143"/>
        <v>0.39465940827342183</v>
      </c>
      <c r="AA93" s="18">
        <f t="shared" si="144"/>
        <v>0.42258352384220527</v>
      </c>
      <c r="AB93" s="18">
        <f t="shared" si="145"/>
        <v>0.45331870194975671</v>
      </c>
      <c r="AC93" s="18">
        <f t="shared" si="146"/>
        <v>0.83346446777238481</v>
      </c>
      <c r="AD93" s="18">
        <f t="shared" si="147"/>
        <v>1.5765647620413266</v>
      </c>
      <c r="AE93" s="18">
        <f t="shared" si="148"/>
        <v>0.25537592143673565</v>
      </c>
      <c r="AF93" s="18">
        <f t="shared" si="149"/>
        <v>0.71889007647632586</v>
      </c>
      <c r="AG93" s="18">
        <f t="shared" si="150"/>
        <v>1.6396805368496437</v>
      </c>
      <c r="AH93" s="18">
        <f t="shared" si="151"/>
        <v>3.6763039421762622</v>
      </c>
      <c r="AI93" s="18">
        <f t="shared" si="152"/>
        <v>15.035977844480366</v>
      </c>
      <c r="AJ93" s="18">
        <f t="shared" si="153"/>
        <v>84.553382305732299</v>
      </c>
      <c r="AL93" t="str">
        <f t="shared" si="154"/>
        <v>cbsrv</v>
      </c>
      <c r="AM93" s="18">
        <f>_xlfn.IFNA(INDEX(SAM!$B$8:$HA$215,MATCH($AL93,SAM!$A$8:$A$215,0),MATCH(AM$48,SAM!$B$7:$HA$7,0)),0)</f>
        <v>6.5524188724551102</v>
      </c>
      <c r="AN93" s="18">
        <f>_xlfn.IFNA(INDEX(SAM!$B$8:$HA$215,MATCH($AL93,SAM!$A$8:$A$215,0),MATCH(AN$48,SAM!$B$7:$HA$7,0)),0)</f>
        <v>8.2543925595613743</v>
      </c>
      <c r="AO93" s="18">
        <f>_xlfn.IFNA(INDEX(SAM!$B$8:$HA$215,MATCH($AL93,SAM!$A$8:$A$215,0),MATCH(AO$48,SAM!$B$7:$HA$7,0)),0)</f>
        <v>12.262000446408596</v>
      </c>
      <c r="AP93" s="18">
        <f>_xlfn.IFNA(INDEX(SAM!$B$8:$HA$215,MATCH($AL93,SAM!$A$8:$A$215,0),MATCH(AP$48,SAM!$B$7:$HA$7,0)),0)</f>
        <v>14.437756101518175</v>
      </c>
      <c r="AQ93" s="18">
        <f>_xlfn.IFNA(INDEX(SAM!$B$8:$HA$215,MATCH($AL93,SAM!$A$8:$A$215,0),MATCH(AQ$48,SAM!$B$7:$HA$7,0)),0)</f>
        <v>18.039995140490618</v>
      </c>
      <c r="AR93" s="18">
        <f>_xlfn.IFNA(INDEX(SAM!$B$8:$HA$215,MATCH($AL93,SAM!$A$8:$A$215,0),MATCH(AR$48,SAM!$B$7:$HA$7,0)),0)</f>
        <v>0.39465940827342183</v>
      </c>
      <c r="AS93" s="18">
        <f>_xlfn.IFNA(INDEX(SAM!$B$8:$HA$215,MATCH($AL93,SAM!$A$8:$A$215,0),MATCH(AS$48,SAM!$B$7:$HA$7,0)),0)</f>
        <v>0.42258352384220527</v>
      </c>
      <c r="AT93" s="18">
        <f>_xlfn.IFNA(INDEX(SAM!$B$8:$HA$215,MATCH($AL93,SAM!$A$8:$A$215,0),MATCH(AT$48,SAM!$B$7:$HA$7,0)),0)</f>
        <v>0.45331870194975671</v>
      </c>
      <c r="AU93" s="18">
        <f>_xlfn.IFNA(INDEX(SAM!$B$8:$HA$215,MATCH($AL93,SAM!$A$8:$A$215,0),MATCH(AU$48,SAM!$B$7:$HA$7,0)),0)</f>
        <v>0.83346446777238481</v>
      </c>
      <c r="AV93" s="18">
        <f>_xlfn.IFNA(INDEX(SAM!$B$8:$HA$215,MATCH($AL93,SAM!$A$8:$A$215,0),MATCH(AV$48,SAM!$B$7:$HA$7,0)),0)</f>
        <v>1.5765647620413266</v>
      </c>
      <c r="AW93" s="18">
        <f>_xlfn.IFNA(INDEX(SAM!$B$8:$HA$215,MATCH($AL93,SAM!$A$8:$A$215,0),MATCH(AW$48,SAM!$B$7:$HA$7,0)),0)</f>
        <v>0.25537592143673565</v>
      </c>
      <c r="AX93" s="18">
        <f>_xlfn.IFNA(INDEX(SAM!$B$8:$HA$215,MATCH($AL93,SAM!$A$8:$A$215,0),MATCH(AX$48,SAM!$B$7:$HA$7,0)),0)</f>
        <v>0.71889007647632586</v>
      </c>
      <c r="AY93" s="18">
        <f>_xlfn.IFNA(INDEX(SAM!$B$8:$HA$215,MATCH($AL93,SAM!$A$8:$A$215,0),MATCH(AY$48,SAM!$B$7:$HA$7,0)),0)</f>
        <v>1.6396805368496437</v>
      </c>
      <c r="AZ93" s="18">
        <f>_xlfn.IFNA(INDEX(SAM!$B$8:$HA$215,MATCH($AL93,SAM!$A$8:$A$215,0),MATCH(AZ$48,SAM!$B$7:$HA$7,0)),0)</f>
        <v>3.6763039421762622</v>
      </c>
      <c r="BA93" s="18">
        <f>_xlfn.IFNA(INDEX(SAM!$B$8:$HA$215,MATCH($AL93,SAM!$A$8:$A$215,0),MATCH(BA$48,SAM!$B$7:$HA$7,0)),0)</f>
        <v>15.035977844480366</v>
      </c>
      <c r="BB93" s="18"/>
      <c r="BC93" t="str">
        <f t="shared" si="155"/>
        <v>absrv</v>
      </c>
      <c r="BD93" s="18">
        <f>_xlfn.IFNA(INDEX(SAM!$B$8:$HA$215,MATCH($BC93,SAM!$A$8:$A$215,0),MATCH(BD$48,SAM!$B$7:$HA$7,0)),0)</f>
        <v>0</v>
      </c>
      <c r="BE93" s="18">
        <f>_xlfn.IFNA(INDEX(SAM!$B$8:$HA$215,MATCH($BC93,SAM!$A$8:$A$215,0),MATCH(BE$48,SAM!$B$7:$HA$7,0)),0)</f>
        <v>0</v>
      </c>
      <c r="BF93" s="18">
        <f>_xlfn.IFNA(INDEX(SAM!$B$8:$HA$215,MATCH($BC93,SAM!$A$8:$A$215,0),MATCH(BF$48,SAM!$B$7:$HA$7,0)),0)</f>
        <v>0</v>
      </c>
      <c r="BG93" s="18">
        <f>_xlfn.IFNA(INDEX(SAM!$B$8:$HA$215,MATCH($BC93,SAM!$A$8:$A$215,0),MATCH(BG$48,SAM!$B$7:$HA$7,0)),0)</f>
        <v>0</v>
      </c>
      <c r="BH93" s="18">
        <f>_xlfn.IFNA(INDEX(SAM!$B$8:$HA$215,MATCH($BC93,SAM!$A$8:$A$215,0),MATCH(BH$48,SAM!$B$7:$HA$7,0)),0)</f>
        <v>0</v>
      </c>
      <c r="BI93" s="18">
        <f>_xlfn.IFNA(INDEX(SAM!$B$8:$HA$215,MATCH($BC93,SAM!$A$8:$A$215,0),MATCH(BI$48,SAM!$B$7:$HA$7,0)),0)</f>
        <v>0</v>
      </c>
      <c r="BJ93" s="18">
        <f>_xlfn.IFNA(INDEX(SAM!$B$8:$HA$215,MATCH($BC93,SAM!$A$8:$A$215,0),MATCH(BJ$48,SAM!$B$7:$HA$7,0)),0)</f>
        <v>0</v>
      </c>
      <c r="BK93" s="18">
        <f>_xlfn.IFNA(INDEX(SAM!$B$8:$HA$215,MATCH($BC93,SAM!$A$8:$A$215,0),MATCH(BK$48,SAM!$B$7:$HA$7,0)),0)</f>
        <v>0</v>
      </c>
      <c r="BL93" s="18">
        <f>_xlfn.IFNA(INDEX(SAM!$B$8:$HA$215,MATCH($BC93,SAM!$A$8:$A$215,0),MATCH(BL$48,SAM!$B$7:$HA$7,0)),0)</f>
        <v>0</v>
      </c>
      <c r="BM93" s="18">
        <f>_xlfn.IFNA(INDEX(SAM!$B$8:$HA$215,MATCH($BC93,SAM!$A$8:$A$215,0),MATCH(BM$48,SAM!$B$7:$HA$7,0)),0)</f>
        <v>0</v>
      </c>
      <c r="BN93" s="18">
        <f>_xlfn.IFNA(INDEX(SAM!$B$8:$HA$215,MATCH($BC93,SAM!$A$8:$A$215,0),MATCH(BN$48,SAM!$B$7:$HA$7,0)),0)</f>
        <v>0</v>
      </c>
      <c r="BO93" s="18">
        <f>_xlfn.IFNA(INDEX(SAM!$B$8:$HA$215,MATCH($BC93,SAM!$A$8:$A$215,0),MATCH(BO$48,SAM!$B$7:$HA$7,0)),0)</f>
        <v>0</v>
      </c>
      <c r="BP93" s="18">
        <f>_xlfn.IFNA(INDEX(SAM!$B$8:$HA$215,MATCH($BC93,SAM!$A$8:$A$215,0),MATCH(BP$48,SAM!$B$7:$HA$7,0)),0)</f>
        <v>0</v>
      </c>
      <c r="BQ93" s="18">
        <f>_xlfn.IFNA(INDEX(SAM!$B$8:$HA$215,MATCH($BC93,SAM!$A$8:$A$215,0),MATCH(BQ$48,SAM!$B$7:$HA$7,0)),0)</f>
        <v>0</v>
      </c>
      <c r="BR93" s="18">
        <f>_xlfn.IFNA(INDEX(SAM!$B$8:$HA$215,MATCH($BC93,SAM!$A$8:$A$215,0),MATCH(BR$48,SAM!$B$7:$HA$7,0)),0)</f>
        <v>0</v>
      </c>
      <c r="BT93" t="str">
        <f t="shared" si="109"/>
        <v>cbsrv</v>
      </c>
      <c r="BU93" s="7">
        <f t="shared" si="110"/>
        <v>84.553382305732299</v>
      </c>
      <c r="BW93" s="51" t="s">
        <v>208</v>
      </c>
      <c r="BX93" s="43">
        <f t="shared" si="116"/>
        <v>11.436144492949595</v>
      </c>
    </row>
    <row r="94" spans="1:76" x14ac:dyDescent="0.35">
      <c r="A94" s="26" t="str">
        <f t="shared" si="136"/>
        <v>other services</v>
      </c>
      <c r="B94" s="26" t="s">
        <v>57</v>
      </c>
      <c r="C94" s="45">
        <f t="shared" si="79"/>
        <v>0.38216748557793523</v>
      </c>
      <c r="D94" s="45">
        <f t="shared" si="80"/>
        <v>0.63414959324812314</v>
      </c>
      <c r="E94" s="45">
        <f t="shared" si="81"/>
        <v>0.73762160848346292</v>
      </c>
      <c r="F94" s="45">
        <f t="shared" si="82"/>
        <v>0.93717161671156868</v>
      </c>
      <c r="G94" s="45">
        <f t="shared" si="83"/>
        <v>2.2695564066500697</v>
      </c>
      <c r="H94" s="45">
        <f t="shared" si="84"/>
        <v>0.32335990082055149</v>
      </c>
      <c r="I94" s="45">
        <f t="shared" si="85"/>
        <v>0.83530318007512538</v>
      </c>
      <c r="J94" s="45">
        <f t="shared" si="86"/>
        <v>0.64952741717949092</v>
      </c>
      <c r="K94" s="45">
        <f t="shared" si="87"/>
        <v>0.56661672395461649</v>
      </c>
      <c r="L94" s="45">
        <f t="shared" si="88"/>
        <v>1.7203703277838136</v>
      </c>
      <c r="M94" s="45">
        <f t="shared" si="89"/>
        <v>0.24981022112207812</v>
      </c>
      <c r="N94" s="45">
        <f t="shared" si="90"/>
        <v>0.65013847563374738</v>
      </c>
      <c r="O94" s="45">
        <f t="shared" si="91"/>
        <v>0.63098853020321266</v>
      </c>
      <c r="P94" s="45">
        <f t="shared" si="92"/>
        <v>1.0612194427110397</v>
      </c>
      <c r="Q94" s="45">
        <f t="shared" si="93"/>
        <v>4.04255441363859</v>
      </c>
      <c r="R94" s="45">
        <f t="shared" si="94"/>
        <v>2.3021792637349843</v>
      </c>
      <c r="S94" s="26"/>
      <c r="T94" s="26" t="str">
        <f t="shared" si="137"/>
        <v>osrv</v>
      </c>
      <c r="U94" s="45">
        <f t="shared" si="138"/>
        <v>1.0029048378568557</v>
      </c>
      <c r="V94" s="45">
        <f t="shared" si="139"/>
        <v>2.3706619873031389</v>
      </c>
      <c r="W94" s="45">
        <f t="shared" si="140"/>
        <v>4.2996077182482466</v>
      </c>
      <c r="X94" s="45">
        <f t="shared" si="141"/>
        <v>7.4846752934965215</v>
      </c>
      <c r="Y94" s="45">
        <f t="shared" si="142"/>
        <v>32.448996494272457</v>
      </c>
      <c r="Z94" s="45">
        <f t="shared" si="143"/>
        <v>5.5878229411831251E-2</v>
      </c>
      <c r="AA94" s="45">
        <f t="shared" si="144"/>
        <v>0.18630708962995948</v>
      </c>
      <c r="AB94" s="45">
        <f t="shared" si="145"/>
        <v>0.17847224478363766</v>
      </c>
      <c r="AC94" s="45">
        <f t="shared" si="146"/>
        <v>0.30720758011710897</v>
      </c>
      <c r="AD94" s="45">
        <f t="shared" si="147"/>
        <v>3.7832820268737977</v>
      </c>
      <c r="AE94" s="45">
        <f t="shared" si="148"/>
        <v>2.9825011992618382E-2</v>
      </c>
      <c r="AF94" s="45">
        <f t="shared" si="149"/>
        <v>0.23672421065086874</v>
      </c>
      <c r="AG94" s="45">
        <f t="shared" si="150"/>
        <v>0.65046211194609349</v>
      </c>
      <c r="AH94" s="45">
        <f t="shared" si="151"/>
        <v>2.6440058341971584</v>
      </c>
      <c r="AI94" s="45">
        <f t="shared" si="152"/>
        <v>94.693619135814288</v>
      </c>
      <c r="AJ94" s="45">
        <f t="shared" si="153"/>
        <v>150.37262980659457</v>
      </c>
      <c r="AK94" s="26"/>
      <c r="AL94" s="26" t="str">
        <f t="shared" si="154"/>
        <v>cosrv</v>
      </c>
      <c r="AM94" s="45">
        <f>_xlfn.IFNA(INDEX(SAM!$B$8:$HA$215,MATCH($AL94,SAM!$A$8:$A$215,0),MATCH(AM$48,SAM!$B$7:$HA$7,0)),0)</f>
        <v>1.0029048378568557</v>
      </c>
      <c r="AN94" s="45">
        <f>_xlfn.IFNA(INDEX(SAM!$B$8:$HA$215,MATCH($AL94,SAM!$A$8:$A$215,0),MATCH(AN$48,SAM!$B$7:$HA$7,0)),0)</f>
        <v>2.3706619873031389</v>
      </c>
      <c r="AO94" s="45">
        <f>_xlfn.IFNA(INDEX(SAM!$B$8:$HA$215,MATCH($AL94,SAM!$A$8:$A$215,0),MATCH(AO$48,SAM!$B$7:$HA$7,0)),0)</f>
        <v>4.2996077182482466</v>
      </c>
      <c r="AP94" s="45">
        <f>_xlfn.IFNA(INDEX(SAM!$B$8:$HA$215,MATCH($AL94,SAM!$A$8:$A$215,0),MATCH(AP$48,SAM!$B$7:$HA$7,0)),0)</f>
        <v>7.4846752934965215</v>
      </c>
      <c r="AQ94" s="45">
        <f>_xlfn.IFNA(INDEX(SAM!$B$8:$HA$215,MATCH($AL94,SAM!$A$8:$A$215,0),MATCH(AQ$48,SAM!$B$7:$HA$7,0)),0)</f>
        <v>32.448996494272457</v>
      </c>
      <c r="AR94" s="45">
        <f>_xlfn.IFNA(INDEX(SAM!$B$8:$HA$215,MATCH($AL94,SAM!$A$8:$A$215,0),MATCH(AR$48,SAM!$B$7:$HA$7,0)),0)</f>
        <v>5.5878229411831251E-2</v>
      </c>
      <c r="AS94" s="45">
        <f>_xlfn.IFNA(INDEX(SAM!$B$8:$HA$215,MATCH($AL94,SAM!$A$8:$A$215,0),MATCH(AS$48,SAM!$B$7:$HA$7,0)),0)</f>
        <v>0.18630708962995948</v>
      </c>
      <c r="AT94" s="45">
        <f>_xlfn.IFNA(INDEX(SAM!$B$8:$HA$215,MATCH($AL94,SAM!$A$8:$A$215,0),MATCH(AT$48,SAM!$B$7:$HA$7,0)),0)</f>
        <v>0.17847224478363766</v>
      </c>
      <c r="AU94" s="45">
        <f>_xlfn.IFNA(INDEX(SAM!$B$8:$HA$215,MATCH($AL94,SAM!$A$8:$A$215,0),MATCH(AU$48,SAM!$B$7:$HA$7,0)),0)</f>
        <v>0.30720758011710897</v>
      </c>
      <c r="AV94" s="45">
        <f>_xlfn.IFNA(INDEX(SAM!$B$8:$HA$215,MATCH($AL94,SAM!$A$8:$A$215,0),MATCH(AV$48,SAM!$B$7:$HA$7,0)),0)</f>
        <v>3.7832820268737977</v>
      </c>
      <c r="AW94" s="45">
        <f>_xlfn.IFNA(INDEX(SAM!$B$8:$HA$215,MATCH($AL94,SAM!$A$8:$A$215,0),MATCH(AW$48,SAM!$B$7:$HA$7,0)),0)</f>
        <v>2.9825011992618382E-2</v>
      </c>
      <c r="AX94" s="45">
        <f>_xlfn.IFNA(INDEX(SAM!$B$8:$HA$215,MATCH($AL94,SAM!$A$8:$A$215,0),MATCH(AX$48,SAM!$B$7:$HA$7,0)),0)</f>
        <v>0.23672421065086874</v>
      </c>
      <c r="AY94" s="45">
        <f>_xlfn.IFNA(INDEX(SAM!$B$8:$HA$215,MATCH($AL94,SAM!$A$8:$A$215,0),MATCH(AY$48,SAM!$B$7:$HA$7,0)),0)</f>
        <v>0.65046211194609349</v>
      </c>
      <c r="AZ94" s="45">
        <f>_xlfn.IFNA(INDEX(SAM!$B$8:$HA$215,MATCH($AL94,SAM!$A$8:$A$215,0),MATCH(AZ$48,SAM!$B$7:$HA$7,0)),0)</f>
        <v>2.6440058341971584</v>
      </c>
      <c r="BA94" s="45">
        <f>_xlfn.IFNA(INDEX(SAM!$B$8:$HA$215,MATCH($AL94,SAM!$A$8:$A$215,0),MATCH(BA$48,SAM!$B$7:$HA$7,0)),0)</f>
        <v>94.693619135814288</v>
      </c>
      <c r="BB94" s="26"/>
      <c r="BC94" s="26" t="str">
        <f t="shared" si="155"/>
        <v>aosrv</v>
      </c>
      <c r="BD94" s="45">
        <f>_xlfn.IFNA(INDEX(SAM!$B$8:$HA$215,MATCH($BC94,SAM!$A$8:$A$215,0),MATCH(BD$48,SAM!$B$7:$HA$7,0)),0)</f>
        <v>0</v>
      </c>
      <c r="BE94" s="45">
        <f>_xlfn.IFNA(INDEX(SAM!$B$8:$HA$215,MATCH($BC94,SAM!$A$8:$A$215,0),MATCH(BE$48,SAM!$B$7:$HA$7,0)),0)</f>
        <v>0</v>
      </c>
      <c r="BF94" s="45">
        <f>_xlfn.IFNA(INDEX(SAM!$B$8:$HA$215,MATCH($BC94,SAM!$A$8:$A$215,0),MATCH(BF$48,SAM!$B$7:$HA$7,0)),0)</f>
        <v>0</v>
      </c>
      <c r="BG94" s="45">
        <f>_xlfn.IFNA(INDEX(SAM!$B$8:$HA$215,MATCH($BC94,SAM!$A$8:$A$215,0),MATCH(BG$48,SAM!$B$7:$HA$7,0)),0)</f>
        <v>0</v>
      </c>
      <c r="BH94" s="45">
        <f>_xlfn.IFNA(INDEX(SAM!$B$8:$HA$215,MATCH($BC94,SAM!$A$8:$A$215,0),MATCH(BH$48,SAM!$B$7:$HA$7,0)),0)</f>
        <v>0</v>
      </c>
      <c r="BI94" s="45">
        <f>_xlfn.IFNA(INDEX(SAM!$B$8:$HA$215,MATCH($BC94,SAM!$A$8:$A$215,0),MATCH(BI$48,SAM!$B$7:$HA$7,0)),0)</f>
        <v>0</v>
      </c>
      <c r="BJ94" s="45">
        <f>_xlfn.IFNA(INDEX(SAM!$B$8:$HA$215,MATCH($BC94,SAM!$A$8:$A$215,0),MATCH(BJ$48,SAM!$B$7:$HA$7,0)),0)</f>
        <v>0</v>
      </c>
      <c r="BK94" s="45">
        <f>_xlfn.IFNA(INDEX(SAM!$B$8:$HA$215,MATCH($BC94,SAM!$A$8:$A$215,0),MATCH(BK$48,SAM!$B$7:$HA$7,0)),0)</f>
        <v>0</v>
      </c>
      <c r="BL94" s="45">
        <f>_xlfn.IFNA(INDEX(SAM!$B$8:$HA$215,MATCH($BC94,SAM!$A$8:$A$215,0),MATCH(BL$48,SAM!$B$7:$HA$7,0)),0)</f>
        <v>0</v>
      </c>
      <c r="BM94" s="45">
        <f>_xlfn.IFNA(INDEX(SAM!$B$8:$HA$215,MATCH($BC94,SAM!$A$8:$A$215,0),MATCH(BM$48,SAM!$B$7:$HA$7,0)),0)</f>
        <v>0</v>
      </c>
      <c r="BN94" s="45">
        <f>_xlfn.IFNA(INDEX(SAM!$B$8:$HA$215,MATCH($BC94,SAM!$A$8:$A$215,0),MATCH(BN$48,SAM!$B$7:$HA$7,0)),0)</f>
        <v>0</v>
      </c>
      <c r="BO94" s="45">
        <f>_xlfn.IFNA(INDEX(SAM!$B$8:$HA$215,MATCH($BC94,SAM!$A$8:$A$215,0),MATCH(BO$48,SAM!$B$7:$HA$7,0)),0)</f>
        <v>0</v>
      </c>
      <c r="BP94" s="45">
        <f>_xlfn.IFNA(INDEX(SAM!$B$8:$HA$215,MATCH($BC94,SAM!$A$8:$A$215,0),MATCH(BP$48,SAM!$B$7:$HA$7,0)),0)</f>
        <v>0</v>
      </c>
      <c r="BQ94" s="45">
        <f>_xlfn.IFNA(INDEX(SAM!$B$8:$HA$215,MATCH($BC94,SAM!$A$8:$A$215,0),MATCH(BQ$48,SAM!$B$7:$HA$7,0)),0)</f>
        <v>0</v>
      </c>
      <c r="BR94" s="45">
        <f>_xlfn.IFNA(INDEX(SAM!$B$8:$HA$215,MATCH($BC94,SAM!$A$8:$A$215,0),MATCH(BR$48,SAM!$B$7:$HA$7,0)),0)</f>
        <v>0</v>
      </c>
      <c r="BT94" t="str">
        <f t="shared" si="109"/>
        <v>cosrv</v>
      </c>
      <c r="BU94" s="7">
        <f t="shared" si="110"/>
        <v>150.37262980659457</v>
      </c>
      <c r="BW94" s="51" t="s">
        <v>209</v>
      </c>
      <c r="BX94" s="43">
        <f t="shared" si="116"/>
        <v>2.3021792637349843</v>
      </c>
    </row>
    <row r="95" spans="1:76" x14ac:dyDescent="0.35">
      <c r="A95" s="1"/>
      <c r="B95" s="1" t="s">
        <v>127</v>
      </c>
      <c r="C95" s="33">
        <f t="shared" ref="C95:R95" si="156">SUM(C49:C94)</f>
        <v>99.999999999999972</v>
      </c>
      <c r="D95" s="33">
        <f t="shared" si="156"/>
        <v>100</v>
      </c>
      <c r="E95" s="33">
        <f t="shared" si="156"/>
        <v>100.00000000000006</v>
      </c>
      <c r="F95" s="33">
        <f t="shared" si="156"/>
        <v>99.999999999999957</v>
      </c>
      <c r="G95" s="33">
        <f t="shared" si="156"/>
        <v>99.999999999999972</v>
      </c>
      <c r="H95" s="33">
        <f t="shared" si="156"/>
        <v>100</v>
      </c>
      <c r="I95" s="33">
        <f t="shared" si="156"/>
        <v>100</v>
      </c>
      <c r="J95" s="33">
        <f t="shared" si="156"/>
        <v>99.999999999999972</v>
      </c>
      <c r="K95" s="33">
        <f t="shared" si="156"/>
        <v>100.00000000000001</v>
      </c>
      <c r="L95" s="33">
        <f t="shared" si="156"/>
        <v>99.999999999999972</v>
      </c>
      <c r="M95" s="33">
        <f t="shared" si="156"/>
        <v>100.00000000000001</v>
      </c>
      <c r="N95" s="33">
        <f t="shared" si="156"/>
        <v>100.00000000000001</v>
      </c>
      <c r="O95" s="33">
        <f t="shared" si="156"/>
        <v>100</v>
      </c>
      <c r="P95" s="33">
        <f t="shared" si="156"/>
        <v>99.999999999999986</v>
      </c>
      <c r="Q95" s="33">
        <f t="shared" si="156"/>
        <v>99.999999999999957</v>
      </c>
      <c r="R95" s="33">
        <f t="shared" si="156"/>
        <v>99.999999999999986</v>
      </c>
      <c r="T95" s="1" t="str">
        <f t="shared" si="137"/>
        <v>Total</v>
      </c>
      <c r="U95" s="33">
        <f t="shared" ref="U95:AJ95" si="157">SUM(U49:U94)</f>
        <v>262.42547461624224</v>
      </c>
      <c r="V95" s="33">
        <f t="shared" si="157"/>
        <v>373.83324258879907</v>
      </c>
      <c r="W95" s="33">
        <f t="shared" si="157"/>
        <v>582.90154041015205</v>
      </c>
      <c r="X95" s="33">
        <f t="shared" si="157"/>
        <v>798.64511046113603</v>
      </c>
      <c r="Y95" s="33">
        <f t="shared" si="157"/>
        <v>1429.7506067350009</v>
      </c>
      <c r="Z95" s="33">
        <f t="shared" si="157"/>
        <v>17.280506726417158</v>
      </c>
      <c r="AA95" s="33">
        <f t="shared" si="157"/>
        <v>22.304127899190259</v>
      </c>
      <c r="AB95" s="33">
        <f t="shared" si="157"/>
        <v>27.477245773340236</v>
      </c>
      <c r="AC95" s="33">
        <f t="shared" si="157"/>
        <v>54.217880823036722</v>
      </c>
      <c r="AD95" s="33">
        <f t="shared" si="157"/>
        <v>219.91090905104329</v>
      </c>
      <c r="AE95" s="33">
        <f t="shared" si="157"/>
        <v>11.939067928707125</v>
      </c>
      <c r="AF95" s="33">
        <f t="shared" si="157"/>
        <v>36.411352276930344</v>
      </c>
      <c r="AG95" s="33">
        <f t="shared" si="157"/>
        <v>103.08620217496019</v>
      </c>
      <c r="AH95" s="33">
        <f t="shared" si="157"/>
        <v>249.14788853120331</v>
      </c>
      <c r="AI95" s="33">
        <f t="shared" si="157"/>
        <v>2342.4203967753947</v>
      </c>
      <c r="AJ95" s="33">
        <f t="shared" si="157"/>
        <v>6531.7515527715541</v>
      </c>
      <c r="BT95" s="1" t="s">
        <v>126</v>
      </c>
      <c r="BU95" s="33">
        <f>SUM(BU49:BU94)</f>
        <v>6531.7515527715541</v>
      </c>
    </row>
    <row r="97" spans="1:70" s="34" customFormat="1" x14ac:dyDescent="0.35"/>
    <row r="98" spans="1:70" x14ac:dyDescent="0.35">
      <c r="A98" t="s">
        <v>640</v>
      </c>
    </row>
    <row r="99" spans="1:70" x14ac:dyDescent="0.35">
      <c r="A99" t="s">
        <v>639</v>
      </c>
      <c r="S99" s="1" t="s">
        <v>674</v>
      </c>
    </row>
    <row r="100" spans="1:70" x14ac:dyDescent="0.35">
      <c r="C100" s="182" t="s">
        <v>606</v>
      </c>
      <c r="D100" s="182"/>
      <c r="E100" s="182"/>
      <c r="F100" s="182"/>
      <c r="G100" s="183"/>
      <c r="H100" s="181" t="s">
        <v>607</v>
      </c>
      <c r="I100" s="182"/>
      <c r="J100" s="182"/>
      <c r="K100" s="182"/>
      <c r="L100" s="183"/>
      <c r="M100" s="182" t="s">
        <v>468</v>
      </c>
      <c r="N100" s="182"/>
      <c r="O100" s="182"/>
      <c r="P100" s="182"/>
      <c r="Q100" s="183"/>
      <c r="T100" s="182" t="s">
        <v>606</v>
      </c>
      <c r="U100" s="182"/>
      <c r="V100" s="182"/>
      <c r="W100" s="182"/>
      <c r="X100" s="183"/>
      <c r="Y100" s="181" t="s">
        <v>607</v>
      </c>
      <c r="Z100" s="182"/>
      <c r="AA100" s="182"/>
      <c r="AB100" s="182"/>
      <c r="AC100" s="183"/>
      <c r="AD100" s="182" t="s">
        <v>468</v>
      </c>
      <c r="AE100" s="182"/>
      <c r="AF100" s="182"/>
      <c r="AG100" s="182"/>
      <c r="AH100" s="183"/>
    </row>
    <row r="101" spans="1:70" x14ac:dyDescent="0.35">
      <c r="A101" s="85"/>
      <c r="B101" s="39"/>
      <c r="C101" s="35" t="s">
        <v>217</v>
      </c>
      <c r="D101" s="35" t="s">
        <v>218</v>
      </c>
      <c r="E101" s="35" t="s">
        <v>219</v>
      </c>
      <c r="F101" s="35" t="s">
        <v>220</v>
      </c>
      <c r="G101" s="36" t="s">
        <v>221</v>
      </c>
      <c r="H101" s="37" t="s">
        <v>595</v>
      </c>
      <c r="I101" s="35" t="s">
        <v>596</v>
      </c>
      <c r="J101" s="35" t="s">
        <v>597</v>
      </c>
      <c r="K101" s="35" t="s">
        <v>598</v>
      </c>
      <c r="L101" s="36" t="s">
        <v>599</v>
      </c>
      <c r="M101" s="35" t="s">
        <v>222</v>
      </c>
      <c r="N101" s="35" t="s">
        <v>223</v>
      </c>
      <c r="O101" s="35" t="s">
        <v>224</v>
      </c>
      <c r="P101" s="35" t="s">
        <v>225</v>
      </c>
      <c r="Q101" s="36" t="s">
        <v>226</v>
      </c>
      <c r="R101" s="179" t="s">
        <v>671</v>
      </c>
      <c r="S101" s="180"/>
      <c r="T101" s="35" t="s">
        <v>217</v>
      </c>
      <c r="U101" s="35" t="s">
        <v>218</v>
      </c>
      <c r="V101" s="35" t="s">
        <v>219</v>
      </c>
      <c r="W101" s="35" t="s">
        <v>220</v>
      </c>
      <c r="X101" s="36" t="s">
        <v>221</v>
      </c>
      <c r="Y101" s="37" t="s">
        <v>595</v>
      </c>
      <c r="Z101" s="35" t="s">
        <v>596</v>
      </c>
      <c r="AA101" s="35" t="s">
        <v>597</v>
      </c>
      <c r="AB101" s="35" t="s">
        <v>598</v>
      </c>
      <c r="AC101" s="36" t="s">
        <v>599</v>
      </c>
      <c r="AD101" s="35" t="s">
        <v>222</v>
      </c>
      <c r="AE101" s="35" t="s">
        <v>223</v>
      </c>
      <c r="AF101" s="35" t="s">
        <v>224</v>
      </c>
      <c r="AG101" s="35" t="s">
        <v>225</v>
      </c>
      <c r="AH101" s="36" t="s">
        <v>226</v>
      </c>
    </row>
    <row r="102" spans="1:70" x14ac:dyDescent="0.35">
      <c r="A102" s="91" t="str">
        <f>S102</f>
        <v>given</v>
      </c>
      <c r="B102" s="92" t="s">
        <v>616</v>
      </c>
      <c r="C102" s="93">
        <f t="shared" ref="C102:C114" si="158">IF(C19&gt;0,C19*T102,"")</f>
        <v>13.697892951293674</v>
      </c>
      <c r="D102" s="93">
        <f t="shared" ref="D102:D114" si="159">IF(D19&gt;0,D19*U102,"")</f>
        <v>11.856562150160968</v>
      </c>
      <c r="E102" s="93">
        <f t="shared" ref="E102:E114" si="160">IF(E19&gt;0,E19*V102,"")</f>
        <v>10.185287555856489</v>
      </c>
      <c r="F102" s="93">
        <f t="shared" ref="F102:F114" si="161">IF(F19&gt;0,F19*W102,"")</f>
        <v>8.3273990860672562</v>
      </c>
      <c r="G102" s="94">
        <f t="shared" ref="G102:G114" si="162">IF(G19&gt;0,G19*X102,"")</f>
        <v>5.5959994609519299</v>
      </c>
      <c r="H102" s="95">
        <f t="shared" ref="H102:H114" si="163">IF(H19&gt;0,H19*Y102,"")</f>
        <v>11.188836395164323</v>
      </c>
      <c r="I102" s="93">
        <f t="shared" ref="I102:I114" si="164">IF(I19&gt;0,I19*Z102,"")</f>
        <v>9.1110471365581116</v>
      </c>
      <c r="J102" s="93">
        <f t="shared" ref="J102:J114" si="165">IF(J19&gt;0,J19*AA102,"")</f>
        <v>9.8309514373162195</v>
      </c>
      <c r="K102" s="93">
        <f t="shared" ref="K102:K114" si="166">IF(K19&gt;0,K19*AB102,"")</f>
        <v>7.6443315413879862</v>
      </c>
      <c r="L102" s="94">
        <f t="shared" ref="L102:L114" si="167">IF(L19&gt;0,L19*AC102,"")</f>
        <v>4.0337968353865801</v>
      </c>
      <c r="M102" s="93">
        <f t="shared" ref="M102:M114" si="168">IF(M19&gt;0,M19*AD102,"")</f>
        <v>9.5357969730999503</v>
      </c>
      <c r="N102" s="93">
        <f t="shared" ref="N102:N114" si="169">IF(N19&gt;0,N19*AE102,"")</f>
        <v>9.6762865136792406</v>
      </c>
      <c r="O102" s="93">
        <f t="shared" ref="O102:O114" si="170">IF(O19&gt;0,O19*AF102,"")</f>
        <v>8.2161451081378445</v>
      </c>
      <c r="P102" s="93">
        <f t="shared" ref="P102:P114" si="171">IF(P19&gt;0,P19*AG102,"")</f>
        <v>6.559334519857293</v>
      </c>
      <c r="Q102" s="94">
        <f t="shared" ref="Q102:Q114" si="172">IF(Q19&gt;0,Q19*AH102,"")</f>
        <v>3.1714571630420991</v>
      </c>
      <c r="R102" s="112" t="s">
        <v>616</v>
      </c>
      <c r="S102" s="106" t="s">
        <v>657</v>
      </c>
      <c r="T102" s="63">
        <v>0.5</v>
      </c>
      <c r="U102" s="63">
        <f>T102</f>
        <v>0.5</v>
      </c>
      <c r="V102" s="63">
        <f t="shared" ref="V102:AH102" si="173">U102</f>
        <v>0.5</v>
      </c>
      <c r="W102" s="63">
        <f t="shared" si="173"/>
        <v>0.5</v>
      </c>
      <c r="X102" s="64">
        <f t="shared" si="173"/>
        <v>0.5</v>
      </c>
      <c r="Y102" s="65">
        <f t="shared" si="173"/>
        <v>0.5</v>
      </c>
      <c r="Z102" s="63">
        <f t="shared" si="173"/>
        <v>0.5</v>
      </c>
      <c r="AA102" s="63">
        <f t="shared" si="173"/>
        <v>0.5</v>
      </c>
      <c r="AB102" s="63">
        <f t="shared" si="173"/>
        <v>0.5</v>
      </c>
      <c r="AC102" s="64">
        <f t="shared" si="173"/>
        <v>0.5</v>
      </c>
      <c r="AD102" s="63">
        <f t="shared" si="173"/>
        <v>0.5</v>
      </c>
      <c r="AE102" s="63">
        <f t="shared" si="173"/>
        <v>0.5</v>
      </c>
      <c r="AF102" s="63">
        <f t="shared" si="173"/>
        <v>0.5</v>
      </c>
      <c r="AG102" s="63">
        <f t="shared" si="173"/>
        <v>0.5</v>
      </c>
      <c r="AH102" s="64">
        <f t="shared" si="173"/>
        <v>0.5</v>
      </c>
    </row>
    <row r="103" spans="1:70" x14ac:dyDescent="0.35">
      <c r="A103" s="91" t="str">
        <f t="shared" ref="A103:A122" si="174">S103</f>
        <v>given</v>
      </c>
      <c r="B103" s="92" t="s">
        <v>618</v>
      </c>
      <c r="C103" s="93">
        <f t="shared" si="158"/>
        <v>2.2274977809512215</v>
      </c>
      <c r="D103" s="93">
        <f t="shared" si="159"/>
        <v>2.2553041959141176</v>
      </c>
      <c r="E103" s="93">
        <f t="shared" si="160"/>
        <v>2.3796910725367799</v>
      </c>
      <c r="F103" s="93">
        <f t="shared" si="161"/>
        <v>2.4607676210006959</v>
      </c>
      <c r="G103" s="94">
        <f t="shared" si="162"/>
        <v>1.8539824431421388</v>
      </c>
      <c r="H103" s="95">
        <f t="shared" si="163"/>
        <v>1.1950163795725985</v>
      </c>
      <c r="I103" s="93">
        <f t="shared" si="164"/>
        <v>1.6116004678809972</v>
      </c>
      <c r="J103" s="93">
        <f t="shared" si="165"/>
        <v>2.0356828417603468</v>
      </c>
      <c r="K103" s="93">
        <f t="shared" si="166"/>
        <v>1.5430392881612929</v>
      </c>
      <c r="L103" s="94">
        <f t="shared" si="167"/>
        <v>1.0419675096981442</v>
      </c>
      <c r="M103" s="93">
        <f t="shared" si="168"/>
        <v>1.8141261239841946</v>
      </c>
      <c r="N103" s="93">
        <f t="shared" si="169"/>
        <v>1.7857431093204823</v>
      </c>
      <c r="O103" s="93">
        <f t="shared" si="170"/>
        <v>1.9809851243234233</v>
      </c>
      <c r="P103" s="93">
        <f t="shared" si="171"/>
        <v>1.8106725699026638</v>
      </c>
      <c r="Q103" s="94">
        <f t="shared" si="172"/>
        <v>0.77355379885107767</v>
      </c>
      <c r="R103" s="112" t="s">
        <v>618</v>
      </c>
      <c r="S103" s="106" t="s">
        <v>657</v>
      </c>
      <c r="T103" s="63">
        <v>0.5</v>
      </c>
      <c r="U103" s="63">
        <f t="shared" ref="U103:AH103" si="175">T103</f>
        <v>0.5</v>
      </c>
      <c r="V103" s="63">
        <f t="shared" si="175"/>
        <v>0.5</v>
      </c>
      <c r="W103" s="63">
        <f t="shared" si="175"/>
        <v>0.5</v>
      </c>
      <c r="X103" s="64">
        <f t="shared" si="175"/>
        <v>0.5</v>
      </c>
      <c r="Y103" s="65">
        <f t="shared" si="175"/>
        <v>0.5</v>
      </c>
      <c r="Z103" s="63">
        <f t="shared" si="175"/>
        <v>0.5</v>
      </c>
      <c r="AA103" s="63">
        <f t="shared" si="175"/>
        <v>0.5</v>
      </c>
      <c r="AB103" s="63">
        <f t="shared" si="175"/>
        <v>0.5</v>
      </c>
      <c r="AC103" s="64">
        <f t="shared" si="175"/>
        <v>0.5</v>
      </c>
      <c r="AD103" s="63">
        <f t="shared" si="175"/>
        <v>0.5</v>
      </c>
      <c r="AE103" s="63">
        <f t="shared" si="175"/>
        <v>0.5</v>
      </c>
      <c r="AF103" s="63">
        <f t="shared" si="175"/>
        <v>0.5</v>
      </c>
      <c r="AG103" s="63">
        <f t="shared" si="175"/>
        <v>0.5</v>
      </c>
      <c r="AH103" s="64">
        <f t="shared" si="175"/>
        <v>0.5</v>
      </c>
    </row>
    <row r="104" spans="1:70" x14ac:dyDescent="0.35">
      <c r="A104" s="91" t="str">
        <f t="shared" si="174"/>
        <v>given</v>
      </c>
      <c r="B104" s="92" t="s">
        <v>617</v>
      </c>
      <c r="C104" s="93">
        <f t="shared" si="158"/>
        <v>2.3457991237538285</v>
      </c>
      <c r="D104" s="93">
        <f t="shared" si="159"/>
        <v>2.5331395490193542</v>
      </c>
      <c r="E104" s="93">
        <f t="shared" si="160"/>
        <v>2.4894988985009334</v>
      </c>
      <c r="F104" s="93">
        <f t="shared" si="161"/>
        <v>2.2357792688803246</v>
      </c>
      <c r="G104" s="94">
        <f t="shared" si="162"/>
        <v>1.6978642490590048</v>
      </c>
      <c r="H104" s="95">
        <f t="shared" si="163"/>
        <v>1.3148432913218986</v>
      </c>
      <c r="I104" s="93">
        <f t="shared" si="164"/>
        <v>1.7952654828949191</v>
      </c>
      <c r="J104" s="93">
        <f t="shared" si="165"/>
        <v>1.5573459883327327</v>
      </c>
      <c r="K104" s="93">
        <f t="shared" si="166"/>
        <v>1.6080812243831772</v>
      </c>
      <c r="L104" s="94">
        <f t="shared" si="167"/>
        <v>0.87367590074043844</v>
      </c>
      <c r="M104" s="93">
        <f t="shared" si="168"/>
        <v>1.5728598672670522</v>
      </c>
      <c r="N104" s="93">
        <f t="shared" si="169"/>
        <v>2.0118234261345367</v>
      </c>
      <c r="O104" s="93">
        <f t="shared" si="170"/>
        <v>1.7857113556288402</v>
      </c>
      <c r="P104" s="93">
        <f t="shared" si="171"/>
        <v>1.703912975847854</v>
      </c>
      <c r="Q104" s="94">
        <f t="shared" si="172"/>
        <v>0.70530139535397929</v>
      </c>
      <c r="R104" s="112" t="s">
        <v>617</v>
      </c>
      <c r="S104" s="106" t="s">
        <v>657</v>
      </c>
      <c r="T104" s="63">
        <v>0.8</v>
      </c>
      <c r="U104" s="63">
        <f t="shared" ref="U104:AH104" si="176">T104</f>
        <v>0.8</v>
      </c>
      <c r="V104" s="63">
        <f t="shared" si="176"/>
        <v>0.8</v>
      </c>
      <c r="W104" s="63">
        <f t="shared" si="176"/>
        <v>0.8</v>
      </c>
      <c r="X104" s="64">
        <f t="shared" si="176"/>
        <v>0.8</v>
      </c>
      <c r="Y104" s="65">
        <f t="shared" si="176"/>
        <v>0.8</v>
      </c>
      <c r="Z104" s="63">
        <f t="shared" si="176"/>
        <v>0.8</v>
      </c>
      <c r="AA104" s="63">
        <f t="shared" si="176"/>
        <v>0.8</v>
      </c>
      <c r="AB104" s="63">
        <f t="shared" si="176"/>
        <v>0.8</v>
      </c>
      <c r="AC104" s="64">
        <f t="shared" si="176"/>
        <v>0.8</v>
      </c>
      <c r="AD104" s="63">
        <f t="shared" si="176"/>
        <v>0.8</v>
      </c>
      <c r="AE104" s="63">
        <f t="shared" si="176"/>
        <v>0.8</v>
      </c>
      <c r="AF104" s="63">
        <f t="shared" si="176"/>
        <v>0.8</v>
      </c>
      <c r="AG104" s="63">
        <f t="shared" si="176"/>
        <v>0.8</v>
      </c>
      <c r="AH104" s="64">
        <f t="shared" si="176"/>
        <v>0.8</v>
      </c>
    </row>
    <row r="105" spans="1:70" x14ac:dyDescent="0.35">
      <c r="A105" s="91" t="str">
        <f t="shared" si="174"/>
        <v>given</v>
      </c>
      <c r="B105" s="92" t="s">
        <v>723</v>
      </c>
      <c r="C105" s="93">
        <f t="shared" si="158"/>
        <v>9.0832069523955905</v>
      </c>
      <c r="D105" s="93">
        <f t="shared" si="159"/>
        <v>7.8698712392552981</v>
      </c>
      <c r="E105" s="93">
        <f t="shared" si="160"/>
        <v>6.5479079174558228</v>
      </c>
      <c r="F105" s="93">
        <f t="shared" si="161"/>
        <v>5.7364229670716611</v>
      </c>
      <c r="G105" s="94">
        <f t="shared" si="162"/>
        <v>3.7194773939895223</v>
      </c>
      <c r="H105" s="95">
        <f t="shared" si="163"/>
        <v>7.3344114727901983</v>
      </c>
      <c r="I105" s="93">
        <f t="shared" si="164"/>
        <v>6.1383484933723889</v>
      </c>
      <c r="J105" s="93">
        <f t="shared" si="165"/>
        <v>4.9861418380934168</v>
      </c>
      <c r="K105" s="93">
        <f t="shared" si="166"/>
        <v>5.2410457253852609</v>
      </c>
      <c r="L105" s="94">
        <f t="shared" si="167"/>
        <v>2.7277374365453753</v>
      </c>
      <c r="M105" s="93">
        <f t="shared" si="168"/>
        <v>7.4041517817646314</v>
      </c>
      <c r="N105" s="93">
        <f t="shared" si="169"/>
        <v>6.6034413966267271</v>
      </c>
      <c r="O105" s="93">
        <f t="shared" si="170"/>
        <v>5.4286723518782836</v>
      </c>
      <c r="P105" s="93">
        <f t="shared" si="171"/>
        <v>4.6612624302022434</v>
      </c>
      <c r="Q105" s="94">
        <f t="shared" si="172"/>
        <v>2.1697186339623933</v>
      </c>
      <c r="R105" s="112" t="s">
        <v>723</v>
      </c>
      <c r="S105" s="106" t="s">
        <v>657</v>
      </c>
      <c r="T105" s="63">
        <v>0.8</v>
      </c>
      <c r="U105" s="63">
        <f t="shared" ref="U105:AH105" si="177">T105</f>
        <v>0.8</v>
      </c>
      <c r="V105" s="63">
        <f t="shared" si="177"/>
        <v>0.8</v>
      </c>
      <c r="W105" s="63">
        <f t="shared" si="177"/>
        <v>0.8</v>
      </c>
      <c r="X105" s="64">
        <f t="shared" si="177"/>
        <v>0.8</v>
      </c>
      <c r="Y105" s="65">
        <f t="shared" si="177"/>
        <v>0.8</v>
      </c>
      <c r="Z105" s="63">
        <f t="shared" si="177"/>
        <v>0.8</v>
      </c>
      <c r="AA105" s="63">
        <f t="shared" si="177"/>
        <v>0.8</v>
      </c>
      <c r="AB105" s="63">
        <f t="shared" si="177"/>
        <v>0.8</v>
      </c>
      <c r="AC105" s="64">
        <f t="shared" si="177"/>
        <v>0.8</v>
      </c>
      <c r="AD105" s="63">
        <f t="shared" si="177"/>
        <v>0.8</v>
      </c>
      <c r="AE105" s="63">
        <f t="shared" si="177"/>
        <v>0.8</v>
      </c>
      <c r="AF105" s="63">
        <f t="shared" si="177"/>
        <v>0.8</v>
      </c>
      <c r="AG105" s="63">
        <f t="shared" si="177"/>
        <v>0.8</v>
      </c>
      <c r="AH105" s="64">
        <f t="shared" si="177"/>
        <v>0.8</v>
      </c>
    </row>
    <row r="106" spans="1:70" x14ac:dyDescent="0.35">
      <c r="A106" s="91" t="str">
        <f t="shared" si="174"/>
        <v>given</v>
      </c>
      <c r="B106" s="92" t="s">
        <v>620</v>
      </c>
      <c r="C106" s="93">
        <f t="shared" si="158"/>
        <v>1.7759512970979343</v>
      </c>
      <c r="D106" s="93">
        <f t="shared" si="159"/>
        <v>1.6684950057479611</v>
      </c>
      <c r="E106" s="93">
        <f t="shared" si="160"/>
        <v>1.939346456652667</v>
      </c>
      <c r="F106" s="93">
        <f t="shared" si="161"/>
        <v>1.8963052198179098</v>
      </c>
      <c r="G106" s="94">
        <f t="shared" si="162"/>
        <v>2.0366041259946983</v>
      </c>
      <c r="H106" s="95">
        <f t="shared" si="163"/>
        <v>1.2965436736012841</v>
      </c>
      <c r="I106" s="93">
        <f t="shared" si="164"/>
        <v>1.5981693440463993</v>
      </c>
      <c r="J106" s="93">
        <f t="shared" si="165"/>
        <v>1.4868113662064719</v>
      </c>
      <c r="K106" s="93">
        <f t="shared" si="166"/>
        <v>1.5576477147653331</v>
      </c>
      <c r="L106" s="94">
        <f t="shared" si="167"/>
        <v>1.4768736234713566</v>
      </c>
      <c r="M106" s="93">
        <f t="shared" si="168"/>
        <v>0.86848721853602473</v>
      </c>
      <c r="N106" s="93">
        <f t="shared" si="169"/>
        <v>1.481890966642134</v>
      </c>
      <c r="O106" s="93">
        <f t="shared" si="170"/>
        <v>1.4058789569886423</v>
      </c>
      <c r="P106" s="93">
        <f t="shared" si="171"/>
        <v>1.3924315839958661</v>
      </c>
      <c r="Q106" s="94">
        <f t="shared" si="172"/>
        <v>1.1013195198296681</v>
      </c>
      <c r="R106" s="112" t="s">
        <v>620</v>
      </c>
      <c r="S106" s="106" t="s">
        <v>657</v>
      </c>
      <c r="T106" s="63">
        <v>0.9</v>
      </c>
      <c r="U106" s="63">
        <f t="shared" ref="U106:AH106" si="178">T106</f>
        <v>0.9</v>
      </c>
      <c r="V106" s="63">
        <f t="shared" si="178"/>
        <v>0.9</v>
      </c>
      <c r="W106" s="63">
        <f t="shared" si="178"/>
        <v>0.9</v>
      </c>
      <c r="X106" s="64">
        <f t="shared" si="178"/>
        <v>0.9</v>
      </c>
      <c r="Y106" s="65">
        <f t="shared" si="178"/>
        <v>0.9</v>
      </c>
      <c r="Z106" s="63">
        <f t="shared" si="178"/>
        <v>0.9</v>
      </c>
      <c r="AA106" s="63">
        <f t="shared" si="178"/>
        <v>0.9</v>
      </c>
      <c r="AB106" s="63">
        <f t="shared" si="178"/>
        <v>0.9</v>
      </c>
      <c r="AC106" s="64">
        <f t="shared" si="178"/>
        <v>0.9</v>
      </c>
      <c r="AD106" s="63">
        <f t="shared" si="178"/>
        <v>0.9</v>
      </c>
      <c r="AE106" s="63">
        <f t="shared" si="178"/>
        <v>0.9</v>
      </c>
      <c r="AF106" s="63">
        <f t="shared" si="178"/>
        <v>0.9</v>
      </c>
      <c r="AG106" s="63">
        <f t="shared" si="178"/>
        <v>0.9</v>
      </c>
      <c r="AH106" s="64">
        <f t="shared" si="178"/>
        <v>0.9</v>
      </c>
    </row>
    <row r="107" spans="1:70" x14ac:dyDescent="0.35">
      <c r="A107" s="91" t="str">
        <f t="shared" si="174"/>
        <v>given</v>
      </c>
      <c r="B107" s="92" t="s">
        <v>621</v>
      </c>
      <c r="C107" s="93">
        <f t="shared" si="158"/>
        <v>7.2335391030170326</v>
      </c>
      <c r="D107" s="93">
        <f t="shared" si="159"/>
        <v>10.43912383400175</v>
      </c>
      <c r="E107" s="93">
        <f t="shared" si="160"/>
        <v>12.065031336004335</v>
      </c>
      <c r="F107" s="93">
        <f t="shared" si="161"/>
        <v>14.452924339266756</v>
      </c>
      <c r="G107" s="94">
        <f t="shared" si="162"/>
        <v>16.911370303078147</v>
      </c>
      <c r="H107" s="95">
        <f t="shared" si="163"/>
        <v>7.72774290575921</v>
      </c>
      <c r="I107" s="93">
        <f t="shared" si="164"/>
        <v>11.017427281948887</v>
      </c>
      <c r="J107" s="93">
        <f t="shared" si="165"/>
        <v>13.40674676638686</v>
      </c>
      <c r="K107" s="93">
        <f t="shared" si="166"/>
        <v>12.522073656335746</v>
      </c>
      <c r="L107" s="94">
        <f t="shared" si="167"/>
        <v>11.433476732299555</v>
      </c>
      <c r="M107" s="93">
        <f t="shared" si="168"/>
        <v>8.5108717894040211</v>
      </c>
      <c r="N107" s="93">
        <f t="shared" si="169"/>
        <v>10.820907478011517</v>
      </c>
      <c r="O107" s="93">
        <f t="shared" si="170"/>
        <v>9.530233079201027</v>
      </c>
      <c r="P107" s="93">
        <f t="shared" si="171"/>
        <v>12.531012100628447</v>
      </c>
      <c r="Q107" s="94">
        <f t="shared" si="172"/>
        <v>9.2343623959984527</v>
      </c>
      <c r="R107" s="112" t="s">
        <v>621</v>
      </c>
      <c r="S107" s="106" t="s">
        <v>657</v>
      </c>
      <c r="T107" s="63">
        <v>0.9</v>
      </c>
      <c r="U107" s="63">
        <f t="shared" ref="U107:AH107" si="179">T107</f>
        <v>0.9</v>
      </c>
      <c r="V107" s="63">
        <f t="shared" si="179"/>
        <v>0.9</v>
      </c>
      <c r="W107" s="63">
        <f t="shared" si="179"/>
        <v>0.9</v>
      </c>
      <c r="X107" s="64">
        <f t="shared" si="179"/>
        <v>0.9</v>
      </c>
      <c r="Y107" s="65">
        <f t="shared" si="179"/>
        <v>0.9</v>
      </c>
      <c r="Z107" s="63">
        <f t="shared" si="179"/>
        <v>0.9</v>
      </c>
      <c r="AA107" s="63">
        <f t="shared" si="179"/>
        <v>0.9</v>
      </c>
      <c r="AB107" s="63">
        <f t="shared" si="179"/>
        <v>0.9</v>
      </c>
      <c r="AC107" s="64">
        <f t="shared" si="179"/>
        <v>0.9</v>
      </c>
      <c r="AD107" s="63">
        <f t="shared" si="179"/>
        <v>0.9</v>
      </c>
      <c r="AE107" s="63">
        <f t="shared" si="179"/>
        <v>0.9</v>
      </c>
      <c r="AF107" s="63">
        <f t="shared" si="179"/>
        <v>0.9</v>
      </c>
      <c r="AG107" s="63">
        <f t="shared" si="179"/>
        <v>0.9</v>
      </c>
      <c r="AH107" s="64">
        <f t="shared" si="179"/>
        <v>0.9</v>
      </c>
    </row>
    <row r="108" spans="1:70" x14ac:dyDescent="0.35">
      <c r="A108" s="91" t="str">
        <f t="shared" si="174"/>
        <v>given</v>
      </c>
      <c r="B108" s="92" t="s">
        <v>622</v>
      </c>
      <c r="C108" s="93">
        <f t="shared" si="158"/>
        <v>3.5078116352419801E-2</v>
      </c>
      <c r="D108" s="93">
        <f t="shared" si="159"/>
        <v>0.17367119640921358</v>
      </c>
      <c r="E108" s="93">
        <f t="shared" si="160"/>
        <v>0.22665067817325274</v>
      </c>
      <c r="F108" s="93">
        <f t="shared" si="161"/>
        <v>0.49719706818126197</v>
      </c>
      <c r="G108" s="94">
        <f t="shared" si="162"/>
        <v>0.74818628304555723</v>
      </c>
      <c r="H108" s="95">
        <f t="shared" si="163"/>
        <v>0.13422301642223833</v>
      </c>
      <c r="I108" s="93">
        <f t="shared" si="164"/>
        <v>6.5162141615618147E-2</v>
      </c>
      <c r="J108" s="93">
        <f t="shared" si="165"/>
        <v>0.28525568881962449</v>
      </c>
      <c r="K108" s="93">
        <f t="shared" si="166"/>
        <v>0.65247890419724119</v>
      </c>
      <c r="L108" s="94">
        <f t="shared" si="167"/>
        <v>0.86987313506920361</v>
      </c>
      <c r="M108" s="93">
        <f t="shared" si="168"/>
        <v>0.80128291071758173</v>
      </c>
      <c r="N108" s="93">
        <f t="shared" si="169"/>
        <v>0.3382257388807437</v>
      </c>
      <c r="O108" s="93">
        <f t="shared" si="170"/>
        <v>0.53876302105614993</v>
      </c>
      <c r="P108" s="93">
        <f t="shared" si="171"/>
        <v>0.61264865045223527</v>
      </c>
      <c r="Q108" s="94">
        <f t="shared" si="172"/>
        <v>0.73045162430563682</v>
      </c>
      <c r="R108" s="112" t="s">
        <v>622</v>
      </c>
      <c r="S108" s="106" t="s">
        <v>657</v>
      </c>
      <c r="T108" s="63">
        <v>0.8</v>
      </c>
      <c r="U108" s="63">
        <f t="shared" ref="U108:AH108" si="180">T108</f>
        <v>0.8</v>
      </c>
      <c r="V108" s="63">
        <f t="shared" si="180"/>
        <v>0.8</v>
      </c>
      <c r="W108" s="63">
        <f t="shared" si="180"/>
        <v>0.8</v>
      </c>
      <c r="X108" s="64">
        <f t="shared" si="180"/>
        <v>0.8</v>
      </c>
      <c r="Y108" s="65">
        <f t="shared" si="180"/>
        <v>0.8</v>
      </c>
      <c r="Z108" s="63">
        <f t="shared" si="180"/>
        <v>0.8</v>
      </c>
      <c r="AA108" s="63">
        <f t="shared" si="180"/>
        <v>0.8</v>
      </c>
      <c r="AB108" s="63">
        <f t="shared" si="180"/>
        <v>0.8</v>
      </c>
      <c r="AC108" s="64">
        <f t="shared" si="180"/>
        <v>0.8</v>
      </c>
      <c r="AD108" s="63">
        <f t="shared" si="180"/>
        <v>0.8</v>
      </c>
      <c r="AE108" s="63">
        <f t="shared" si="180"/>
        <v>0.8</v>
      </c>
      <c r="AF108" s="63">
        <f t="shared" si="180"/>
        <v>0.8</v>
      </c>
      <c r="AG108" s="63">
        <f t="shared" si="180"/>
        <v>0.8</v>
      </c>
      <c r="AH108" s="64">
        <f t="shared" si="180"/>
        <v>0.8</v>
      </c>
    </row>
    <row r="109" spans="1:70" x14ac:dyDescent="0.35">
      <c r="A109" s="91" t="str">
        <f t="shared" si="174"/>
        <v>given</v>
      </c>
      <c r="B109" s="92" t="s">
        <v>623</v>
      </c>
      <c r="C109" s="93">
        <f t="shared" si="158"/>
        <v>1.6140145815473337</v>
      </c>
      <c r="D109" s="93">
        <f t="shared" si="159"/>
        <v>2.1396471014015765</v>
      </c>
      <c r="E109" s="93">
        <f t="shared" si="160"/>
        <v>2.5316740694978783</v>
      </c>
      <c r="F109" s="93">
        <f t="shared" si="161"/>
        <v>3.1440579439395506</v>
      </c>
      <c r="G109" s="94">
        <f t="shared" si="162"/>
        <v>3.3183681045036888</v>
      </c>
      <c r="H109" s="95">
        <f t="shared" si="163"/>
        <v>1.9063749654996986</v>
      </c>
      <c r="I109" s="93">
        <f t="shared" si="164"/>
        <v>2.3056079887272718</v>
      </c>
      <c r="J109" s="93">
        <f t="shared" si="165"/>
        <v>2.5042582631919585</v>
      </c>
      <c r="K109" s="93">
        <f t="shared" si="166"/>
        <v>2.5751651932390347</v>
      </c>
      <c r="L109" s="94">
        <f t="shared" si="167"/>
        <v>8.9227053497499025</v>
      </c>
      <c r="M109" s="93">
        <f t="shared" si="168"/>
        <v>1.7770658589298063</v>
      </c>
      <c r="N109" s="93">
        <f t="shared" si="169"/>
        <v>2.3283289216168468</v>
      </c>
      <c r="O109" s="93">
        <f t="shared" si="170"/>
        <v>2.5431098131284475</v>
      </c>
      <c r="P109" s="93">
        <f t="shared" si="171"/>
        <v>2.698144467441173</v>
      </c>
      <c r="Q109" s="94">
        <f t="shared" si="172"/>
        <v>6.0469131439223611</v>
      </c>
      <c r="R109" s="112" t="s">
        <v>623</v>
      </c>
      <c r="S109" s="106" t="s">
        <v>657</v>
      </c>
      <c r="T109" s="63">
        <v>0.8</v>
      </c>
      <c r="U109" s="63">
        <f t="shared" ref="U109:AH109" si="181">T109</f>
        <v>0.8</v>
      </c>
      <c r="V109" s="63">
        <f t="shared" si="181"/>
        <v>0.8</v>
      </c>
      <c r="W109" s="63">
        <f t="shared" si="181"/>
        <v>0.8</v>
      </c>
      <c r="X109" s="64">
        <f t="shared" si="181"/>
        <v>0.8</v>
      </c>
      <c r="Y109" s="65">
        <f t="shared" si="181"/>
        <v>0.8</v>
      </c>
      <c r="Z109" s="63">
        <f t="shared" si="181"/>
        <v>0.8</v>
      </c>
      <c r="AA109" s="63">
        <f t="shared" si="181"/>
        <v>0.8</v>
      </c>
      <c r="AB109" s="63">
        <f t="shared" si="181"/>
        <v>0.8</v>
      </c>
      <c r="AC109" s="64">
        <f t="shared" si="181"/>
        <v>0.8</v>
      </c>
      <c r="AD109" s="63">
        <f t="shared" si="181"/>
        <v>0.8</v>
      </c>
      <c r="AE109" s="63">
        <f t="shared" si="181"/>
        <v>0.8</v>
      </c>
      <c r="AF109" s="63">
        <f t="shared" si="181"/>
        <v>0.8</v>
      </c>
      <c r="AG109" s="63">
        <f t="shared" si="181"/>
        <v>0.8</v>
      </c>
      <c r="AH109" s="64">
        <f t="shared" si="181"/>
        <v>0.8</v>
      </c>
    </row>
    <row r="110" spans="1:70" x14ac:dyDescent="0.35">
      <c r="A110" s="96" t="str">
        <f t="shared" si="174"/>
        <v>given</v>
      </c>
      <c r="B110" s="97" t="s">
        <v>624</v>
      </c>
      <c r="C110" s="98">
        <f t="shared" si="158"/>
        <v>5.7541995117376281</v>
      </c>
      <c r="D110" s="98">
        <f t="shared" si="159"/>
        <v>7.5115412190202724</v>
      </c>
      <c r="E110" s="98">
        <f t="shared" si="160"/>
        <v>8.6872409462911229</v>
      </c>
      <c r="F110" s="98">
        <f t="shared" si="161"/>
        <v>10.614660952797285</v>
      </c>
      <c r="G110" s="99">
        <f t="shared" si="162"/>
        <v>10.880131284339328</v>
      </c>
      <c r="H110" s="100">
        <f t="shared" si="163"/>
        <v>7.1504383027502421</v>
      </c>
      <c r="I110" s="98">
        <f t="shared" si="164"/>
        <v>6.1709927519302887</v>
      </c>
      <c r="J110" s="98">
        <f t="shared" si="165"/>
        <v>8.8676474066877375</v>
      </c>
      <c r="K110" s="98">
        <f t="shared" si="166"/>
        <v>10.477233727411516</v>
      </c>
      <c r="L110" s="99">
        <f t="shared" si="167"/>
        <v>10.331301308255274</v>
      </c>
      <c r="M110" s="98">
        <f t="shared" si="168"/>
        <v>6.8670898082247867</v>
      </c>
      <c r="N110" s="98">
        <f t="shared" si="169"/>
        <v>10.186724321224705</v>
      </c>
      <c r="O110" s="98">
        <f t="shared" si="170"/>
        <v>10.455548526428396</v>
      </c>
      <c r="P110" s="98">
        <f t="shared" si="171"/>
        <v>11.837443934001309</v>
      </c>
      <c r="Q110" s="99">
        <f t="shared" si="172"/>
        <v>10.094367149561904</v>
      </c>
      <c r="R110" s="113" t="s">
        <v>624</v>
      </c>
      <c r="S110" s="107" t="s">
        <v>657</v>
      </c>
      <c r="T110" s="118">
        <v>1.5</v>
      </c>
      <c r="U110" s="118">
        <f t="shared" ref="U110:AH110" si="182">T110</f>
        <v>1.5</v>
      </c>
      <c r="V110" s="118">
        <f t="shared" si="182"/>
        <v>1.5</v>
      </c>
      <c r="W110" s="118">
        <f t="shared" si="182"/>
        <v>1.5</v>
      </c>
      <c r="X110" s="119">
        <f t="shared" si="182"/>
        <v>1.5</v>
      </c>
      <c r="Y110" s="120">
        <f t="shared" si="182"/>
        <v>1.5</v>
      </c>
      <c r="Z110" s="118">
        <f t="shared" si="182"/>
        <v>1.5</v>
      </c>
      <c r="AA110" s="118">
        <f t="shared" si="182"/>
        <v>1.5</v>
      </c>
      <c r="AB110" s="118">
        <f t="shared" si="182"/>
        <v>1.5</v>
      </c>
      <c r="AC110" s="119">
        <f t="shared" si="182"/>
        <v>1.5</v>
      </c>
      <c r="AD110" s="118">
        <f t="shared" si="182"/>
        <v>1.5</v>
      </c>
      <c r="AE110" s="118">
        <f t="shared" si="182"/>
        <v>1.5</v>
      </c>
      <c r="AF110" s="118">
        <f t="shared" si="182"/>
        <v>1.5</v>
      </c>
      <c r="AG110" s="118">
        <f t="shared" si="182"/>
        <v>1.5</v>
      </c>
      <c r="AH110" s="119">
        <f t="shared" si="182"/>
        <v>1.5</v>
      </c>
    </row>
    <row r="111" spans="1:70" x14ac:dyDescent="0.35">
      <c r="A111" s="96" t="str">
        <f t="shared" si="174"/>
        <v>given</v>
      </c>
      <c r="B111" s="97" t="s">
        <v>626</v>
      </c>
      <c r="C111" s="98">
        <f t="shared" si="158"/>
        <v>1.8503207275366613</v>
      </c>
      <c r="D111" s="98">
        <f t="shared" si="159"/>
        <v>1.920017708154387</v>
      </c>
      <c r="E111" s="98">
        <f t="shared" si="160"/>
        <v>2.1531963245409047</v>
      </c>
      <c r="F111" s="98">
        <f t="shared" si="161"/>
        <v>2.2573789270531477</v>
      </c>
      <c r="G111" s="99">
        <f t="shared" si="162"/>
        <v>2.3057149747576107</v>
      </c>
      <c r="H111" s="100">
        <f t="shared" si="163"/>
        <v>1.7677367693318882</v>
      </c>
      <c r="I111" s="98">
        <f t="shared" si="164"/>
        <v>1.8204844075528164</v>
      </c>
      <c r="J111" s="98">
        <f t="shared" si="165"/>
        <v>1.7634530889534381</v>
      </c>
      <c r="K111" s="98">
        <f t="shared" si="166"/>
        <v>2.3486486044249197</v>
      </c>
      <c r="L111" s="99">
        <f t="shared" si="167"/>
        <v>2.5516734260962832</v>
      </c>
      <c r="M111" s="98">
        <f t="shared" si="168"/>
        <v>1.1311953818896616</v>
      </c>
      <c r="N111" s="98">
        <f t="shared" si="169"/>
        <v>2.2499355178989973</v>
      </c>
      <c r="O111" s="98">
        <f t="shared" si="170"/>
        <v>1.8643615597131582</v>
      </c>
      <c r="P111" s="98">
        <f t="shared" si="171"/>
        <v>2.3969472572295478</v>
      </c>
      <c r="Q111" s="99">
        <f t="shared" si="172"/>
        <v>2.125287878539639</v>
      </c>
      <c r="R111" s="113" t="s">
        <v>626</v>
      </c>
      <c r="S111" s="107" t="s">
        <v>657</v>
      </c>
      <c r="T111" s="118">
        <v>1</v>
      </c>
      <c r="U111" s="118">
        <f t="shared" ref="U111:AH111" si="183">T111</f>
        <v>1</v>
      </c>
      <c r="V111" s="118">
        <f t="shared" si="183"/>
        <v>1</v>
      </c>
      <c r="W111" s="118">
        <f t="shared" si="183"/>
        <v>1</v>
      </c>
      <c r="X111" s="119">
        <f t="shared" si="183"/>
        <v>1</v>
      </c>
      <c r="Y111" s="120">
        <f t="shared" si="183"/>
        <v>1</v>
      </c>
      <c r="Z111" s="118">
        <f t="shared" si="183"/>
        <v>1</v>
      </c>
      <c r="AA111" s="118">
        <f t="shared" si="183"/>
        <v>1</v>
      </c>
      <c r="AB111" s="118">
        <f t="shared" si="183"/>
        <v>1</v>
      </c>
      <c r="AC111" s="119">
        <f t="shared" si="183"/>
        <v>1</v>
      </c>
      <c r="AD111" s="118">
        <f t="shared" si="183"/>
        <v>1</v>
      </c>
      <c r="AE111" s="118">
        <f t="shared" si="183"/>
        <v>1</v>
      </c>
      <c r="AF111" s="118">
        <f t="shared" si="183"/>
        <v>1</v>
      </c>
      <c r="AG111" s="118">
        <f t="shared" si="183"/>
        <v>1</v>
      </c>
      <c r="AH111" s="119">
        <f t="shared" si="183"/>
        <v>1</v>
      </c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</row>
    <row r="112" spans="1:70" x14ac:dyDescent="0.35">
      <c r="A112" s="96" t="str">
        <f t="shared" si="174"/>
        <v>given</v>
      </c>
      <c r="B112" s="97" t="s">
        <v>629</v>
      </c>
      <c r="C112" s="98">
        <f t="shared" si="158"/>
        <v>0.35008960605469552</v>
      </c>
      <c r="D112" s="98">
        <f t="shared" si="159"/>
        <v>0.49399900388459028</v>
      </c>
      <c r="E112" s="98">
        <f t="shared" si="160"/>
        <v>0.50787983832664896</v>
      </c>
      <c r="F112" s="98">
        <f t="shared" si="161"/>
        <v>0.63626062181152176</v>
      </c>
      <c r="G112" s="99">
        <f t="shared" si="162"/>
        <v>1.4296235888229787</v>
      </c>
      <c r="H112" s="100">
        <f t="shared" si="163"/>
        <v>0.6222615225885233</v>
      </c>
      <c r="I112" s="98">
        <f t="shared" si="164"/>
        <v>1.1888797172730894</v>
      </c>
      <c r="J112" s="98">
        <f t="shared" si="165"/>
        <v>1.1889695347672773</v>
      </c>
      <c r="K112" s="98">
        <f t="shared" si="166"/>
        <v>1.9332576299982385</v>
      </c>
      <c r="L112" s="99">
        <f t="shared" si="167"/>
        <v>3.1911115256434144</v>
      </c>
      <c r="M112" s="98">
        <f t="shared" si="168"/>
        <v>2.1304302858830648</v>
      </c>
      <c r="N112" s="98">
        <f t="shared" si="169"/>
        <v>4.7045066886884124</v>
      </c>
      <c r="O112" s="98">
        <f t="shared" si="170"/>
        <v>4.1861756473483629</v>
      </c>
      <c r="P112" s="98">
        <f t="shared" si="171"/>
        <v>5.2065663379984759</v>
      </c>
      <c r="Q112" s="99">
        <f t="shared" si="172"/>
        <v>5.2062290187612188</v>
      </c>
      <c r="R112" s="113" t="s">
        <v>629</v>
      </c>
      <c r="S112" s="107" t="s">
        <v>657</v>
      </c>
      <c r="T112" s="118">
        <v>1</v>
      </c>
      <c r="U112" s="118">
        <f t="shared" ref="U112:AH112" si="184">T112</f>
        <v>1</v>
      </c>
      <c r="V112" s="118">
        <f t="shared" si="184"/>
        <v>1</v>
      </c>
      <c r="W112" s="118">
        <f t="shared" si="184"/>
        <v>1</v>
      </c>
      <c r="X112" s="119">
        <f t="shared" si="184"/>
        <v>1</v>
      </c>
      <c r="Y112" s="120">
        <f t="shared" si="184"/>
        <v>1</v>
      </c>
      <c r="Z112" s="118">
        <f t="shared" si="184"/>
        <v>1</v>
      </c>
      <c r="AA112" s="118">
        <f t="shared" si="184"/>
        <v>1</v>
      </c>
      <c r="AB112" s="118">
        <f t="shared" si="184"/>
        <v>1</v>
      </c>
      <c r="AC112" s="119">
        <f t="shared" si="184"/>
        <v>1</v>
      </c>
      <c r="AD112" s="118">
        <f t="shared" si="184"/>
        <v>1</v>
      </c>
      <c r="AE112" s="118">
        <f t="shared" si="184"/>
        <v>1</v>
      </c>
      <c r="AF112" s="118">
        <f t="shared" si="184"/>
        <v>1</v>
      </c>
      <c r="AG112" s="118">
        <f t="shared" si="184"/>
        <v>1</v>
      </c>
      <c r="AH112" s="119">
        <f t="shared" si="184"/>
        <v>1</v>
      </c>
    </row>
    <row r="113" spans="1:34" x14ac:dyDescent="0.35">
      <c r="A113" s="101" t="str">
        <f t="shared" si="174"/>
        <v>given</v>
      </c>
      <c r="B113" s="102" t="s">
        <v>633</v>
      </c>
      <c r="C113" s="103">
        <f t="shared" si="158"/>
        <v>8.3145014307326193</v>
      </c>
      <c r="D113" s="103">
        <f t="shared" si="159"/>
        <v>7.1049815720351663</v>
      </c>
      <c r="E113" s="103">
        <f t="shared" si="160"/>
        <v>6.3858904768983882</v>
      </c>
      <c r="F113" s="103">
        <f t="shared" si="161"/>
        <v>5.5781871140963304</v>
      </c>
      <c r="G113" s="104">
        <f t="shared" si="162"/>
        <v>5.0411611688270677</v>
      </c>
      <c r="H113" s="105">
        <f t="shared" si="163"/>
        <v>8.8091460917829547</v>
      </c>
      <c r="I113" s="103">
        <f t="shared" si="164"/>
        <v>7.5360701080770784</v>
      </c>
      <c r="J113" s="103">
        <f t="shared" si="165"/>
        <v>7.3514050947317617</v>
      </c>
      <c r="K113" s="103">
        <f t="shared" si="166"/>
        <v>7.2245784872841572</v>
      </c>
      <c r="L113" s="104">
        <f t="shared" si="167"/>
        <v>13.348313369859898</v>
      </c>
      <c r="M113" s="103">
        <f t="shared" si="168"/>
        <v>11.803620205299829</v>
      </c>
      <c r="N113" s="103">
        <f t="shared" si="169"/>
        <v>9.406372293737105</v>
      </c>
      <c r="O113" s="103">
        <f t="shared" si="170"/>
        <v>9.5571450221878305</v>
      </c>
      <c r="P113" s="103">
        <f t="shared" si="171"/>
        <v>9.0668401239790928</v>
      </c>
      <c r="Q113" s="104">
        <f t="shared" si="172"/>
        <v>7.9425540798955083</v>
      </c>
      <c r="R113" s="114" t="s">
        <v>633</v>
      </c>
      <c r="S113" s="108" t="s">
        <v>657</v>
      </c>
      <c r="T113" s="59">
        <v>0.8</v>
      </c>
      <c r="U113" s="59">
        <f t="shared" ref="U113:AH113" si="185">T113</f>
        <v>0.8</v>
      </c>
      <c r="V113" s="59">
        <f t="shared" si="185"/>
        <v>0.8</v>
      </c>
      <c r="W113" s="59">
        <f t="shared" si="185"/>
        <v>0.8</v>
      </c>
      <c r="X113" s="61">
        <f t="shared" si="185"/>
        <v>0.8</v>
      </c>
      <c r="Y113" s="62">
        <f t="shared" si="185"/>
        <v>0.8</v>
      </c>
      <c r="Z113" s="59">
        <f t="shared" si="185"/>
        <v>0.8</v>
      </c>
      <c r="AA113" s="59">
        <f t="shared" si="185"/>
        <v>0.8</v>
      </c>
      <c r="AB113" s="59">
        <f t="shared" si="185"/>
        <v>0.8</v>
      </c>
      <c r="AC113" s="61">
        <f t="shared" si="185"/>
        <v>0.8</v>
      </c>
      <c r="AD113" s="59">
        <f t="shared" si="185"/>
        <v>0.8</v>
      </c>
      <c r="AE113" s="59">
        <f t="shared" si="185"/>
        <v>0.8</v>
      </c>
      <c r="AF113" s="59">
        <f t="shared" si="185"/>
        <v>0.8</v>
      </c>
      <c r="AG113" s="59">
        <f t="shared" si="185"/>
        <v>0.8</v>
      </c>
      <c r="AH113" s="61">
        <f t="shared" si="185"/>
        <v>0.8</v>
      </c>
    </row>
    <row r="114" spans="1:34" x14ac:dyDescent="0.35">
      <c r="A114" s="101" t="str">
        <f t="shared" si="174"/>
        <v>given</v>
      </c>
      <c r="B114" s="102" t="s">
        <v>634</v>
      </c>
      <c r="C114" s="103">
        <f t="shared" si="158"/>
        <v>12.103158184540689</v>
      </c>
      <c r="D114" s="103">
        <f t="shared" si="159"/>
        <v>12.540297372869009</v>
      </c>
      <c r="E114" s="103">
        <f t="shared" si="160"/>
        <v>13.451315771593977</v>
      </c>
      <c r="F114" s="103">
        <f t="shared" si="161"/>
        <v>12.783047689576486</v>
      </c>
      <c r="G114" s="104">
        <f t="shared" si="162"/>
        <v>13.634957448705268</v>
      </c>
      <c r="H114" s="105">
        <f t="shared" si="163"/>
        <v>20.367462525127667</v>
      </c>
      <c r="I114" s="103">
        <f t="shared" si="164"/>
        <v>22.46379975901618</v>
      </c>
      <c r="J114" s="103">
        <f t="shared" si="165"/>
        <v>14.51494707977843</v>
      </c>
      <c r="K114" s="103">
        <f t="shared" si="166"/>
        <v>13.370306209086534</v>
      </c>
      <c r="L114" s="104">
        <f t="shared" si="167"/>
        <v>8.0245135462179302</v>
      </c>
      <c r="M114" s="103">
        <f t="shared" si="168"/>
        <v>10.810194815983518</v>
      </c>
      <c r="N114" s="103">
        <f t="shared" si="169"/>
        <v>6.680246903129591</v>
      </c>
      <c r="O114" s="103">
        <f t="shared" si="170"/>
        <v>11.59699985961435</v>
      </c>
      <c r="P114" s="103">
        <f t="shared" si="171"/>
        <v>9.3117828772216065</v>
      </c>
      <c r="Q114" s="104">
        <f t="shared" si="172"/>
        <v>14.611899865808429</v>
      </c>
      <c r="R114" s="114" t="s">
        <v>634</v>
      </c>
      <c r="S114" s="108" t="s">
        <v>657</v>
      </c>
      <c r="T114" s="59">
        <v>1</v>
      </c>
      <c r="U114" s="59">
        <f t="shared" ref="U114:AH114" si="186">T114</f>
        <v>1</v>
      </c>
      <c r="V114" s="59">
        <f t="shared" si="186"/>
        <v>1</v>
      </c>
      <c r="W114" s="59">
        <f t="shared" si="186"/>
        <v>1</v>
      </c>
      <c r="X114" s="61">
        <f t="shared" si="186"/>
        <v>1</v>
      </c>
      <c r="Y114" s="62">
        <f t="shared" si="186"/>
        <v>1</v>
      </c>
      <c r="Z114" s="59">
        <f t="shared" si="186"/>
        <v>1</v>
      </c>
      <c r="AA114" s="59">
        <f t="shared" si="186"/>
        <v>1</v>
      </c>
      <c r="AB114" s="59">
        <f t="shared" si="186"/>
        <v>1</v>
      </c>
      <c r="AC114" s="61">
        <f t="shared" si="186"/>
        <v>1</v>
      </c>
      <c r="AD114" s="59">
        <f t="shared" si="186"/>
        <v>1</v>
      </c>
      <c r="AE114" s="59">
        <f t="shared" si="186"/>
        <v>1</v>
      </c>
      <c r="AF114" s="59">
        <f t="shared" si="186"/>
        <v>1</v>
      </c>
      <c r="AG114" s="59">
        <f t="shared" si="186"/>
        <v>1</v>
      </c>
      <c r="AH114" s="61">
        <f t="shared" si="186"/>
        <v>1</v>
      </c>
    </row>
    <row r="115" spans="1:34" x14ac:dyDescent="0.35">
      <c r="A115" s="96"/>
      <c r="B115" s="97"/>
      <c r="C115" s="98"/>
      <c r="D115" s="98"/>
      <c r="E115" s="98"/>
      <c r="F115" s="98"/>
      <c r="G115" s="99"/>
      <c r="H115" s="100"/>
      <c r="I115" s="98"/>
      <c r="J115" s="98"/>
      <c r="K115" s="98"/>
      <c r="L115" s="99"/>
      <c r="M115" s="98"/>
      <c r="N115" s="98"/>
      <c r="O115" s="98"/>
      <c r="P115" s="98"/>
      <c r="Q115" s="99"/>
      <c r="R115" s="171" t="s">
        <v>662</v>
      </c>
      <c r="S115" s="172"/>
      <c r="T115" s="81">
        <f>(100-
SUMPRODUCT(C19:C31,T102:T114)
)
/
SUMIF($A$19:$A$38,"residual",C$19:C$38)</f>
        <v>2.5353890571740196</v>
      </c>
      <c r="U115" s="81">
        <f t="shared" ref="U115:AH115" si="187">(100-SUMPRODUCT(D19:D31,U102:U114))/SUM(D32:D38)</f>
        <v>2.3182936323781407</v>
      </c>
      <c r="V115" s="81">
        <f t="shared" si="187"/>
        <v>2.0743913902855162</v>
      </c>
      <c r="W115" s="81">
        <f t="shared" si="187"/>
        <v>1.8344860741721902</v>
      </c>
      <c r="X115" s="82">
        <f t="shared" si="187"/>
        <v>1.4495229376583367</v>
      </c>
      <c r="Y115" s="83">
        <f t="shared" si="187"/>
        <v>2.193180518956567</v>
      </c>
      <c r="Z115" s="81">
        <f t="shared" si="187"/>
        <v>2.1484506200227824</v>
      </c>
      <c r="AA115" s="81">
        <f t="shared" si="187"/>
        <v>1.9517558831708703</v>
      </c>
      <c r="AB115" s="81">
        <f t="shared" si="187"/>
        <v>1.587537377861725</v>
      </c>
      <c r="AC115" s="82">
        <f t="shared" si="187"/>
        <v>1.4552584749334998</v>
      </c>
      <c r="AD115" s="81">
        <f t="shared" si="187"/>
        <v>1.8377697197336871</v>
      </c>
      <c r="AE115" s="81">
        <f t="shared" si="187"/>
        <v>1.8531195532780982</v>
      </c>
      <c r="AF115" s="81">
        <f t="shared" si="187"/>
        <v>1.7153456820771116</v>
      </c>
      <c r="AG115" s="81">
        <f t="shared" si="187"/>
        <v>1.5449991429124632</v>
      </c>
      <c r="AH115" s="81">
        <f t="shared" si="187"/>
        <v>1.2045235496682944</v>
      </c>
    </row>
    <row r="116" spans="1:34" x14ac:dyDescent="0.35">
      <c r="A116" s="85" t="str">
        <f t="shared" si="174"/>
        <v>residual</v>
      </c>
      <c r="B116" s="39" t="s">
        <v>625</v>
      </c>
      <c r="C116" s="52">
        <f t="shared" ref="C116:Q122" si="188">IF(C32&gt;0,C32*T116,"")</f>
        <v>7.8918867753383761</v>
      </c>
      <c r="D116" s="52">
        <f t="shared" si="188"/>
        <v>5.014658956505567</v>
      </c>
      <c r="E116" s="52">
        <f t="shared" si="188"/>
        <v>4.3641330439273514</v>
      </c>
      <c r="F116" s="52">
        <f t="shared" si="188"/>
        <v>4.7520383431702715</v>
      </c>
      <c r="G116" s="53">
        <f t="shared" si="188"/>
        <v>3.0173705710000984</v>
      </c>
      <c r="H116" s="54">
        <f t="shared" si="188"/>
        <v>4.5418056434843077</v>
      </c>
      <c r="I116" s="52">
        <f t="shared" si="188"/>
        <v>2.697706899456974</v>
      </c>
      <c r="J116" s="52">
        <f t="shared" si="188"/>
        <v>4.4560443738249385</v>
      </c>
      <c r="K116" s="52">
        <f t="shared" si="188"/>
        <v>6.214872181037677</v>
      </c>
      <c r="L116" s="53">
        <f t="shared" si="188"/>
        <v>3.6235283928834474</v>
      </c>
      <c r="M116" s="52">
        <f t="shared" si="188"/>
        <v>9.9158702914998962</v>
      </c>
      <c r="N116" s="52">
        <f t="shared" si="188"/>
        <v>4.400948932609424</v>
      </c>
      <c r="O116" s="52">
        <f t="shared" si="188"/>
        <v>2.0486018466551417</v>
      </c>
      <c r="P116" s="52">
        <f t="shared" si="188"/>
        <v>1.8969833251845831</v>
      </c>
      <c r="Q116" s="53">
        <f t="shared" si="188"/>
        <v>1.3475318682243382</v>
      </c>
      <c r="R116" s="115" t="s">
        <v>625</v>
      </c>
      <c r="S116" s="109" t="s">
        <v>660</v>
      </c>
      <c r="T116" s="52">
        <f t="shared" ref="T116:AH116" si="189">T115</f>
        <v>2.5353890571740196</v>
      </c>
      <c r="U116" s="52">
        <f t="shared" si="189"/>
        <v>2.3182936323781407</v>
      </c>
      <c r="V116" s="52">
        <f t="shared" si="189"/>
        <v>2.0743913902855162</v>
      </c>
      <c r="W116" s="52">
        <f t="shared" si="189"/>
        <v>1.8344860741721902</v>
      </c>
      <c r="X116" s="53">
        <f t="shared" si="189"/>
        <v>1.4495229376583367</v>
      </c>
      <c r="Y116" s="54">
        <f t="shared" si="189"/>
        <v>2.193180518956567</v>
      </c>
      <c r="Z116" s="52">
        <f t="shared" si="189"/>
        <v>2.1484506200227824</v>
      </c>
      <c r="AA116" s="52">
        <f t="shared" si="189"/>
        <v>1.9517558831708703</v>
      </c>
      <c r="AB116" s="52">
        <f t="shared" si="189"/>
        <v>1.587537377861725</v>
      </c>
      <c r="AC116" s="53">
        <f t="shared" si="189"/>
        <v>1.4552584749334998</v>
      </c>
      <c r="AD116" s="52">
        <f t="shared" si="189"/>
        <v>1.8377697197336871</v>
      </c>
      <c r="AE116" s="52">
        <f t="shared" si="189"/>
        <v>1.8531195532780982</v>
      </c>
      <c r="AF116" s="52">
        <f t="shared" si="189"/>
        <v>1.7153456820771116</v>
      </c>
      <c r="AG116" s="52">
        <f t="shared" si="189"/>
        <v>1.5449991429124632</v>
      </c>
      <c r="AH116" s="53">
        <f t="shared" si="189"/>
        <v>1.2045235496682944</v>
      </c>
    </row>
    <row r="117" spans="1:34" x14ac:dyDescent="0.35">
      <c r="A117" s="90" t="str">
        <f t="shared" si="174"/>
        <v>residual</v>
      </c>
      <c r="B117" s="49" t="s">
        <v>627</v>
      </c>
      <c r="C117" s="55" t="str">
        <f t="shared" si="188"/>
        <v/>
      </c>
      <c r="D117" s="55" t="str">
        <f t="shared" si="188"/>
        <v/>
      </c>
      <c r="E117" s="55" t="str">
        <f t="shared" si="188"/>
        <v/>
      </c>
      <c r="F117" s="55" t="str">
        <f t="shared" si="188"/>
        <v/>
      </c>
      <c r="G117" s="56" t="str">
        <f t="shared" si="188"/>
        <v/>
      </c>
      <c r="H117" s="57" t="str">
        <f t="shared" si="188"/>
        <v/>
      </c>
      <c r="I117" s="55" t="str">
        <f t="shared" si="188"/>
        <v/>
      </c>
      <c r="J117" s="55" t="str">
        <f t="shared" si="188"/>
        <v/>
      </c>
      <c r="K117" s="55" t="str">
        <f t="shared" si="188"/>
        <v/>
      </c>
      <c r="L117" s="56" t="str">
        <f t="shared" si="188"/>
        <v/>
      </c>
      <c r="M117" s="55" t="str">
        <f t="shared" si="188"/>
        <v/>
      </c>
      <c r="N117" s="55" t="str">
        <f t="shared" si="188"/>
        <v/>
      </c>
      <c r="O117" s="55" t="str">
        <f t="shared" si="188"/>
        <v/>
      </c>
      <c r="P117" s="55" t="str">
        <f t="shared" si="188"/>
        <v/>
      </c>
      <c r="Q117" s="56" t="str">
        <f t="shared" si="188"/>
        <v/>
      </c>
      <c r="R117" s="116" t="s">
        <v>627</v>
      </c>
      <c r="S117" s="110" t="s">
        <v>660</v>
      </c>
      <c r="T117" s="55" t="str">
        <f t="shared" ref="T117:AH122" si="190">IF(C33&gt;0,T$116,"")</f>
        <v/>
      </c>
      <c r="U117" s="55" t="str">
        <f t="shared" si="190"/>
        <v/>
      </c>
      <c r="V117" s="55" t="str">
        <f t="shared" si="190"/>
        <v/>
      </c>
      <c r="W117" s="55" t="str">
        <f t="shared" si="190"/>
        <v/>
      </c>
      <c r="X117" s="56" t="str">
        <f t="shared" si="190"/>
        <v/>
      </c>
      <c r="Y117" s="57" t="str">
        <f t="shared" si="190"/>
        <v/>
      </c>
      <c r="Z117" s="55" t="str">
        <f t="shared" si="190"/>
        <v/>
      </c>
      <c r="AA117" s="55" t="str">
        <f t="shared" si="190"/>
        <v/>
      </c>
      <c r="AB117" s="55" t="str">
        <f t="shared" si="190"/>
        <v/>
      </c>
      <c r="AC117" s="56" t="str">
        <f t="shared" si="190"/>
        <v/>
      </c>
      <c r="AD117" s="55" t="str">
        <f t="shared" si="190"/>
        <v/>
      </c>
      <c r="AE117" s="55" t="str">
        <f t="shared" si="190"/>
        <v/>
      </c>
      <c r="AF117" s="55" t="str">
        <f t="shared" si="190"/>
        <v/>
      </c>
      <c r="AG117" s="55" t="str">
        <f t="shared" si="190"/>
        <v/>
      </c>
      <c r="AH117" s="56" t="str">
        <f t="shared" si="190"/>
        <v/>
      </c>
    </row>
    <row r="118" spans="1:34" x14ac:dyDescent="0.35">
      <c r="A118" s="84" t="str">
        <f t="shared" si="174"/>
        <v>residual</v>
      </c>
      <c r="B118" s="40" t="s">
        <v>628</v>
      </c>
      <c r="C118" s="43">
        <f t="shared" si="188"/>
        <v>9.849324649371626</v>
      </c>
      <c r="D118" s="43">
        <f t="shared" si="188"/>
        <v>8.2526366562390638</v>
      </c>
      <c r="E118" s="43">
        <f t="shared" si="188"/>
        <v>7.0379766031319324</v>
      </c>
      <c r="F118" s="43">
        <f t="shared" si="188"/>
        <v>6.3917220053571722</v>
      </c>
      <c r="G118" s="50">
        <f t="shared" si="188"/>
        <v>7.1051756549175717</v>
      </c>
      <c r="H118" s="51">
        <f t="shared" si="188"/>
        <v>8.3525821162860296</v>
      </c>
      <c r="I118" s="43">
        <f t="shared" si="188"/>
        <v>7.2256281224307397</v>
      </c>
      <c r="J118" s="43">
        <f t="shared" si="188"/>
        <v>6.4148815555600969</v>
      </c>
      <c r="K118" s="43">
        <f t="shared" si="188"/>
        <v>7.2440835916407904</v>
      </c>
      <c r="L118" s="50">
        <f t="shared" si="188"/>
        <v>6.9479625608869631</v>
      </c>
      <c r="M118" s="43">
        <f t="shared" si="188"/>
        <v>8.6121619942053993</v>
      </c>
      <c r="N118" s="43">
        <f t="shared" si="188"/>
        <v>8.3700410908806635</v>
      </c>
      <c r="O118" s="43">
        <f t="shared" si="188"/>
        <v>7.970905533467227</v>
      </c>
      <c r="P118" s="43">
        <f t="shared" si="188"/>
        <v>6.3020225562920613</v>
      </c>
      <c r="Q118" s="50">
        <f t="shared" si="188"/>
        <v>7.7880583578923046</v>
      </c>
      <c r="R118" s="117" t="s">
        <v>628</v>
      </c>
      <c r="S118" s="111" t="s">
        <v>660</v>
      </c>
      <c r="T118" s="43">
        <f t="shared" si="190"/>
        <v>2.5353890571740196</v>
      </c>
      <c r="U118" s="43">
        <f t="shared" si="190"/>
        <v>2.3182936323781407</v>
      </c>
      <c r="V118" s="43">
        <f t="shared" si="190"/>
        <v>2.0743913902855162</v>
      </c>
      <c r="W118" s="43">
        <f t="shared" si="190"/>
        <v>1.8344860741721902</v>
      </c>
      <c r="X118" s="50">
        <f t="shared" si="190"/>
        <v>1.4495229376583367</v>
      </c>
      <c r="Y118" s="51">
        <f t="shared" si="190"/>
        <v>2.193180518956567</v>
      </c>
      <c r="Z118" s="43">
        <f t="shared" si="190"/>
        <v>2.1484506200227824</v>
      </c>
      <c r="AA118" s="43">
        <f t="shared" si="190"/>
        <v>1.9517558831708703</v>
      </c>
      <c r="AB118" s="43">
        <f t="shared" si="190"/>
        <v>1.587537377861725</v>
      </c>
      <c r="AC118" s="50">
        <f t="shared" si="190"/>
        <v>1.4552584749334998</v>
      </c>
      <c r="AD118" s="43">
        <f t="shared" si="190"/>
        <v>1.8377697197336871</v>
      </c>
      <c r="AE118" s="43">
        <f t="shared" si="190"/>
        <v>1.8531195532780982</v>
      </c>
      <c r="AF118" s="43">
        <f t="shared" si="190"/>
        <v>1.7153456820771116</v>
      </c>
      <c r="AG118" s="43">
        <f t="shared" si="190"/>
        <v>1.5449991429124632</v>
      </c>
      <c r="AH118" s="50">
        <f t="shared" si="190"/>
        <v>1.2045235496682944</v>
      </c>
    </row>
    <row r="119" spans="1:34" x14ac:dyDescent="0.35">
      <c r="A119" s="90" t="str">
        <f t="shared" si="174"/>
        <v>residual</v>
      </c>
      <c r="B119" s="49" t="s">
        <v>630</v>
      </c>
      <c r="C119" s="55" t="str">
        <f t="shared" si="188"/>
        <v/>
      </c>
      <c r="D119" s="55" t="str">
        <f t="shared" si="188"/>
        <v/>
      </c>
      <c r="E119" s="55" t="str">
        <f t="shared" si="188"/>
        <v/>
      </c>
      <c r="F119" s="55" t="str">
        <f t="shared" si="188"/>
        <v/>
      </c>
      <c r="G119" s="56" t="str">
        <f t="shared" si="188"/>
        <v/>
      </c>
      <c r="H119" s="57" t="str">
        <f t="shared" si="188"/>
        <v/>
      </c>
      <c r="I119" s="55" t="str">
        <f t="shared" si="188"/>
        <v/>
      </c>
      <c r="J119" s="55" t="str">
        <f t="shared" si="188"/>
        <v/>
      </c>
      <c r="K119" s="55" t="str">
        <f t="shared" si="188"/>
        <v/>
      </c>
      <c r="L119" s="56" t="str">
        <f t="shared" si="188"/>
        <v/>
      </c>
      <c r="M119" s="55" t="str">
        <f t="shared" si="188"/>
        <v/>
      </c>
      <c r="N119" s="55" t="str">
        <f t="shared" si="188"/>
        <v/>
      </c>
      <c r="O119" s="55" t="str">
        <f t="shared" si="188"/>
        <v/>
      </c>
      <c r="P119" s="55" t="str">
        <f t="shared" si="188"/>
        <v/>
      </c>
      <c r="Q119" s="56" t="str">
        <f t="shared" si="188"/>
        <v/>
      </c>
      <c r="R119" s="116" t="s">
        <v>630</v>
      </c>
      <c r="S119" s="110" t="s">
        <v>660</v>
      </c>
      <c r="T119" s="55" t="str">
        <f t="shared" si="190"/>
        <v/>
      </c>
      <c r="U119" s="55" t="str">
        <f t="shared" si="190"/>
        <v/>
      </c>
      <c r="V119" s="55" t="str">
        <f t="shared" si="190"/>
        <v/>
      </c>
      <c r="W119" s="55" t="str">
        <f t="shared" si="190"/>
        <v/>
      </c>
      <c r="X119" s="56" t="str">
        <f t="shared" si="190"/>
        <v/>
      </c>
      <c r="Y119" s="57" t="str">
        <f t="shared" si="190"/>
        <v/>
      </c>
      <c r="Z119" s="55" t="str">
        <f t="shared" si="190"/>
        <v/>
      </c>
      <c r="AA119" s="55" t="str">
        <f t="shared" si="190"/>
        <v/>
      </c>
      <c r="AB119" s="55" t="str">
        <f t="shared" si="190"/>
        <v/>
      </c>
      <c r="AC119" s="56" t="str">
        <f t="shared" si="190"/>
        <v/>
      </c>
      <c r="AD119" s="55" t="str">
        <f t="shared" si="190"/>
        <v/>
      </c>
      <c r="AE119" s="55" t="str">
        <f t="shared" si="190"/>
        <v/>
      </c>
      <c r="AF119" s="55" t="str">
        <f t="shared" si="190"/>
        <v/>
      </c>
      <c r="AG119" s="55" t="str">
        <f t="shared" si="190"/>
        <v/>
      </c>
      <c r="AH119" s="56" t="str">
        <f t="shared" si="190"/>
        <v/>
      </c>
    </row>
    <row r="120" spans="1:34" x14ac:dyDescent="0.35">
      <c r="A120" s="90" t="str">
        <f t="shared" si="174"/>
        <v>residual</v>
      </c>
      <c r="B120" s="49" t="s">
        <v>631</v>
      </c>
      <c r="C120" s="55">
        <f t="shared" si="188"/>
        <v>2.1318576741582382</v>
      </c>
      <c r="D120" s="55">
        <f t="shared" si="188"/>
        <v>2.7328680028249788</v>
      </c>
      <c r="E120" s="55">
        <f t="shared" si="188"/>
        <v>2.7269467054248211</v>
      </c>
      <c r="F120" s="55">
        <f t="shared" si="188"/>
        <v>2.5717724051654263</v>
      </c>
      <c r="G120" s="56">
        <f t="shared" si="188"/>
        <v>2.1712943724833313</v>
      </c>
      <c r="H120" s="57">
        <f t="shared" si="188"/>
        <v>3.4148065710904896</v>
      </c>
      <c r="I120" s="55">
        <f t="shared" si="188"/>
        <v>3.6673734717432329</v>
      </c>
      <c r="J120" s="55">
        <f t="shared" si="188"/>
        <v>3.6955521818379076</v>
      </c>
      <c r="K120" s="55">
        <f t="shared" si="188"/>
        <v>3.0591844502685039</v>
      </c>
      <c r="L120" s="56">
        <f t="shared" si="188"/>
        <v>2.921532217789355</v>
      </c>
      <c r="M120" s="55">
        <f t="shared" si="188"/>
        <v>2.9366938577589594</v>
      </c>
      <c r="N120" s="55">
        <f t="shared" si="188"/>
        <v>2.9514576845511775</v>
      </c>
      <c r="O120" s="55">
        <f t="shared" si="188"/>
        <v>2.8078845744919758</v>
      </c>
      <c r="P120" s="55">
        <f t="shared" si="188"/>
        <v>3.5290231202719213</v>
      </c>
      <c r="Q120" s="56">
        <f t="shared" si="188"/>
        <v>3.1475362353585177</v>
      </c>
      <c r="R120" s="116" t="s">
        <v>631</v>
      </c>
      <c r="S120" s="110" t="s">
        <v>660</v>
      </c>
      <c r="T120" s="55">
        <f t="shared" si="190"/>
        <v>2.5353890571740196</v>
      </c>
      <c r="U120" s="55">
        <f t="shared" si="190"/>
        <v>2.3182936323781407</v>
      </c>
      <c r="V120" s="55">
        <f t="shared" si="190"/>
        <v>2.0743913902855162</v>
      </c>
      <c r="W120" s="55">
        <f t="shared" si="190"/>
        <v>1.8344860741721902</v>
      </c>
      <c r="X120" s="56">
        <f t="shared" si="190"/>
        <v>1.4495229376583367</v>
      </c>
      <c r="Y120" s="57">
        <f t="shared" si="190"/>
        <v>2.193180518956567</v>
      </c>
      <c r="Z120" s="55">
        <f t="shared" si="190"/>
        <v>2.1484506200227824</v>
      </c>
      <c r="AA120" s="55">
        <f t="shared" si="190"/>
        <v>1.9517558831708703</v>
      </c>
      <c r="AB120" s="55">
        <f t="shared" si="190"/>
        <v>1.587537377861725</v>
      </c>
      <c r="AC120" s="56">
        <f t="shared" si="190"/>
        <v>1.4552584749334998</v>
      </c>
      <c r="AD120" s="55">
        <f t="shared" si="190"/>
        <v>1.8377697197336871</v>
      </c>
      <c r="AE120" s="55">
        <f t="shared" si="190"/>
        <v>1.8531195532780982</v>
      </c>
      <c r="AF120" s="55">
        <f t="shared" si="190"/>
        <v>1.7153456820771116</v>
      </c>
      <c r="AG120" s="55">
        <f t="shared" si="190"/>
        <v>1.5449991429124632</v>
      </c>
      <c r="AH120" s="56">
        <f t="shared" si="190"/>
        <v>1.2045235496682944</v>
      </c>
    </row>
    <row r="121" spans="1:34" x14ac:dyDescent="0.35">
      <c r="A121" s="90" t="str">
        <f t="shared" si="174"/>
        <v>residual</v>
      </c>
      <c r="B121" s="49" t="s">
        <v>632</v>
      </c>
      <c r="C121" s="55">
        <f t="shared" si="188"/>
        <v>6.4422053355750561</v>
      </c>
      <c r="D121" s="55">
        <f t="shared" si="188"/>
        <v>8.9041520812681298</v>
      </c>
      <c r="E121" s="55">
        <f t="shared" si="188"/>
        <v>10.42649689657329</v>
      </c>
      <c r="F121" s="55">
        <f t="shared" si="188"/>
        <v>10.61806033129348</v>
      </c>
      <c r="G121" s="56">
        <f t="shared" si="188"/>
        <v>13.339191662855432</v>
      </c>
      <c r="H121" s="57">
        <f t="shared" si="188"/>
        <v>7.1577047284388788</v>
      </c>
      <c r="I121" s="55">
        <f t="shared" si="188"/>
        <v>7.7212825761383712</v>
      </c>
      <c r="J121" s="55">
        <f t="shared" si="188"/>
        <v>11.166186064398772</v>
      </c>
      <c r="K121" s="55">
        <f t="shared" si="188"/>
        <v>11.444004531034835</v>
      </c>
      <c r="L121" s="56">
        <f t="shared" si="188"/>
        <v>14.098879507030816</v>
      </c>
      <c r="M121" s="55">
        <f t="shared" si="188"/>
        <v>9.1180291597218321</v>
      </c>
      <c r="N121" s="55">
        <f t="shared" si="188"/>
        <v>11.139615163506662</v>
      </c>
      <c r="O121" s="55">
        <f t="shared" si="188"/>
        <v>14.268519006773177</v>
      </c>
      <c r="P121" s="55">
        <f t="shared" si="188"/>
        <v>14.552174165309241</v>
      </c>
      <c r="Q121" s="56">
        <f t="shared" si="188"/>
        <v>14.929465613350519</v>
      </c>
      <c r="R121" s="116" t="s">
        <v>632</v>
      </c>
      <c r="S121" s="110" t="s">
        <v>660</v>
      </c>
      <c r="T121" s="55">
        <f t="shared" si="190"/>
        <v>2.5353890571740196</v>
      </c>
      <c r="U121" s="55">
        <f t="shared" si="190"/>
        <v>2.3182936323781407</v>
      </c>
      <c r="V121" s="55">
        <f t="shared" si="190"/>
        <v>2.0743913902855162</v>
      </c>
      <c r="W121" s="55">
        <f t="shared" si="190"/>
        <v>1.8344860741721902</v>
      </c>
      <c r="X121" s="56">
        <f t="shared" si="190"/>
        <v>1.4495229376583367</v>
      </c>
      <c r="Y121" s="57">
        <f t="shared" si="190"/>
        <v>2.193180518956567</v>
      </c>
      <c r="Z121" s="55">
        <f t="shared" si="190"/>
        <v>2.1484506200227824</v>
      </c>
      <c r="AA121" s="55">
        <f t="shared" si="190"/>
        <v>1.9517558831708703</v>
      </c>
      <c r="AB121" s="55">
        <f t="shared" si="190"/>
        <v>1.587537377861725</v>
      </c>
      <c r="AC121" s="56">
        <f t="shared" si="190"/>
        <v>1.4552584749334998</v>
      </c>
      <c r="AD121" s="55">
        <f t="shared" si="190"/>
        <v>1.8377697197336871</v>
      </c>
      <c r="AE121" s="55">
        <f t="shared" si="190"/>
        <v>1.8531195532780982</v>
      </c>
      <c r="AF121" s="55">
        <f t="shared" si="190"/>
        <v>1.7153456820771116</v>
      </c>
      <c r="AG121" s="55">
        <f t="shared" si="190"/>
        <v>1.5449991429124632</v>
      </c>
      <c r="AH121" s="56">
        <f t="shared" si="190"/>
        <v>1.2045235496682944</v>
      </c>
    </row>
    <row r="122" spans="1:34" x14ac:dyDescent="0.35">
      <c r="A122" s="85" t="str">
        <f t="shared" si="174"/>
        <v>residual</v>
      </c>
      <c r="B122" s="39" t="s">
        <v>635</v>
      </c>
      <c r="C122" s="52">
        <f t="shared" si="188"/>
        <v>7.2994761985453884</v>
      </c>
      <c r="D122" s="52">
        <f t="shared" si="188"/>
        <v>6.5890331552885941</v>
      </c>
      <c r="E122" s="52">
        <f t="shared" si="188"/>
        <v>5.8938354086133966</v>
      </c>
      <c r="F122" s="52">
        <f t="shared" si="188"/>
        <v>5.046018095453463</v>
      </c>
      <c r="G122" s="53">
        <f t="shared" si="188"/>
        <v>5.193526909526617</v>
      </c>
      <c r="H122" s="54">
        <f t="shared" si="188"/>
        <v>5.7180636289875633</v>
      </c>
      <c r="I122" s="52">
        <f t="shared" si="188"/>
        <v>5.8651538493366386</v>
      </c>
      <c r="J122" s="52">
        <f t="shared" si="188"/>
        <v>4.48771942935202</v>
      </c>
      <c r="K122" s="52">
        <f t="shared" si="188"/>
        <v>3.3399673399577656</v>
      </c>
      <c r="L122" s="53">
        <f t="shared" si="188"/>
        <v>3.581077622376061</v>
      </c>
      <c r="M122" s="52">
        <f t="shared" si="188"/>
        <v>4.3900716758297902</v>
      </c>
      <c r="N122" s="52">
        <f t="shared" si="188"/>
        <v>4.8635038528610437</v>
      </c>
      <c r="O122" s="52">
        <f t="shared" si="188"/>
        <v>3.8143596129777309</v>
      </c>
      <c r="P122" s="52">
        <f t="shared" si="188"/>
        <v>3.9307970041843823</v>
      </c>
      <c r="Q122" s="53">
        <f t="shared" si="188"/>
        <v>8.8739922573419516</v>
      </c>
      <c r="R122" s="115" t="s">
        <v>635</v>
      </c>
      <c r="S122" s="109" t="s">
        <v>660</v>
      </c>
      <c r="T122" s="52">
        <f t="shared" si="190"/>
        <v>2.5353890571740196</v>
      </c>
      <c r="U122" s="52">
        <f t="shared" si="190"/>
        <v>2.3182936323781407</v>
      </c>
      <c r="V122" s="52">
        <f t="shared" si="190"/>
        <v>2.0743913902855162</v>
      </c>
      <c r="W122" s="52">
        <f t="shared" si="190"/>
        <v>1.8344860741721902</v>
      </c>
      <c r="X122" s="53">
        <f t="shared" si="190"/>
        <v>1.4495229376583367</v>
      </c>
      <c r="Y122" s="54">
        <f t="shared" si="190"/>
        <v>2.193180518956567</v>
      </c>
      <c r="Z122" s="52">
        <f t="shared" si="190"/>
        <v>2.1484506200227824</v>
      </c>
      <c r="AA122" s="52">
        <f t="shared" si="190"/>
        <v>1.9517558831708703</v>
      </c>
      <c r="AB122" s="52">
        <f t="shared" si="190"/>
        <v>1.587537377861725</v>
      </c>
      <c r="AC122" s="53">
        <f t="shared" si="190"/>
        <v>1.4552584749334998</v>
      </c>
      <c r="AD122" s="52">
        <f t="shared" si="190"/>
        <v>1.8377697197336871</v>
      </c>
      <c r="AE122" s="52">
        <f t="shared" si="190"/>
        <v>1.8531195532780982</v>
      </c>
      <c r="AF122" s="52">
        <f t="shared" si="190"/>
        <v>1.7153456820771116</v>
      </c>
      <c r="AG122" s="52">
        <f t="shared" si="190"/>
        <v>1.5449991429124632</v>
      </c>
      <c r="AH122" s="53">
        <f t="shared" si="190"/>
        <v>1.2045235496682944</v>
      </c>
    </row>
    <row r="123" spans="1:34" x14ac:dyDescent="0.35">
      <c r="A123" s="163" t="s">
        <v>608</v>
      </c>
      <c r="B123" s="164"/>
      <c r="C123" s="129">
        <f t="shared" ref="C123:Q123" si="191">SUM(C102:C110)</f>
        <v>43.767179418146654</v>
      </c>
      <c r="D123" s="127">
        <f t="shared" si="191"/>
        <v>46.447355490930519</v>
      </c>
      <c r="E123" s="127">
        <f t="shared" si="191"/>
        <v>47.052328930969281</v>
      </c>
      <c r="F123" s="127">
        <f t="shared" si="191"/>
        <v>49.365514467022706</v>
      </c>
      <c r="G123" s="128">
        <f t="shared" si="191"/>
        <v>46.761983648104014</v>
      </c>
      <c r="H123" s="129">
        <f t="shared" si="191"/>
        <v>39.248430402881695</v>
      </c>
      <c r="I123" s="127">
        <f t="shared" si="191"/>
        <v>39.813621088974884</v>
      </c>
      <c r="J123" s="127">
        <f t="shared" si="191"/>
        <v>44.960841596795369</v>
      </c>
      <c r="K123" s="127">
        <f t="shared" si="191"/>
        <v>43.821096975266592</v>
      </c>
      <c r="L123" s="128">
        <f t="shared" si="191"/>
        <v>41.711407831215823</v>
      </c>
      <c r="M123" s="127">
        <f t="shared" si="191"/>
        <v>39.151732331928045</v>
      </c>
      <c r="N123" s="127">
        <f t="shared" si="191"/>
        <v>45.233371872136928</v>
      </c>
      <c r="O123" s="127">
        <f t="shared" si="191"/>
        <v>41.885047336771045</v>
      </c>
      <c r="P123" s="127">
        <f t="shared" si="191"/>
        <v>43.806863232329086</v>
      </c>
      <c r="Q123" s="128">
        <f t="shared" si="191"/>
        <v>34.027444824827569</v>
      </c>
    </row>
    <row r="124" spans="1:34" x14ac:dyDescent="0.35">
      <c r="A124" s="161" t="s">
        <v>638</v>
      </c>
      <c r="B124" s="162"/>
      <c r="C124" s="126">
        <f>SUM(C111:C122)</f>
        <v>56.232820581853346</v>
      </c>
      <c r="D124" s="124">
        <f t="shared" ref="D124:Q124" si="192">SUM(D111:D122)</f>
        <v>53.552644509069488</v>
      </c>
      <c r="E124" s="124">
        <f t="shared" si="192"/>
        <v>52.947671069030712</v>
      </c>
      <c r="F124" s="124">
        <f t="shared" si="192"/>
        <v>50.634485532977294</v>
      </c>
      <c r="G124" s="125">
        <f t="shared" si="192"/>
        <v>53.238016351895979</v>
      </c>
      <c r="H124" s="126">
        <f t="shared" si="192"/>
        <v>60.751569597118305</v>
      </c>
      <c r="I124" s="124">
        <f t="shared" si="192"/>
        <v>60.186378911025116</v>
      </c>
      <c r="J124" s="124">
        <f t="shared" si="192"/>
        <v>55.039158403204645</v>
      </c>
      <c r="K124" s="124">
        <f t="shared" si="192"/>
        <v>56.178903024733422</v>
      </c>
      <c r="L124" s="125">
        <f t="shared" si="192"/>
        <v>58.28859216878417</v>
      </c>
      <c r="M124" s="124">
        <f t="shared" si="192"/>
        <v>60.848267668071955</v>
      </c>
      <c r="N124" s="124">
        <f t="shared" si="192"/>
        <v>54.766628127863079</v>
      </c>
      <c r="O124" s="124">
        <f t="shared" si="192"/>
        <v>58.114952663228955</v>
      </c>
      <c r="P124" s="124">
        <f t="shared" si="192"/>
        <v>56.193136767670914</v>
      </c>
      <c r="Q124" s="125">
        <f t="shared" si="192"/>
        <v>65.972555175172431</v>
      </c>
    </row>
    <row r="125" spans="1:34" x14ac:dyDescent="0.35">
      <c r="A125" s="163" t="s">
        <v>672</v>
      </c>
      <c r="B125" s="164"/>
      <c r="C125" s="129">
        <f>SUM(C102:C114)</f>
        <v>66.385249367011312</v>
      </c>
      <c r="D125" s="127">
        <f t="shared" ref="D125:Q125" si="193">SUM(D102:D114)</f>
        <v>68.506651147873669</v>
      </c>
      <c r="E125" s="127">
        <f t="shared" si="193"/>
        <v>69.550611342329205</v>
      </c>
      <c r="F125" s="127">
        <f t="shared" si="193"/>
        <v>70.620388819560191</v>
      </c>
      <c r="G125" s="128">
        <f t="shared" si="193"/>
        <v>69.173440829216943</v>
      </c>
      <c r="H125" s="129">
        <f t="shared" si="193"/>
        <v>70.815037311712729</v>
      </c>
      <c r="I125" s="127">
        <f t="shared" si="193"/>
        <v>72.822855080894044</v>
      </c>
      <c r="J125" s="127">
        <f t="shared" si="193"/>
        <v>69.779616395026267</v>
      </c>
      <c r="K125" s="127">
        <f t="shared" si="193"/>
        <v>68.69788790606043</v>
      </c>
      <c r="L125" s="128">
        <f t="shared" si="193"/>
        <v>68.827019699033357</v>
      </c>
      <c r="M125" s="127">
        <f t="shared" si="193"/>
        <v>65.027173020984122</v>
      </c>
      <c r="N125" s="127">
        <f t="shared" si="193"/>
        <v>68.274433275591036</v>
      </c>
      <c r="O125" s="127">
        <f t="shared" si="193"/>
        <v>69.089729425634744</v>
      </c>
      <c r="P125" s="127">
        <f t="shared" si="193"/>
        <v>69.788999828757809</v>
      </c>
      <c r="Q125" s="128">
        <f t="shared" si="193"/>
        <v>63.913415667832368</v>
      </c>
      <c r="R125" s="60"/>
      <c r="S125" s="60"/>
      <c r="T125" s="60"/>
    </row>
    <row r="126" spans="1:34" x14ac:dyDescent="0.35">
      <c r="A126" s="161" t="s">
        <v>673</v>
      </c>
      <c r="B126" s="162"/>
      <c r="C126" s="126">
        <f>SUM(C116:C122)</f>
        <v>33.614750632988688</v>
      </c>
      <c r="D126" s="124">
        <f t="shared" ref="D126:Q126" si="194">SUM(D116:D122)</f>
        <v>31.493348852126331</v>
      </c>
      <c r="E126" s="124">
        <f t="shared" si="194"/>
        <v>30.449388657670795</v>
      </c>
      <c r="F126" s="124">
        <f t="shared" si="194"/>
        <v>29.379611180439809</v>
      </c>
      <c r="G126" s="125">
        <f t="shared" si="194"/>
        <v>30.82655917078305</v>
      </c>
      <c r="H126" s="126">
        <f t="shared" si="194"/>
        <v>29.184962688287271</v>
      </c>
      <c r="I126" s="124">
        <f t="shared" si="194"/>
        <v>27.177144919105956</v>
      </c>
      <c r="J126" s="124">
        <f t="shared" si="194"/>
        <v>30.220383604973733</v>
      </c>
      <c r="K126" s="124">
        <f t="shared" si="194"/>
        <v>31.302112093939574</v>
      </c>
      <c r="L126" s="125">
        <f t="shared" si="194"/>
        <v>31.172980300966643</v>
      </c>
      <c r="M126" s="124">
        <f t="shared" si="194"/>
        <v>34.972826979015878</v>
      </c>
      <c r="N126" s="124">
        <f t="shared" si="194"/>
        <v>31.725566724408971</v>
      </c>
      <c r="O126" s="124">
        <f t="shared" si="194"/>
        <v>30.910270574365253</v>
      </c>
      <c r="P126" s="124">
        <f t="shared" si="194"/>
        <v>30.211000171242187</v>
      </c>
      <c r="Q126" s="125">
        <f t="shared" si="194"/>
        <v>36.086584332167632</v>
      </c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spans="1:34" x14ac:dyDescent="0.35">
      <c r="A127" s="165" t="s">
        <v>127</v>
      </c>
      <c r="B127" s="166"/>
      <c r="C127" s="123">
        <f t="shared" ref="C127:Q127" si="195">SUM(C102:C122)</f>
        <v>100</v>
      </c>
      <c r="D127" s="121">
        <f t="shared" si="195"/>
        <v>99.999999999999986</v>
      </c>
      <c r="E127" s="121">
        <f t="shared" si="195"/>
        <v>100</v>
      </c>
      <c r="F127" s="121">
        <f t="shared" si="195"/>
        <v>100</v>
      </c>
      <c r="G127" s="122">
        <f t="shared" si="195"/>
        <v>99.999999999999986</v>
      </c>
      <c r="H127" s="123">
        <f t="shared" si="195"/>
        <v>100</v>
      </c>
      <c r="I127" s="121">
        <f t="shared" si="195"/>
        <v>99.999999999999986</v>
      </c>
      <c r="J127" s="121">
        <f t="shared" si="195"/>
        <v>100.00000000000001</v>
      </c>
      <c r="K127" s="121">
        <f t="shared" si="195"/>
        <v>100</v>
      </c>
      <c r="L127" s="122">
        <f t="shared" si="195"/>
        <v>99.999999999999986</v>
      </c>
      <c r="M127" s="121">
        <f t="shared" si="195"/>
        <v>99.999999999999986</v>
      </c>
      <c r="N127" s="121">
        <f t="shared" si="195"/>
        <v>100</v>
      </c>
      <c r="O127" s="121">
        <f t="shared" si="195"/>
        <v>100</v>
      </c>
      <c r="P127" s="121">
        <f t="shared" si="195"/>
        <v>99.999999999999986</v>
      </c>
      <c r="Q127" s="122">
        <f t="shared" si="195"/>
        <v>100</v>
      </c>
      <c r="R127" s="60"/>
      <c r="S127" s="60"/>
      <c r="T127" s="60"/>
    </row>
    <row r="128" spans="1:34" x14ac:dyDescent="0.35">
      <c r="R128" s="60"/>
      <c r="S128" s="60"/>
      <c r="T128" s="60"/>
    </row>
    <row r="129" spans="1:36" x14ac:dyDescent="0.35">
      <c r="A129" t="s">
        <v>642</v>
      </c>
    </row>
    <row r="130" spans="1:36" x14ac:dyDescent="0.35">
      <c r="B130" t="s">
        <v>643</v>
      </c>
      <c r="S130" t="s">
        <v>644</v>
      </c>
    </row>
    <row r="131" spans="1:36" x14ac:dyDescent="0.35">
      <c r="B131" s="45"/>
      <c r="C131" s="45" t="s">
        <v>217</v>
      </c>
      <c r="D131" s="45" t="s">
        <v>218</v>
      </c>
      <c r="E131" s="45" t="s">
        <v>219</v>
      </c>
      <c r="F131" s="45" t="s">
        <v>220</v>
      </c>
      <c r="G131" s="45" t="s">
        <v>221</v>
      </c>
      <c r="H131" s="45" t="s">
        <v>595</v>
      </c>
      <c r="I131" s="45" t="s">
        <v>596</v>
      </c>
      <c r="J131" s="45" t="s">
        <v>597</v>
      </c>
      <c r="K131" s="45" t="s">
        <v>598</v>
      </c>
      <c r="L131" s="45" t="s">
        <v>599</v>
      </c>
      <c r="M131" s="45" t="s">
        <v>222</v>
      </c>
      <c r="N131" s="45" t="s">
        <v>223</v>
      </c>
      <c r="O131" s="45" t="s">
        <v>224</v>
      </c>
      <c r="P131" s="45" t="s">
        <v>225</v>
      </c>
      <c r="Q131" s="45" t="s">
        <v>226</v>
      </c>
      <c r="R131" s="42"/>
      <c r="S131" s="45"/>
      <c r="T131" s="67" t="s">
        <v>217</v>
      </c>
      <c r="U131" s="67" t="s">
        <v>218</v>
      </c>
      <c r="V131" s="67" t="s">
        <v>219</v>
      </c>
      <c r="W131" s="67" t="s">
        <v>220</v>
      </c>
      <c r="X131" s="67" t="s">
        <v>221</v>
      </c>
      <c r="Y131" s="67" t="s">
        <v>595</v>
      </c>
      <c r="Z131" s="67" t="s">
        <v>596</v>
      </c>
      <c r="AA131" s="67" t="s">
        <v>597</v>
      </c>
      <c r="AB131" s="67" t="s">
        <v>598</v>
      </c>
      <c r="AC131" s="67" t="s">
        <v>599</v>
      </c>
      <c r="AD131" s="67" t="s">
        <v>222</v>
      </c>
      <c r="AE131" s="67" t="s">
        <v>223</v>
      </c>
      <c r="AF131" s="67" t="s">
        <v>224</v>
      </c>
      <c r="AG131" s="67" t="s">
        <v>225</v>
      </c>
      <c r="AH131" s="67" t="s">
        <v>226</v>
      </c>
      <c r="AJ131" s="42"/>
    </row>
    <row r="132" spans="1:36" x14ac:dyDescent="0.35">
      <c r="B132" s="43" t="str">
        <f t="shared" ref="B132:B177" si="196">AL49</f>
        <v>ccere</v>
      </c>
      <c r="C132" s="43">
        <v>0.5</v>
      </c>
      <c r="D132" s="43">
        <v>0.5</v>
      </c>
      <c r="E132" s="43">
        <v>0.5</v>
      </c>
      <c r="F132" s="43">
        <v>0.5</v>
      </c>
      <c r="G132" s="43">
        <v>0.5</v>
      </c>
      <c r="H132" s="43">
        <v>0.5</v>
      </c>
      <c r="I132" s="43">
        <v>0.5</v>
      </c>
      <c r="J132" s="43">
        <v>0.5</v>
      </c>
      <c r="K132" s="43">
        <v>0.5</v>
      </c>
      <c r="L132" s="43">
        <v>0.5</v>
      </c>
      <c r="M132" s="43">
        <v>0.5</v>
      </c>
      <c r="N132" s="43">
        <v>0.5</v>
      </c>
      <c r="O132" s="43">
        <v>0.5</v>
      </c>
      <c r="P132" s="43">
        <v>0.5</v>
      </c>
      <c r="Q132" s="43">
        <v>0.5</v>
      </c>
      <c r="S132" s="43" t="str">
        <f t="shared" ref="S132:S177" si="197">BC49</f>
        <v>acere</v>
      </c>
      <c r="T132" s="43">
        <f t="shared" ref="T132:AH133" si="198">IF(BD49&gt;0,T$102,"")</f>
        <v>0.5</v>
      </c>
      <c r="U132" s="43">
        <f t="shared" si="198"/>
        <v>0.5</v>
      </c>
      <c r="V132" s="43">
        <f t="shared" si="198"/>
        <v>0.5</v>
      </c>
      <c r="W132" s="43">
        <f t="shared" si="198"/>
        <v>0.5</v>
      </c>
      <c r="X132" s="43">
        <f t="shared" si="198"/>
        <v>0.5</v>
      </c>
      <c r="Y132" s="43" t="str">
        <f t="shared" si="198"/>
        <v/>
      </c>
      <c r="Z132" s="43" t="str">
        <f t="shared" si="198"/>
        <v/>
      </c>
      <c r="AA132" s="43" t="str">
        <f t="shared" si="198"/>
        <v/>
      </c>
      <c r="AB132" s="43" t="str">
        <f t="shared" si="198"/>
        <v/>
      </c>
      <c r="AC132" s="43" t="str">
        <f t="shared" si="198"/>
        <v/>
      </c>
      <c r="AD132" s="43">
        <f t="shared" si="198"/>
        <v>0.5</v>
      </c>
      <c r="AE132" s="43">
        <f t="shared" si="198"/>
        <v>0.5</v>
      </c>
      <c r="AF132" s="43">
        <f t="shared" si="198"/>
        <v>0.5</v>
      </c>
      <c r="AG132" s="43">
        <f t="shared" si="198"/>
        <v>0.5</v>
      </c>
      <c r="AH132" s="43">
        <f t="shared" si="198"/>
        <v>0.5</v>
      </c>
    </row>
    <row r="133" spans="1:36" x14ac:dyDescent="0.35">
      <c r="B133" s="52" t="str">
        <f t="shared" si="196"/>
        <v>cgmll</v>
      </c>
      <c r="C133" s="52">
        <f t="shared" ref="C133:Q133" si="199">IF(AM50&gt;0,T$102,"")</f>
        <v>0.5</v>
      </c>
      <c r="D133" s="52">
        <f t="shared" si="199"/>
        <v>0.5</v>
      </c>
      <c r="E133" s="52">
        <f t="shared" si="199"/>
        <v>0.5</v>
      </c>
      <c r="F133" s="52">
        <f t="shared" si="199"/>
        <v>0.5</v>
      </c>
      <c r="G133" s="52">
        <f t="shared" si="199"/>
        <v>0.5</v>
      </c>
      <c r="H133" s="52">
        <f t="shared" si="199"/>
        <v>0.5</v>
      </c>
      <c r="I133" s="52">
        <f t="shared" si="199"/>
        <v>0.5</v>
      </c>
      <c r="J133" s="52">
        <f t="shared" si="199"/>
        <v>0.5</v>
      </c>
      <c r="K133" s="52">
        <f t="shared" si="199"/>
        <v>0.5</v>
      </c>
      <c r="L133" s="52">
        <f t="shared" si="199"/>
        <v>0.5</v>
      </c>
      <c r="M133" s="52">
        <f t="shared" si="199"/>
        <v>0.5</v>
      </c>
      <c r="N133" s="52">
        <f t="shared" si="199"/>
        <v>0.5</v>
      </c>
      <c r="O133" s="52">
        <f t="shared" si="199"/>
        <v>0.5</v>
      </c>
      <c r="P133" s="52">
        <f t="shared" si="199"/>
        <v>0.5</v>
      </c>
      <c r="Q133" s="52">
        <f t="shared" si="199"/>
        <v>0.5</v>
      </c>
      <c r="S133" s="52" t="str">
        <f t="shared" si="197"/>
        <v>agmll</v>
      </c>
      <c r="T133" s="52" t="str">
        <f t="shared" si="198"/>
        <v/>
      </c>
      <c r="U133" s="52" t="str">
        <f t="shared" si="198"/>
        <v/>
      </c>
      <c r="V133" s="52" t="str">
        <f t="shared" si="198"/>
        <v/>
      </c>
      <c r="W133" s="52" t="str">
        <f t="shared" si="198"/>
        <v/>
      </c>
      <c r="X133" s="52" t="str">
        <f t="shared" si="198"/>
        <v/>
      </c>
      <c r="Y133" s="52" t="str">
        <f t="shared" si="198"/>
        <v/>
      </c>
      <c r="Z133" s="52" t="str">
        <f t="shared" si="198"/>
        <v/>
      </c>
      <c r="AA133" s="52" t="str">
        <f t="shared" si="198"/>
        <v/>
      </c>
      <c r="AB133" s="52" t="str">
        <f t="shared" si="198"/>
        <v/>
      </c>
      <c r="AC133" s="52" t="str">
        <f t="shared" si="198"/>
        <v/>
      </c>
      <c r="AD133" s="52" t="str">
        <f t="shared" si="198"/>
        <v/>
      </c>
      <c r="AE133" s="52" t="str">
        <f t="shared" si="198"/>
        <v/>
      </c>
      <c r="AF133" s="52" t="str">
        <f t="shared" si="198"/>
        <v/>
      </c>
      <c r="AG133" s="52" t="str">
        <f t="shared" si="198"/>
        <v/>
      </c>
      <c r="AH133" s="52" t="str">
        <f t="shared" si="198"/>
        <v/>
      </c>
    </row>
    <row r="134" spans="1:36" x14ac:dyDescent="0.35">
      <c r="B134" s="52" t="str">
        <f t="shared" si="196"/>
        <v>croot</v>
      </c>
      <c r="C134" s="52">
        <f t="shared" ref="C134:Q134" si="200">IF(AM51&gt;0,T$103,"")</f>
        <v>0.5</v>
      </c>
      <c r="D134" s="52">
        <f t="shared" si="200"/>
        <v>0.5</v>
      </c>
      <c r="E134" s="52">
        <f t="shared" si="200"/>
        <v>0.5</v>
      </c>
      <c r="F134" s="52">
        <f t="shared" si="200"/>
        <v>0.5</v>
      </c>
      <c r="G134" s="52">
        <f t="shared" si="200"/>
        <v>0.5</v>
      </c>
      <c r="H134" s="52">
        <f t="shared" si="200"/>
        <v>0.5</v>
      </c>
      <c r="I134" s="52">
        <f t="shared" si="200"/>
        <v>0.5</v>
      </c>
      <c r="J134" s="52">
        <f t="shared" si="200"/>
        <v>0.5</v>
      </c>
      <c r="K134" s="52">
        <f t="shared" si="200"/>
        <v>0.5</v>
      </c>
      <c r="L134" s="52">
        <f t="shared" si="200"/>
        <v>0.5</v>
      </c>
      <c r="M134" s="52">
        <f t="shared" si="200"/>
        <v>0.5</v>
      </c>
      <c r="N134" s="52">
        <f t="shared" si="200"/>
        <v>0.5</v>
      </c>
      <c r="O134" s="52">
        <f t="shared" si="200"/>
        <v>0.5</v>
      </c>
      <c r="P134" s="52">
        <f t="shared" si="200"/>
        <v>0.5</v>
      </c>
      <c r="Q134" s="52">
        <f t="shared" si="200"/>
        <v>0.5</v>
      </c>
      <c r="S134" s="52" t="str">
        <f t="shared" si="197"/>
        <v>aroot</v>
      </c>
      <c r="T134" s="52">
        <f t="shared" ref="T134:AH134" si="201">IF(BD51&gt;0,T$103,"")</f>
        <v>0.5</v>
      </c>
      <c r="U134" s="52">
        <f t="shared" si="201"/>
        <v>0.5</v>
      </c>
      <c r="V134" s="52">
        <f t="shared" si="201"/>
        <v>0.5</v>
      </c>
      <c r="W134" s="52">
        <f t="shared" si="201"/>
        <v>0.5</v>
      </c>
      <c r="X134" s="52">
        <f t="shared" si="201"/>
        <v>0.5</v>
      </c>
      <c r="Y134" s="52" t="str">
        <f t="shared" si="201"/>
        <v/>
      </c>
      <c r="Z134" s="52" t="str">
        <f t="shared" si="201"/>
        <v/>
      </c>
      <c r="AA134" s="52" t="str">
        <f t="shared" si="201"/>
        <v/>
      </c>
      <c r="AB134" s="52" t="str">
        <f t="shared" si="201"/>
        <v/>
      </c>
      <c r="AC134" s="52" t="str">
        <f t="shared" si="201"/>
        <v/>
      </c>
      <c r="AD134" s="52">
        <f t="shared" si="201"/>
        <v>0.5</v>
      </c>
      <c r="AE134" s="52">
        <f t="shared" si="201"/>
        <v>0.5</v>
      </c>
      <c r="AF134" s="52">
        <f t="shared" si="201"/>
        <v>0.5</v>
      </c>
      <c r="AG134" s="52">
        <f t="shared" si="201"/>
        <v>0.5</v>
      </c>
      <c r="AH134" s="52">
        <f t="shared" si="201"/>
        <v>0.5</v>
      </c>
    </row>
    <row r="135" spans="1:36" x14ac:dyDescent="0.35">
      <c r="B135" s="55" t="str">
        <f t="shared" si="196"/>
        <v>cpuls</v>
      </c>
      <c r="C135" s="55">
        <f t="shared" ref="C135:Q135" si="202">IF(AM52&gt;0,T$104,"")</f>
        <v>0.8</v>
      </c>
      <c r="D135" s="55">
        <f t="shared" si="202"/>
        <v>0.8</v>
      </c>
      <c r="E135" s="55">
        <f t="shared" si="202"/>
        <v>0.8</v>
      </c>
      <c r="F135" s="55">
        <f t="shared" si="202"/>
        <v>0.8</v>
      </c>
      <c r="G135" s="55">
        <f t="shared" si="202"/>
        <v>0.8</v>
      </c>
      <c r="H135" s="55">
        <f t="shared" si="202"/>
        <v>0.8</v>
      </c>
      <c r="I135" s="55">
        <f t="shared" si="202"/>
        <v>0.8</v>
      </c>
      <c r="J135" s="55">
        <f t="shared" si="202"/>
        <v>0.8</v>
      </c>
      <c r="K135" s="55">
        <f t="shared" si="202"/>
        <v>0.8</v>
      </c>
      <c r="L135" s="55">
        <f t="shared" si="202"/>
        <v>0.8</v>
      </c>
      <c r="M135" s="55">
        <f t="shared" si="202"/>
        <v>0.8</v>
      </c>
      <c r="N135" s="55">
        <f t="shared" si="202"/>
        <v>0.8</v>
      </c>
      <c r="O135" s="55">
        <f t="shared" si="202"/>
        <v>0.8</v>
      </c>
      <c r="P135" s="55">
        <f t="shared" si="202"/>
        <v>0.8</v>
      </c>
      <c r="Q135" s="55">
        <f t="shared" si="202"/>
        <v>0.8</v>
      </c>
      <c r="S135" s="55" t="str">
        <f t="shared" si="197"/>
        <v>apuls</v>
      </c>
      <c r="T135" s="55">
        <f t="shared" ref="T135:AH135" si="203">IF(BD52&gt;0,T$104,"")</f>
        <v>0.8</v>
      </c>
      <c r="U135" s="55">
        <f t="shared" si="203"/>
        <v>0.8</v>
      </c>
      <c r="V135" s="55">
        <f t="shared" si="203"/>
        <v>0.8</v>
      </c>
      <c r="W135" s="55">
        <f t="shared" si="203"/>
        <v>0.8</v>
      </c>
      <c r="X135" s="55">
        <f t="shared" si="203"/>
        <v>0.8</v>
      </c>
      <c r="Y135" s="55" t="str">
        <f t="shared" si="203"/>
        <v/>
      </c>
      <c r="Z135" s="55" t="str">
        <f t="shared" si="203"/>
        <v/>
      </c>
      <c r="AA135" s="55" t="str">
        <f t="shared" si="203"/>
        <v/>
      </c>
      <c r="AB135" s="55" t="str">
        <f t="shared" si="203"/>
        <v/>
      </c>
      <c r="AC135" s="55" t="str">
        <f t="shared" si="203"/>
        <v/>
      </c>
      <c r="AD135" s="55" t="str">
        <f t="shared" si="203"/>
        <v/>
      </c>
      <c r="AE135" s="55" t="str">
        <f t="shared" si="203"/>
        <v/>
      </c>
      <c r="AF135" s="55">
        <f t="shared" si="203"/>
        <v>0.8</v>
      </c>
      <c r="AG135" s="55">
        <f t="shared" si="203"/>
        <v>0.8</v>
      </c>
      <c r="AH135" s="55">
        <f t="shared" si="203"/>
        <v>0.8</v>
      </c>
    </row>
    <row r="136" spans="1:36" x14ac:dyDescent="0.35">
      <c r="B136" s="52" t="str">
        <f t="shared" si="196"/>
        <v>cvege</v>
      </c>
      <c r="C136" s="52">
        <f t="shared" ref="C136:Q136" si="204">IF(AM53&gt;0,T$105,"")</f>
        <v>0.8</v>
      </c>
      <c r="D136" s="52">
        <f t="shared" si="204"/>
        <v>0.8</v>
      </c>
      <c r="E136" s="52">
        <f t="shared" si="204"/>
        <v>0.8</v>
      </c>
      <c r="F136" s="52">
        <f t="shared" si="204"/>
        <v>0.8</v>
      </c>
      <c r="G136" s="52">
        <f t="shared" si="204"/>
        <v>0.8</v>
      </c>
      <c r="H136" s="52">
        <f t="shared" si="204"/>
        <v>0.8</v>
      </c>
      <c r="I136" s="52">
        <f t="shared" si="204"/>
        <v>0.8</v>
      </c>
      <c r="J136" s="52">
        <f t="shared" si="204"/>
        <v>0.8</v>
      </c>
      <c r="K136" s="52">
        <f t="shared" si="204"/>
        <v>0.8</v>
      </c>
      <c r="L136" s="52">
        <f t="shared" si="204"/>
        <v>0.8</v>
      </c>
      <c r="M136" s="52">
        <f t="shared" si="204"/>
        <v>0.8</v>
      </c>
      <c r="N136" s="52">
        <f t="shared" si="204"/>
        <v>0.8</v>
      </c>
      <c r="O136" s="52">
        <f t="shared" si="204"/>
        <v>0.8</v>
      </c>
      <c r="P136" s="52">
        <f t="shared" si="204"/>
        <v>0.8</v>
      </c>
      <c r="Q136" s="52">
        <f t="shared" si="204"/>
        <v>0.8</v>
      </c>
      <c r="S136" s="52" t="str">
        <f t="shared" si="197"/>
        <v>avege</v>
      </c>
      <c r="T136" s="52">
        <f t="shared" ref="T136:AH136" si="205">IF(BD53&gt;0,T$105,"")</f>
        <v>0.8</v>
      </c>
      <c r="U136" s="52">
        <f t="shared" si="205"/>
        <v>0.8</v>
      </c>
      <c r="V136" s="52">
        <f t="shared" si="205"/>
        <v>0.8</v>
      </c>
      <c r="W136" s="52">
        <f t="shared" si="205"/>
        <v>0.8</v>
      </c>
      <c r="X136" s="52">
        <f t="shared" si="205"/>
        <v>0.8</v>
      </c>
      <c r="Y136" s="52" t="str">
        <f t="shared" si="205"/>
        <v/>
      </c>
      <c r="Z136" s="52" t="str">
        <f t="shared" si="205"/>
        <v/>
      </c>
      <c r="AA136" s="52" t="str">
        <f t="shared" si="205"/>
        <v/>
      </c>
      <c r="AB136" s="52" t="str">
        <f t="shared" si="205"/>
        <v/>
      </c>
      <c r="AC136" s="52" t="str">
        <f t="shared" si="205"/>
        <v/>
      </c>
      <c r="AD136" s="52">
        <f t="shared" si="205"/>
        <v>0.8</v>
      </c>
      <c r="AE136" s="52">
        <f t="shared" si="205"/>
        <v>0.8</v>
      </c>
      <c r="AF136" s="52">
        <f t="shared" si="205"/>
        <v>0.8</v>
      </c>
      <c r="AG136" s="52">
        <f t="shared" si="205"/>
        <v>0.8</v>
      </c>
      <c r="AH136" s="52">
        <f t="shared" si="205"/>
        <v>0.8</v>
      </c>
    </row>
    <row r="137" spans="1:36" x14ac:dyDescent="0.35">
      <c r="B137" s="43" t="str">
        <f t="shared" si="196"/>
        <v>cfrui</v>
      </c>
      <c r="C137" s="43">
        <f t="shared" ref="C137:Q138" si="206">IF(AM54&gt;0,T$106,"")</f>
        <v>0.9</v>
      </c>
      <c r="D137" s="43">
        <f t="shared" si="206"/>
        <v>0.9</v>
      </c>
      <c r="E137" s="43">
        <f t="shared" si="206"/>
        <v>0.9</v>
      </c>
      <c r="F137" s="43">
        <f t="shared" si="206"/>
        <v>0.9</v>
      </c>
      <c r="G137" s="43">
        <f t="shared" si="206"/>
        <v>0.9</v>
      </c>
      <c r="H137" s="43">
        <f t="shared" si="206"/>
        <v>0.9</v>
      </c>
      <c r="I137" s="43">
        <f t="shared" si="206"/>
        <v>0.9</v>
      </c>
      <c r="J137" s="43">
        <f t="shared" si="206"/>
        <v>0.9</v>
      </c>
      <c r="K137" s="43">
        <f t="shared" si="206"/>
        <v>0.9</v>
      </c>
      <c r="L137" s="43">
        <f t="shared" si="206"/>
        <v>0.9</v>
      </c>
      <c r="M137" s="43">
        <f t="shared" si="206"/>
        <v>0.9</v>
      </c>
      <c r="N137" s="43">
        <f t="shared" si="206"/>
        <v>0.9</v>
      </c>
      <c r="O137" s="43">
        <f t="shared" si="206"/>
        <v>0.9</v>
      </c>
      <c r="P137" s="43">
        <f t="shared" si="206"/>
        <v>0.9</v>
      </c>
      <c r="Q137" s="43">
        <f t="shared" si="206"/>
        <v>0.9</v>
      </c>
      <c r="S137" s="43" t="str">
        <f t="shared" si="197"/>
        <v>afrui</v>
      </c>
      <c r="T137" s="43">
        <f t="shared" ref="T137:AH138" si="207">IF(BD54&gt;0,T$106,"")</f>
        <v>0.9</v>
      </c>
      <c r="U137" s="43">
        <f t="shared" si="207"/>
        <v>0.9</v>
      </c>
      <c r="V137" s="43">
        <f t="shared" si="207"/>
        <v>0.9</v>
      </c>
      <c r="W137" s="43">
        <f t="shared" si="207"/>
        <v>0.9</v>
      </c>
      <c r="X137" s="43">
        <f t="shared" si="207"/>
        <v>0.9</v>
      </c>
      <c r="Y137" s="43" t="str">
        <f t="shared" si="207"/>
        <v/>
      </c>
      <c r="Z137" s="43" t="str">
        <f t="shared" si="207"/>
        <v/>
      </c>
      <c r="AA137" s="43" t="str">
        <f t="shared" si="207"/>
        <v/>
      </c>
      <c r="AB137" s="43" t="str">
        <f t="shared" si="207"/>
        <v/>
      </c>
      <c r="AC137" s="43" t="str">
        <f t="shared" si="207"/>
        <v/>
      </c>
      <c r="AD137" s="43" t="str">
        <f t="shared" si="207"/>
        <v/>
      </c>
      <c r="AE137" s="43">
        <f t="shared" si="207"/>
        <v>0.9</v>
      </c>
      <c r="AF137" s="43">
        <f t="shared" si="207"/>
        <v>0.9</v>
      </c>
      <c r="AG137" s="43">
        <f t="shared" si="207"/>
        <v>0.9</v>
      </c>
      <c r="AH137" s="43">
        <f t="shared" si="207"/>
        <v>0.9</v>
      </c>
    </row>
    <row r="138" spans="1:36" x14ac:dyDescent="0.35">
      <c r="B138" s="52" t="str">
        <f t="shared" si="196"/>
        <v>cfveg</v>
      </c>
      <c r="C138" s="52">
        <f t="shared" si="206"/>
        <v>0.9</v>
      </c>
      <c r="D138" s="52">
        <f t="shared" si="206"/>
        <v>0.9</v>
      </c>
      <c r="E138" s="52">
        <f t="shared" si="206"/>
        <v>0.9</v>
      </c>
      <c r="F138" s="52">
        <f t="shared" si="206"/>
        <v>0.9</v>
      </c>
      <c r="G138" s="52">
        <f t="shared" si="206"/>
        <v>0.9</v>
      </c>
      <c r="H138" s="52">
        <f t="shared" si="206"/>
        <v>0.9</v>
      </c>
      <c r="I138" s="52">
        <f t="shared" si="206"/>
        <v>0.9</v>
      </c>
      <c r="J138" s="52">
        <f t="shared" si="206"/>
        <v>0.9</v>
      </c>
      <c r="K138" s="52">
        <f t="shared" si="206"/>
        <v>0.9</v>
      </c>
      <c r="L138" s="52">
        <f t="shared" si="206"/>
        <v>0.9</v>
      </c>
      <c r="M138" s="52">
        <f t="shared" si="206"/>
        <v>0.9</v>
      </c>
      <c r="N138" s="52">
        <f t="shared" si="206"/>
        <v>0.9</v>
      </c>
      <c r="O138" s="52">
        <f t="shared" si="206"/>
        <v>0.9</v>
      </c>
      <c r="P138" s="52">
        <f t="shared" si="206"/>
        <v>0.9</v>
      </c>
      <c r="Q138" s="52">
        <f t="shared" si="206"/>
        <v>0.9</v>
      </c>
      <c r="S138" s="52" t="str">
        <f t="shared" si="197"/>
        <v>afveg</v>
      </c>
      <c r="T138" s="52" t="str">
        <f t="shared" si="207"/>
        <v/>
      </c>
      <c r="U138" s="52" t="str">
        <f t="shared" si="207"/>
        <v/>
      </c>
      <c r="V138" s="52" t="str">
        <f t="shared" si="207"/>
        <v/>
      </c>
      <c r="W138" s="52" t="str">
        <f t="shared" si="207"/>
        <v/>
      </c>
      <c r="X138" s="52" t="str">
        <f t="shared" si="207"/>
        <v/>
      </c>
      <c r="Y138" s="52" t="str">
        <f t="shared" si="207"/>
        <v/>
      </c>
      <c r="Z138" s="52" t="str">
        <f t="shared" si="207"/>
        <v/>
      </c>
      <c r="AA138" s="52" t="str">
        <f t="shared" si="207"/>
        <v/>
      </c>
      <c r="AB138" s="52" t="str">
        <f t="shared" si="207"/>
        <v/>
      </c>
      <c r="AC138" s="52" t="str">
        <f t="shared" si="207"/>
        <v/>
      </c>
      <c r="AD138" s="52" t="str">
        <f t="shared" si="207"/>
        <v/>
      </c>
      <c r="AE138" s="52" t="str">
        <f t="shared" si="207"/>
        <v/>
      </c>
      <c r="AF138" s="52" t="str">
        <f t="shared" si="207"/>
        <v/>
      </c>
      <c r="AG138" s="52" t="str">
        <f t="shared" si="207"/>
        <v/>
      </c>
      <c r="AH138" s="52" t="str">
        <f t="shared" si="207"/>
        <v/>
      </c>
    </row>
    <row r="139" spans="1:36" x14ac:dyDescent="0.35">
      <c r="B139" s="43" t="str">
        <f t="shared" si="196"/>
        <v>clive</v>
      </c>
      <c r="C139" s="43">
        <f t="shared" ref="C139:Q142" si="208">IF(AM56&gt;0,T$107,"")</f>
        <v>0.9</v>
      </c>
      <c r="D139" s="43">
        <f t="shared" si="208"/>
        <v>0.9</v>
      </c>
      <c r="E139" s="43">
        <f t="shared" si="208"/>
        <v>0.9</v>
      </c>
      <c r="F139" s="43">
        <f t="shared" si="208"/>
        <v>0.9</v>
      </c>
      <c r="G139" s="43">
        <f t="shared" si="208"/>
        <v>0.9</v>
      </c>
      <c r="H139" s="43">
        <f t="shared" si="208"/>
        <v>0.9</v>
      </c>
      <c r="I139" s="43">
        <f t="shared" si="208"/>
        <v>0.9</v>
      </c>
      <c r="J139" s="43">
        <f t="shared" si="208"/>
        <v>0.9</v>
      </c>
      <c r="K139" s="43">
        <f t="shared" si="208"/>
        <v>0.9</v>
      </c>
      <c r="L139" s="43">
        <f t="shared" si="208"/>
        <v>0.9</v>
      </c>
      <c r="M139" s="43">
        <f t="shared" si="208"/>
        <v>0.9</v>
      </c>
      <c r="N139" s="43">
        <f t="shared" si="208"/>
        <v>0.9</v>
      </c>
      <c r="O139" s="43">
        <f t="shared" si="208"/>
        <v>0.9</v>
      </c>
      <c r="P139" s="43">
        <f t="shared" si="208"/>
        <v>0.9</v>
      </c>
      <c r="Q139" s="43">
        <f t="shared" si="208"/>
        <v>0.9</v>
      </c>
      <c r="S139" s="43" t="str">
        <f t="shared" si="197"/>
        <v>alive</v>
      </c>
      <c r="T139" s="43">
        <f t="shared" ref="T139:AH142" si="209">IF(BD56&gt;0,T$107,"")</f>
        <v>0.9</v>
      </c>
      <c r="U139" s="43">
        <f t="shared" si="209"/>
        <v>0.9</v>
      </c>
      <c r="V139" s="43">
        <f t="shared" si="209"/>
        <v>0.9</v>
      </c>
      <c r="W139" s="43">
        <f t="shared" si="209"/>
        <v>0.9</v>
      </c>
      <c r="X139" s="43">
        <f t="shared" si="209"/>
        <v>0.9</v>
      </c>
      <c r="Y139" s="43" t="str">
        <f t="shared" si="209"/>
        <v/>
      </c>
      <c r="Z139" s="43" t="str">
        <f t="shared" si="209"/>
        <v/>
      </c>
      <c r="AA139" s="43" t="str">
        <f t="shared" si="209"/>
        <v/>
      </c>
      <c r="AB139" s="43" t="str">
        <f t="shared" si="209"/>
        <v/>
      </c>
      <c r="AC139" s="43" t="str">
        <f t="shared" si="209"/>
        <v/>
      </c>
      <c r="AD139" s="43" t="str">
        <f t="shared" si="209"/>
        <v/>
      </c>
      <c r="AE139" s="43">
        <f t="shared" si="209"/>
        <v>0.9</v>
      </c>
      <c r="AF139" s="43">
        <f t="shared" si="209"/>
        <v>0.9</v>
      </c>
      <c r="AG139" s="43">
        <f t="shared" si="209"/>
        <v>0.9</v>
      </c>
      <c r="AH139" s="43">
        <f t="shared" si="209"/>
        <v>0.9</v>
      </c>
    </row>
    <row r="140" spans="1:36" x14ac:dyDescent="0.35">
      <c r="B140" s="43" t="str">
        <f t="shared" si="196"/>
        <v>cfish</v>
      </c>
      <c r="C140" s="43">
        <f t="shared" si="208"/>
        <v>0.9</v>
      </c>
      <c r="D140" s="43">
        <f t="shared" si="208"/>
        <v>0.9</v>
      </c>
      <c r="E140" s="43">
        <f t="shared" si="208"/>
        <v>0.9</v>
      </c>
      <c r="F140" s="43">
        <f t="shared" si="208"/>
        <v>0.9</v>
      </c>
      <c r="G140" s="43">
        <f t="shared" si="208"/>
        <v>0.9</v>
      </c>
      <c r="H140" s="43">
        <f t="shared" si="208"/>
        <v>0.9</v>
      </c>
      <c r="I140" s="43">
        <f t="shared" si="208"/>
        <v>0.9</v>
      </c>
      <c r="J140" s="43">
        <f t="shared" si="208"/>
        <v>0.9</v>
      </c>
      <c r="K140" s="43">
        <f t="shared" si="208"/>
        <v>0.9</v>
      </c>
      <c r="L140" s="43">
        <f t="shared" si="208"/>
        <v>0.9</v>
      </c>
      <c r="M140" s="43">
        <f t="shared" si="208"/>
        <v>0.9</v>
      </c>
      <c r="N140" s="43">
        <f t="shared" si="208"/>
        <v>0.9</v>
      </c>
      <c r="O140" s="43">
        <f t="shared" si="208"/>
        <v>0.9</v>
      </c>
      <c r="P140" s="43">
        <f t="shared" si="208"/>
        <v>0.9</v>
      </c>
      <c r="Q140" s="43">
        <f t="shared" si="208"/>
        <v>0.9</v>
      </c>
      <c r="S140" s="43" t="str">
        <f t="shared" si="197"/>
        <v>afish</v>
      </c>
      <c r="T140" s="43">
        <f t="shared" si="209"/>
        <v>0.9</v>
      </c>
      <c r="U140" s="43">
        <f t="shared" si="209"/>
        <v>0.9</v>
      </c>
      <c r="V140" s="43">
        <f t="shared" si="209"/>
        <v>0.9</v>
      </c>
      <c r="W140" s="43">
        <f t="shared" si="209"/>
        <v>0.9</v>
      </c>
      <c r="X140" s="43">
        <f t="shared" si="209"/>
        <v>0.9</v>
      </c>
      <c r="Y140" s="43" t="str">
        <f t="shared" si="209"/>
        <v/>
      </c>
      <c r="Z140" s="43" t="str">
        <f t="shared" si="209"/>
        <v/>
      </c>
      <c r="AA140" s="43" t="str">
        <f t="shared" si="209"/>
        <v/>
      </c>
      <c r="AB140" s="43" t="str">
        <f t="shared" si="209"/>
        <v/>
      </c>
      <c r="AC140" s="43" t="str">
        <f t="shared" si="209"/>
        <v/>
      </c>
      <c r="AD140" s="43" t="str">
        <f t="shared" si="209"/>
        <v/>
      </c>
      <c r="AE140" s="43" t="str">
        <f t="shared" si="209"/>
        <v/>
      </c>
      <c r="AF140" s="43" t="str">
        <f t="shared" si="209"/>
        <v/>
      </c>
      <c r="AG140" s="43" t="str">
        <f t="shared" si="209"/>
        <v/>
      </c>
      <c r="AH140" s="43">
        <f t="shared" si="209"/>
        <v>0.9</v>
      </c>
    </row>
    <row r="141" spans="1:36" x14ac:dyDescent="0.35">
      <c r="B141" s="43" t="str">
        <f t="shared" si="196"/>
        <v>cmeat</v>
      </c>
      <c r="C141" s="43">
        <f t="shared" si="208"/>
        <v>0.9</v>
      </c>
      <c r="D141" s="43">
        <f t="shared" si="208"/>
        <v>0.9</v>
      </c>
      <c r="E141" s="43">
        <f t="shared" si="208"/>
        <v>0.9</v>
      </c>
      <c r="F141" s="43">
        <f t="shared" si="208"/>
        <v>0.9</v>
      </c>
      <c r="G141" s="43">
        <f t="shared" si="208"/>
        <v>0.9</v>
      </c>
      <c r="H141" s="43">
        <f t="shared" si="208"/>
        <v>0.9</v>
      </c>
      <c r="I141" s="43">
        <f t="shared" si="208"/>
        <v>0.9</v>
      </c>
      <c r="J141" s="43">
        <f t="shared" si="208"/>
        <v>0.9</v>
      </c>
      <c r="K141" s="43">
        <f t="shared" si="208"/>
        <v>0.9</v>
      </c>
      <c r="L141" s="43">
        <f t="shared" si="208"/>
        <v>0.9</v>
      </c>
      <c r="M141" s="43">
        <f t="shared" si="208"/>
        <v>0.9</v>
      </c>
      <c r="N141" s="43">
        <f t="shared" si="208"/>
        <v>0.9</v>
      </c>
      <c r="O141" s="43">
        <f t="shared" si="208"/>
        <v>0.9</v>
      </c>
      <c r="P141" s="43">
        <f t="shared" si="208"/>
        <v>0.9</v>
      </c>
      <c r="Q141" s="43">
        <f t="shared" si="208"/>
        <v>0.9</v>
      </c>
      <c r="S141" s="43" t="str">
        <f t="shared" si="197"/>
        <v>ameat</v>
      </c>
      <c r="T141" s="43" t="str">
        <f t="shared" si="209"/>
        <v/>
      </c>
      <c r="U141" s="43" t="str">
        <f t="shared" si="209"/>
        <v/>
      </c>
      <c r="V141" s="43" t="str">
        <f t="shared" si="209"/>
        <v/>
      </c>
      <c r="W141" s="43" t="str">
        <f t="shared" si="209"/>
        <v/>
      </c>
      <c r="X141" s="43" t="str">
        <f t="shared" si="209"/>
        <v/>
      </c>
      <c r="Y141" s="43" t="str">
        <f t="shared" si="209"/>
        <v/>
      </c>
      <c r="Z141" s="43" t="str">
        <f t="shared" si="209"/>
        <v/>
      </c>
      <c r="AA141" s="43" t="str">
        <f t="shared" si="209"/>
        <v/>
      </c>
      <c r="AB141" s="43" t="str">
        <f t="shared" si="209"/>
        <v/>
      </c>
      <c r="AC141" s="43" t="str">
        <f t="shared" si="209"/>
        <v/>
      </c>
      <c r="AD141" s="43" t="str">
        <f t="shared" si="209"/>
        <v/>
      </c>
      <c r="AE141" s="43" t="str">
        <f t="shared" si="209"/>
        <v/>
      </c>
      <c r="AF141" s="43" t="str">
        <f t="shared" si="209"/>
        <v/>
      </c>
      <c r="AG141" s="43" t="str">
        <f t="shared" si="209"/>
        <v/>
      </c>
      <c r="AH141" s="43" t="str">
        <f t="shared" si="209"/>
        <v/>
      </c>
    </row>
    <row r="142" spans="1:36" x14ac:dyDescent="0.35">
      <c r="B142" s="52" t="str">
        <f t="shared" si="196"/>
        <v>cfsea</v>
      </c>
      <c r="C142" s="52">
        <f t="shared" si="208"/>
        <v>0.9</v>
      </c>
      <c r="D142" s="52">
        <f t="shared" si="208"/>
        <v>0.9</v>
      </c>
      <c r="E142" s="52">
        <f t="shared" si="208"/>
        <v>0.9</v>
      </c>
      <c r="F142" s="52">
        <f t="shared" si="208"/>
        <v>0.9</v>
      </c>
      <c r="G142" s="52">
        <f t="shared" si="208"/>
        <v>0.9</v>
      </c>
      <c r="H142" s="52">
        <f t="shared" si="208"/>
        <v>0.9</v>
      </c>
      <c r="I142" s="52">
        <f t="shared" si="208"/>
        <v>0.9</v>
      </c>
      <c r="J142" s="52">
        <f t="shared" si="208"/>
        <v>0.9</v>
      </c>
      <c r="K142" s="52">
        <f t="shared" si="208"/>
        <v>0.9</v>
      </c>
      <c r="L142" s="52">
        <f t="shared" si="208"/>
        <v>0.9</v>
      </c>
      <c r="M142" s="52">
        <f t="shared" si="208"/>
        <v>0.9</v>
      </c>
      <c r="N142" s="52">
        <f t="shared" si="208"/>
        <v>0.9</v>
      </c>
      <c r="O142" s="52">
        <f t="shared" si="208"/>
        <v>0.9</v>
      </c>
      <c r="P142" s="52">
        <f t="shared" si="208"/>
        <v>0.9</v>
      </c>
      <c r="Q142" s="52">
        <f t="shared" si="208"/>
        <v>0.9</v>
      </c>
      <c r="S142" s="52" t="str">
        <f t="shared" si="197"/>
        <v>afsea</v>
      </c>
      <c r="T142" s="52" t="str">
        <f t="shared" si="209"/>
        <v/>
      </c>
      <c r="U142" s="52" t="str">
        <f t="shared" si="209"/>
        <v/>
      </c>
      <c r="V142" s="52" t="str">
        <f t="shared" si="209"/>
        <v/>
      </c>
      <c r="W142" s="52" t="str">
        <f t="shared" si="209"/>
        <v/>
      </c>
      <c r="X142" s="52" t="str">
        <f t="shared" si="209"/>
        <v/>
      </c>
      <c r="Y142" s="52" t="str">
        <f t="shared" si="209"/>
        <v/>
      </c>
      <c r="Z142" s="52" t="str">
        <f t="shared" si="209"/>
        <v/>
      </c>
      <c r="AA142" s="52" t="str">
        <f t="shared" si="209"/>
        <v/>
      </c>
      <c r="AB142" s="52" t="str">
        <f t="shared" si="209"/>
        <v/>
      </c>
      <c r="AC142" s="52" t="str">
        <f t="shared" si="209"/>
        <v/>
      </c>
      <c r="AD142" s="52" t="str">
        <f t="shared" si="209"/>
        <v/>
      </c>
      <c r="AE142" s="52" t="str">
        <f t="shared" si="209"/>
        <v/>
      </c>
      <c r="AF142" s="52" t="str">
        <f t="shared" si="209"/>
        <v/>
      </c>
      <c r="AG142" s="52" t="str">
        <f t="shared" si="209"/>
        <v/>
      </c>
      <c r="AH142" s="52" t="str">
        <f t="shared" si="209"/>
        <v/>
      </c>
    </row>
    <row r="143" spans="1:36" x14ac:dyDescent="0.35">
      <c r="B143" s="43" t="str">
        <f t="shared" si="196"/>
        <v>cmilk</v>
      </c>
      <c r="C143" s="43">
        <f t="shared" ref="C143:Q144" si="210">IF(AM60&gt;0,T$108,"")</f>
        <v>0.8</v>
      </c>
      <c r="D143" s="43">
        <f t="shared" si="210"/>
        <v>0.8</v>
      </c>
      <c r="E143" s="43">
        <f t="shared" si="210"/>
        <v>0.8</v>
      </c>
      <c r="F143" s="43">
        <f t="shared" si="210"/>
        <v>0.8</v>
      </c>
      <c r="G143" s="43">
        <f t="shared" si="210"/>
        <v>0.8</v>
      </c>
      <c r="H143" s="43">
        <f t="shared" si="210"/>
        <v>0.8</v>
      </c>
      <c r="I143" s="43">
        <f t="shared" si="210"/>
        <v>0.8</v>
      </c>
      <c r="J143" s="43">
        <f t="shared" si="210"/>
        <v>0.8</v>
      </c>
      <c r="K143" s="43">
        <f t="shared" si="210"/>
        <v>0.8</v>
      </c>
      <c r="L143" s="43">
        <f t="shared" si="210"/>
        <v>0.8</v>
      </c>
      <c r="M143" s="43">
        <f t="shared" si="210"/>
        <v>0.8</v>
      </c>
      <c r="N143" s="43">
        <f t="shared" si="210"/>
        <v>0.8</v>
      </c>
      <c r="O143" s="43">
        <f t="shared" si="210"/>
        <v>0.8</v>
      </c>
      <c r="P143" s="43">
        <f t="shared" si="210"/>
        <v>0.8</v>
      </c>
      <c r="Q143" s="43">
        <f t="shared" si="210"/>
        <v>0.8</v>
      </c>
      <c r="S143" s="43" t="str">
        <f t="shared" si="197"/>
        <v>amilk</v>
      </c>
      <c r="T143" s="43">
        <f t="shared" ref="T143:AH144" si="211">IF(BD60&gt;0,T$108,"")</f>
        <v>0.8</v>
      </c>
      <c r="U143" s="43">
        <f t="shared" si="211"/>
        <v>0.8</v>
      </c>
      <c r="V143" s="43">
        <f t="shared" si="211"/>
        <v>0.8</v>
      </c>
      <c r="W143" s="43">
        <f t="shared" si="211"/>
        <v>0.8</v>
      </c>
      <c r="X143" s="43">
        <f t="shared" si="211"/>
        <v>0.8</v>
      </c>
      <c r="Y143" s="43" t="str">
        <f t="shared" si="211"/>
        <v/>
      </c>
      <c r="Z143" s="43" t="str">
        <f t="shared" si="211"/>
        <v/>
      </c>
      <c r="AA143" s="43" t="str">
        <f t="shared" si="211"/>
        <v/>
      </c>
      <c r="AB143" s="43" t="str">
        <f t="shared" si="211"/>
        <v/>
      </c>
      <c r="AC143" s="43" t="str">
        <f t="shared" si="211"/>
        <v/>
      </c>
      <c r="AD143" s="43" t="str">
        <f t="shared" si="211"/>
        <v/>
      </c>
      <c r="AE143" s="43" t="str">
        <f t="shared" si="211"/>
        <v/>
      </c>
      <c r="AF143" s="43" t="str">
        <f t="shared" si="211"/>
        <v/>
      </c>
      <c r="AG143" s="43" t="str">
        <f t="shared" si="211"/>
        <v/>
      </c>
      <c r="AH143" s="43">
        <f t="shared" si="211"/>
        <v>0.8</v>
      </c>
    </row>
    <row r="144" spans="1:36" x14ac:dyDescent="0.35">
      <c r="B144" s="52" t="str">
        <f t="shared" si="196"/>
        <v>cdair</v>
      </c>
      <c r="C144" s="52">
        <f t="shared" si="210"/>
        <v>0.8</v>
      </c>
      <c r="D144" s="52">
        <f t="shared" si="210"/>
        <v>0.8</v>
      </c>
      <c r="E144" s="52">
        <f t="shared" si="210"/>
        <v>0.8</v>
      </c>
      <c r="F144" s="52">
        <f t="shared" si="210"/>
        <v>0.8</v>
      </c>
      <c r="G144" s="52">
        <f t="shared" si="210"/>
        <v>0.8</v>
      </c>
      <c r="H144" s="52">
        <f t="shared" si="210"/>
        <v>0.8</v>
      </c>
      <c r="I144" s="52">
        <f t="shared" si="210"/>
        <v>0.8</v>
      </c>
      <c r="J144" s="52">
        <f t="shared" si="210"/>
        <v>0.8</v>
      </c>
      <c r="K144" s="52">
        <f t="shared" si="210"/>
        <v>0.8</v>
      </c>
      <c r="L144" s="52">
        <f t="shared" si="210"/>
        <v>0.8</v>
      </c>
      <c r="M144" s="52">
        <f t="shared" si="210"/>
        <v>0.8</v>
      </c>
      <c r="N144" s="52">
        <f t="shared" si="210"/>
        <v>0.8</v>
      </c>
      <c r="O144" s="52">
        <f t="shared" si="210"/>
        <v>0.8</v>
      </c>
      <c r="P144" s="52">
        <f t="shared" si="210"/>
        <v>0.8</v>
      </c>
      <c r="Q144" s="52">
        <f t="shared" si="210"/>
        <v>0.8</v>
      </c>
      <c r="S144" s="52" t="str">
        <f t="shared" si="197"/>
        <v>adair</v>
      </c>
      <c r="T144" s="52" t="str">
        <f t="shared" si="211"/>
        <v/>
      </c>
      <c r="U144" s="52" t="str">
        <f t="shared" si="211"/>
        <v/>
      </c>
      <c r="V144" s="52" t="str">
        <f t="shared" si="211"/>
        <v/>
      </c>
      <c r="W144" s="52" t="str">
        <f t="shared" si="211"/>
        <v/>
      </c>
      <c r="X144" s="52" t="str">
        <f t="shared" si="211"/>
        <v/>
      </c>
      <c r="Y144" s="52" t="str">
        <f t="shared" si="211"/>
        <v/>
      </c>
      <c r="Z144" s="52" t="str">
        <f t="shared" si="211"/>
        <v/>
      </c>
      <c r="AA144" s="52" t="str">
        <f t="shared" si="211"/>
        <v/>
      </c>
      <c r="AB144" s="52" t="str">
        <f t="shared" si="211"/>
        <v/>
      </c>
      <c r="AC144" s="52" t="str">
        <f t="shared" si="211"/>
        <v/>
      </c>
      <c r="AD144" s="52" t="str">
        <f t="shared" si="211"/>
        <v/>
      </c>
      <c r="AE144" s="52" t="str">
        <f t="shared" si="211"/>
        <v/>
      </c>
      <c r="AF144" s="52" t="str">
        <f t="shared" si="211"/>
        <v/>
      </c>
      <c r="AG144" s="52" t="str">
        <f t="shared" si="211"/>
        <v/>
      </c>
      <c r="AH144" s="52" t="str">
        <f t="shared" si="211"/>
        <v/>
      </c>
    </row>
    <row r="145" spans="2:34" x14ac:dyDescent="0.35">
      <c r="B145" s="43" t="str">
        <f t="shared" si="196"/>
        <v>coils</v>
      </c>
      <c r="C145" s="43">
        <f t="shared" ref="C145:Q146" si="212">IF(AM62&gt;0,T$109,"")</f>
        <v>0.8</v>
      </c>
      <c r="D145" s="43">
        <f t="shared" si="212"/>
        <v>0.8</v>
      </c>
      <c r="E145" s="43">
        <f t="shared" si="212"/>
        <v>0.8</v>
      </c>
      <c r="F145" s="43">
        <f t="shared" si="212"/>
        <v>0.8</v>
      </c>
      <c r="G145" s="43">
        <f t="shared" si="212"/>
        <v>0.8</v>
      </c>
      <c r="H145" s="43">
        <f t="shared" si="212"/>
        <v>0.8</v>
      </c>
      <c r="I145" s="43">
        <f t="shared" si="212"/>
        <v>0.8</v>
      </c>
      <c r="J145" s="43">
        <f t="shared" si="212"/>
        <v>0.8</v>
      </c>
      <c r="K145" s="43">
        <f t="shared" si="212"/>
        <v>0.8</v>
      </c>
      <c r="L145" s="43">
        <f t="shared" si="212"/>
        <v>0.8</v>
      </c>
      <c r="M145" s="43">
        <f t="shared" si="212"/>
        <v>0.8</v>
      </c>
      <c r="N145" s="43">
        <f t="shared" si="212"/>
        <v>0.8</v>
      </c>
      <c r="O145" s="43">
        <f t="shared" si="212"/>
        <v>0.8</v>
      </c>
      <c r="P145" s="43">
        <f t="shared" si="212"/>
        <v>0.8</v>
      </c>
      <c r="Q145" s="43">
        <f t="shared" si="212"/>
        <v>0.8</v>
      </c>
      <c r="S145" s="43" t="str">
        <f t="shared" si="197"/>
        <v>aoils</v>
      </c>
      <c r="T145" s="43">
        <f t="shared" ref="T145:AH146" si="213">IF(BD62&gt;0,T$109,"")</f>
        <v>0.8</v>
      </c>
      <c r="U145" s="43">
        <f t="shared" si="213"/>
        <v>0.8</v>
      </c>
      <c r="V145" s="43">
        <f t="shared" si="213"/>
        <v>0.8</v>
      </c>
      <c r="W145" s="43">
        <f t="shared" si="213"/>
        <v>0.8</v>
      </c>
      <c r="X145" s="43">
        <f t="shared" si="213"/>
        <v>0.8</v>
      </c>
      <c r="Y145" s="43" t="str">
        <f t="shared" si="213"/>
        <v/>
      </c>
      <c r="Z145" s="43" t="str">
        <f t="shared" si="213"/>
        <v/>
      </c>
      <c r="AA145" s="43" t="str">
        <f t="shared" si="213"/>
        <v/>
      </c>
      <c r="AB145" s="43" t="str">
        <f t="shared" si="213"/>
        <v/>
      </c>
      <c r="AC145" s="43" t="str">
        <f t="shared" si="213"/>
        <v/>
      </c>
      <c r="AD145" s="43" t="str">
        <f t="shared" si="213"/>
        <v/>
      </c>
      <c r="AE145" s="43" t="str">
        <f t="shared" si="213"/>
        <v/>
      </c>
      <c r="AF145" s="43">
        <f t="shared" si="213"/>
        <v>0.8</v>
      </c>
      <c r="AG145" s="43">
        <f t="shared" si="213"/>
        <v>0.8</v>
      </c>
      <c r="AH145" s="43">
        <f t="shared" si="213"/>
        <v>0.8</v>
      </c>
    </row>
    <row r="146" spans="2:34" x14ac:dyDescent="0.35">
      <c r="B146" s="52" t="str">
        <f t="shared" si="196"/>
        <v>cfoil</v>
      </c>
      <c r="C146" s="52">
        <f t="shared" si="212"/>
        <v>0.8</v>
      </c>
      <c r="D146" s="52">
        <f t="shared" si="212"/>
        <v>0.8</v>
      </c>
      <c r="E146" s="52">
        <f t="shared" si="212"/>
        <v>0.8</v>
      </c>
      <c r="F146" s="52">
        <f t="shared" si="212"/>
        <v>0.8</v>
      </c>
      <c r="G146" s="52">
        <f t="shared" si="212"/>
        <v>0.8</v>
      </c>
      <c r="H146" s="52">
        <f t="shared" si="212"/>
        <v>0.8</v>
      </c>
      <c r="I146" s="52">
        <f t="shared" si="212"/>
        <v>0.8</v>
      </c>
      <c r="J146" s="52">
        <f t="shared" si="212"/>
        <v>0.8</v>
      </c>
      <c r="K146" s="52">
        <f t="shared" si="212"/>
        <v>0.8</v>
      </c>
      <c r="L146" s="52">
        <f t="shared" si="212"/>
        <v>0.8</v>
      </c>
      <c r="M146" s="52">
        <f t="shared" si="212"/>
        <v>0.8</v>
      </c>
      <c r="N146" s="52">
        <f t="shared" si="212"/>
        <v>0.8</v>
      </c>
      <c r="O146" s="52">
        <f t="shared" si="212"/>
        <v>0.8</v>
      </c>
      <c r="P146" s="52">
        <f t="shared" si="212"/>
        <v>0.8</v>
      </c>
      <c r="Q146" s="52">
        <f t="shared" si="212"/>
        <v>0.8</v>
      </c>
      <c r="S146" s="52" t="str">
        <f t="shared" si="197"/>
        <v>afoil</v>
      </c>
      <c r="T146" s="52" t="str">
        <f t="shared" si="213"/>
        <v/>
      </c>
      <c r="U146" s="52" t="str">
        <f t="shared" si="213"/>
        <v/>
      </c>
      <c r="V146" s="52" t="str">
        <f t="shared" si="213"/>
        <v/>
      </c>
      <c r="W146" s="52" t="str">
        <f t="shared" si="213"/>
        <v/>
      </c>
      <c r="X146" s="52" t="str">
        <f t="shared" si="213"/>
        <v/>
      </c>
      <c r="Y146" s="52" t="str">
        <f t="shared" si="213"/>
        <v/>
      </c>
      <c r="Z146" s="52" t="str">
        <f t="shared" si="213"/>
        <v/>
      </c>
      <c r="AA146" s="52" t="str">
        <f t="shared" si="213"/>
        <v/>
      </c>
      <c r="AB146" s="52" t="str">
        <f t="shared" si="213"/>
        <v/>
      </c>
      <c r="AC146" s="52" t="str">
        <f t="shared" si="213"/>
        <v/>
      </c>
      <c r="AD146" s="52" t="str">
        <f t="shared" si="213"/>
        <v/>
      </c>
      <c r="AE146" s="52" t="str">
        <f t="shared" si="213"/>
        <v/>
      </c>
      <c r="AF146" s="52" t="str">
        <f t="shared" si="213"/>
        <v/>
      </c>
      <c r="AG146" s="52" t="str">
        <f t="shared" si="213"/>
        <v/>
      </c>
      <c r="AH146" s="52" t="str">
        <f t="shared" si="213"/>
        <v/>
      </c>
    </row>
    <row r="147" spans="2:34" x14ac:dyDescent="0.35">
      <c r="B147" s="43" t="str">
        <f t="shared" si="196"/>
        <v>cfobe</v>
      </c>
      <c r="C147" s="43">
        <f t="shared" ref="C147:Q147" si="214">IF(AM64&gt;0,T$110,"")</f>
        <v>1.5</v>
      </c>
      <c r="D147" s="43">
        <f t="shared" si="214"/>
        <v>1.5</v>
      </c>
      <c r="E147" s="43">
        <f t="shared" si="214"/>
        <v>1.5</v>
      </c>
      <c r="F147" s="43">
        <f t="shared" si="214"/>
        <v>1.5</v>
      </c>
      <c r="G147" s="43">
        <f t="shared" si="214"/>
        <v>1.5</v>
      </c>
      <c r="H147" s="43">
        <f t="shared" si="214"/>
        <v>1.5</v>
      </c>
      <c r="I147" s="43">
        <f t="shared" si="214"/>
        <v>1.5</v>
      </c>
      <c r="J147" s="43">
        <f t="shared" si="214"/>
        <v>1.5</v>
      </c>
      <c r="K147" s="43">
        <f t="shared" si="214"/>
        <v>1.5</v>
      </c>
      <c r="L147" s="43">
        <f t="shared" si="214"/>
        <v>1.5</v>
      </c>
      <c r="M147" s="43">
        <f t="shared" si="214"/>
        <v>1.5</v>
      </c>
      <c r="N147" s="43">
        <f t="shared" si="214"/>
        <v>1.5</v>
      </c>
      <c r="O147" s="43">
        <f t="shared" si="214"/>
        <v>1.5</v>
      </c>
      <c r="P147" s="43">
        <f t="shared" si="214"/>
        <v>1.5</v>
      </c>
      <c r="Q147" s="43">
        <f t="shared" si="214"/>
        <v>1.5</v>
      </c>
      <c r="S147" s="43" t="str">
        <f t="shared" si="197"/>
        <v>afobe</v>
      </c>
      <c r="T147" s="43">
        <f t="shared" ref="T147:AH147" si="215">IF(BD64&gt;0,T$110,"")</f>
        <v>1.5</v>
      </c>
      <c r="U147" s="43">
        <f t="shared" si="215"/>
        <v>1.5</v>
      </c>
      <c r="V147" s="43">
        <f t="shared" si="215"/>
        <v>1.5</v>
      </c>
      <c r="W147" s="43">
        <f t="shared" si="215"/>
        <v>1.5</v>
      </c>
      <c r="X147" s="43">
        <f t="shared" si="215"/>
        <v>1.5</v>
      </c>
      <c r="Y147" s="43" t="str">
        <f t="shared" si="215"/>
        <v/>
      </c>
      <c r="Z147" s="43" t="str">
        <f t="shared" si="215"/>
        <v/>
      </c>
      <c r="AA147" s="43" t="str">
        <f t="shared" si="215"/>
        <v/>
      </c>
      <c r="AB147" s="43" t="str">
        <f t="shared" si="215"/>
        <v/>
      </c>
      <c r="AC147" s="43" t="str">
        <f t="shared" si="215"/>
        <v/>
      </c>
      <c r="AD147" s="43">
        <f t="shared" si="215"/>
        <v>1.5</v>
      </c>
      <c r="AE147" s="43">
        <f t="shared" si="215"/>
        <v>1.5</v>
      </c>
      <c r="AF147" s="43">
        <f t="shared" si="215"/>
        <v>1.5</v>
      </c>
      <c r="AG147" s="43">
        <f t="shared" si="215"/>
        <v>1.5</v>
      </c>
      <c r="AH147" s="43">
        <f t="shared" si="215"/>
        <v>1.5</v>
      </c>
    </row>
    <row r="148" spans="2:34" x14ac:dyDescent="0.35">
      <c r="B148" s="43" t="str">
        <f t="shared" si="196"/>
        <v>ctext</v>
      </c>
      <c r="C148" s="43">
        <f t="shared" ref="C148:Q148" si="216">IF(AM65&gt;0,T$111,"")</f>
        <v>1</v>
      </c>
      <c r="D148" s="43">
        <f t="shared" si="216"/>
        <v>1</v>
      </c>
      <c r="E148" s="43">
        <f t="shared" si="216"/>
        <v>1</v>
      </c>
      <c r="F148" s="43">
        <f t="shared" si="216"/>
        <v>1</v>
      </c>
      <c r="G148" s="43">
        <f t="shared" si="216"/>
        <v>1</v>
      </c>
      <c r="H148" s="43">
        <f t="shared" si="216"/>
        <v>1</v>
      </c>
      <c r="I148" s="43">
        <f t="shared" si="216"/>
        <v>1</v>
      </c>
      <c r="J148" s="43">
        <f t="shared" si="216"/>
        <v>1</v>
      </c>
      <c r="K148" s="43">
        <f t="shared" si="216"/>
        <v>1</v>
      </c>
      <c r="L148" s="43">
        <f t="shared" si="216"/>
        <v>1</v>
      </c>
      <c r="M148" s="43">
        <f t="shared" si="216"/>
        <v>1</v>
      </c>
      <c r="N148" s="43">
        <f t="shared" si="216"/>
        <v>1</v>
      </c>
      <c r="O148" s="43">
        <f t="shared" si="216"/>
        <v>1</v>
      </c>
      <c r="P148" s="43">
        <f t="shared" si="216"/>
        <v>1</v>
      </c>
      <c r="Q148" s="43">
        <f t="shared" si="216"/>
        <v>1</v>
      </c>
      <c r="S148" s="43" t="str">
        <f t="shared" si="197"/>
        <v>atext</v>
      </c>
      <c r="T148" s="43" t="str">
        <f t="shared" ref="T148:AH148" si="217">IF(BD65&gt;0,T$111,"")</f>
        <v/>
      </c>
      <c r="U148" s="43" t="str">
        <f t="shared" si="217"/>
        <v/>
      </c>
      <c r="V148" s="43" t="str">
        <f t="shared" si="217"/>
        <v/>
      </c>
      <c r="W148" s="43" t="str">
        <f t="shared" si="217"/>
        <v/>
      </c>
      <c r="X148" s="43" t="str">
        <f t="shared" si="217"/>
        <v/>
      </c>
      <c r="Y148" s="43" t="str">
        <f t="shared" si="217"/>
        <v/>
      </c>
      <c r="Z148" s="43" t="str">
        <f t="shared" si="217"/>
        <v/>
      </c>
      <c r="AA148" s="43" t="str">
        <f t="shared" si="217"/>
        <v/>
      </c>
      <c r="AB148" s="43" t="str">
        <f t="shared" si="217"/>
        <v/>
      </c>
      <c r="AC148" s="43" t="str">
        <f t="shared" si="217"/>
        <v/>
      </c>
      <c r="AD148" s="43" t="str">
        <f t="shared" si="217"/>
        <v/>
      </c>
      <c r="AE148" s="43" t="str">
        <f t="shared" si="217"/>
        <v/>
      </c>
      <c r="AF148" s="43" t="str">
        <f t="shared" si="217"/>
        <v/>
      </c>
      <c r="AG148" s="43" t="str">
        <f t="shared" si="217"/>
        <v/>
      </c>
      <c r="AH148" s="43" t="str">
        <f t="shared" si="217"/>
        <v/>
      </c>
    </row>
    <row r="149" spans="2:34" x14ac:dyDescent="0.35">
      <c r="B149" s="58" t="str">
        <f t="shared" si="196"/>
        <v>celec</v>
      </c>
      <c r="C149" s="58">
        <f t="shared" ref="C149:Q150" si="218">IF(AM66&gt;0,T$112,"")</f>
        <v>1</v>
      </c>
      <c r="D149" s="58">
        <f t="shared" si="218"/>
        <v>1</v>
      </c>
      <c r="E149" s="58">
        <f t="shared" si="218"/>
        <v>1</v>
      </c>
      <c r="F149" s="58">
        <f t="shared" si="218"/>
        <v>1</v>
      </c>
      <c r="G149" s="58">
        <f t="shared" si="218"/>
        <v>1</v>
      </c>
      <c r="H149" s="58">
        <f t="shared" si="218"/>
        <v>1</v>
      </c>
      <c r="I149" s="58">
        <f t="shared" si="218"/>
        <v>1</v>
      </c>
      <c r="J149" s="58">
        <f t="shared" si="218"/>
        <v>1</v>
      </c>
      <c r="K149" s="58">
        <f t="shared" si="218"/>
        <v>1</v>
      </c>
      <c r="L149" s="58">
        <f t="shared" si="218"/>
        <v>1</v>
      </c>
      <c r="M149" s="58">
        <f t="shared" si="218"/>
        <v>1</v>
      </c>
      <c r="N149" s="58">
        <f t="shared" si="218"/>
        <v>1</v>
      </c>
      <c r="O149" s="58">
        <f t="shared" si="218"/>
        <v>1</v>
      </c>
      <c r="P149" s="58">
        <f t="shared" si="218"/>
        <v>1</v>
      </c>
      <c r="Q149" s="58">
        <f t="shared" si="218"/>
        <v>1</v>
      </c>
      <c r="S149" s="58" t="str">
        <f t="shared" si="197"/>
        <v>aelec</v>
      </c>
      <c r="T149" s="58" t="str">
        <f t="shared" ref="T149:AH150" si="219">IF(BD66&gt;0,T$112,"")</f>
        <v/>
      </c>
      <c r="U149" s="58" t="str">
        <f t="shared" si="219"/>
        <v/>
      </c>
      <c r="V149" s="58" t="str">
        <f t="shared" si="219"/>
        <v/>
      </c>
      <c r="W149" s="58" t="str">
        <f t="shared" si="219"/>
        <v/>
      </c>
      <c r="X149" s="58" t="str">
        <f t="shared" si="219"/>
        <v/>
      </c>
      <c r="Y149" s="58" t="str">
        <f t="shared" si="219"/>
        <v/>
      </c>
      <c r="Z149" s="58" t="str">
        <f t="shared" si="219"/>
        <v/>
      </c>
      <c r="AA149" s="58" t="str">
        <f t="shared" si="219"/>
        <v/>
      </c>
      <c r="AB149" s="58" t="str">
        <f t="shared" si="219"/>
        <v/>
      </c>
      <c r="AC149" s="58" t="str">
        <f t="shared" si="219"/>
        <v/>
      </c>
      <c r="AD149" s="58" t="str">
        <f t="shared" si="219"/>
        <v/>
      </c>
      <c r="AE149" s="58" t="str">
        <f t="shared" si="219"/>
        <v/>
      </c>
      <c r="AF149" s="58" t="str">
        <f t="shared" si="219"/>
        <v/>
      </c>
      <c r="AG149" s="58" t="str">
        <f t="shared" si="219"/>
        <v/>
      </c>
      <c r="AH149" s="58" t="str">
        <f t="shared" si="219"/>
        <v/>
      </c>
    </row>
    <row r="150" spans="2:34" x14ac:dyDescent="0.35">
      <c r="B150" s="52" t="str">
        <f t="shared" si="196"/>
        <v>cwatr</v>
      </c>
      <c r="C150" s="52">
        <f t="shared" si="218"/>
        <v>1</v>
      </c>
      <c r="D150" s="52">
        <f t="shared" si="218"/>
        <v>1</v>
      </c>
      <c r="E150" s="52">
        <f t="shared" si="218"/>
        <v>1</v>
      </c>
      <c r="F150" s="52">
        <f t="shared" si="218"/>
        <v>1</v>
      </c>
      <c r="G150" s="52">
        <f t="shared" si="218"/>
        <v>1</v>
      </c>
      <c r="H150" s="52">
        <f t="shared" si="218"/>
        <v>1</v>
      </c>
      <c r="I150" s="52">
        <f t="shared" si="218"/>
        <v>1</v>
      </c>
      <c r="J150" s="52">
        <f t="shared" si="218"/>
        <v>1</v>
      </c>
      <c r="K150" s="52">
        <f t="shared" si="218"/>
        <v>1</v>
      </c>
      <c r="L150" s="52">
        <f t="shared" si="218"/>
        <v>1</v>
      </c>
      <c r="M150" s="52">
        <f t="shared" si="218"/>
        <v>1</v>
      </c>
      <c r="N150" s="52">
        <f t="shared" si="218"/>
        <v>1</v>
      </c>
      <c r="O150" s="52">
        <f t="shared" si="218"/>
        <v>1</v>
      </c>
      <c r="P150" s="52">
        <f t="shared" si="218"/>
        <v>1</v>
      </c>
      <c r="Q150" s="52">
        <f t="shared" si="218"/>
        <v>1</v>
      </c>
      <c r="S150" s="52" t="str">
        <f t="shared" si="197"/>
        <v>awatr</v>
      </c>
      <c r="T150" s="52" t="str">
        <f t="shared" si="219"/>
        <v/>
      </c>
      <c r="U150" s="52" t="str">
        <f t="shared" si="219"/>
        <v/>
      </c>
      <c r="V150" s="52" t="str">
        <f t="shared" si="219"/>
        <v/>
      </c>
      <c r="W150" s="52" t="str">
        <f t="shared" si="219"/>
        <v/>
      </c>
      <c r="X150" s="52" t="str">
        <f t="shared" si="219"/>
        <v/>
      </c>
      <c r="Y150" s="52" t="str">
        <f t="shared" si="219"/>
        <v/>
      </c>
      <c r="Z150" s="52" t="str">
        <f t="shared" si="219"/>
        <v/>
      </c>
      <c r="AA150" s="52" t="str">
        <f t="shared" si="219"/>
        <v/>
      </c>
      <c r="AB150" s="52" t="str">
        <f t="shared" si="219"/>
        <v/>
      </c>
      <c r="AC150" s="52" t="str">
        <f t="shared" si="219"/>
        <v/>
      </c>
      <c r="AD150" s="52" t="str">
        <f t="shared" si="219"/>
        <v/>
      </c>
      <c r="AE150" s="52" t="str">
        <f t="shared" si="219"/>
        <v/>
      </c>
      <c r="AF150" s="52" t="str">
        <f t="shared" si="219"/>
        <v/>
      </c>
      <c r="AG150" s="52" t="str">
        <f t="shared" si="219"/>
        <v/>
      </c>
      <c r="AH150" s="52" t="str">
        <f t="shared" si="219"/>
        <v/>
      </c>
    </row>
    <row r="151" spans="2:34" x14ac:dyDescent="0.35">
      <c r="B151" s="55" t="str">
        <f t="shared" si="196"/>
        <v>creal</v>
      </c>
      <c r="C151" s="55">
        <f t="shared" ref="C151:Q151" si="220">IF(AM68&gt;0,T$113,"")</f>
        <v>0.8</v>
      </c>
      <c r="D151" s="55">
        <f t="shared" si="220"/>
        <v>0.8</v>
      </c>
      <c r="E151" s="55">
        <f t="shared" si="220"/>
        <v>0.8</v>
      </c>
      <c r="F151" s="55">
        <f t="shared" si="220"/>
        <v>0.8</v>
      </c>
      <c r="G151" s="55">
        <f t="shared" si="220"/>
        <v>0.8</v>
      </c>
      <c r="H151" s="55">
        <f t="shared" si="220"/>
        <v>0.8</v>
      </c>
      <c r="I151" s="55">
        <f t="shared" si="220"/>
        <v>0.8</v>
      </c>
      <c r="J151" s="55">
        <f t="shared" si="220"/>
        <v>0.8</v>
      </c>
      <c r="K151" s="55">
        <f t="shared" si="220"/>
        <v>0.8</v>
      </c>
      <c r="L151" s="55">
        <f t="shared" si="220"/>
        <v>0.8</v>
      </c>
      <c r="M151" s="55">
        <f t="shared" si="220"/>
        <v>0.8</v>
      </c>
      <c r="N151" s="55">
        <f t="shared" si="220"/>
        <v>0.8</v>
      </c>
      <c r="O151" s="55">
        <f t="shared" si="220"/>
        <v>0.8</v>
      </c>
      <c r="P151" s="55">
        <f t="shared" si="220"/>
        <v>0.8</v>
      </c>
      <c r="Q151" s="55">
        <f t="shared" si="220"/>
        <v>0.8</v>
      </c>
      <c r="S151" s="55" t="str">
        <f t="shared" si="197"/>
        <v>areal</v>
      </c>
      <c r="T151" s="55" t="str">
        <f t="shared" ref="T151:AH151" si="221">IF(BD68&gt;0,T$113,"")</f>
        <v/>
      </c>
      <c r="U151" s="55" t="str">
        <f t="shared" si="221"/>
        <v/>
      </c>
      <c r="V151" s="55" t="str">
        <f t="shared" si="221"/>
        <v/>
      </c>
      <c r="W151" s="55" t="str">
        <f t="shared" si="221"/>
        <v/>
      </c>
      <c r="X151" s="55" t="str">
        <f t="shared" si="221"/>
        <v/>
      </c>
      <c r="Y151" s="55" t="str">
        <f t="shared" si="221"/>
        <v/>
      </c>
      <c r="Z151" s="55" t="str">
        <f t="shared" si="221"/>
        <v/>
      </c>
      <c r="AA151" s="55" t="str">
        <f t="shared" si="221"/>
        <v/>
      </c>
      <c r="AB151" s="55" t="str">
        <f t="shared" si="221"/>
        <v/>
      </c>
      <c r="AC151" s="55" t="str">
        <f t="shared" si="221"/>
        <v/>
      </c>
      <c r="AD151" s="55" t="str">
        <f t="shared" si="221"/>
        <v/>
      </c>
      <c r="AE151" s="55" t="str">
        <f t="shared" si="221"/>
        <v/>
      </c>
      <c r="AF151" s="55" t="str">
        <f t="shared" si="221"/>
        <v/>
      </c>
      <c r="AG151" s="55" t="str">
        <f t="shared" si="221"/>
        <v/>
      </c>
      <c r="AH151" s="55" t="str">
        <f t="shared" si="221"/>
        <v/>
      </c>
    </row>
    <row r="152" spans="2:34" x14ac:dyDescent="0.35">
      <c r="B152" s="43" t="str">
        <f t="shared" si="196"/>
        <v>ceduc</v>
      </c>
      <c r="C152" s="43">
        <f t="shared" ref="C152:Q154" si="222">IF(AM69&gt;0,T$114,"")</f>
        <v>1</v>
      </c>
      <c r="D152" s="43">
        <f t="shared" si="222"/>
        <v>1</v>
      </c>
      <c r="E152" s="43">
        <f t="shared" si="222"/>
        <v>1</v>
      </c>
      <c r="F152" s="43">
        <f t="shared" si="222"/>
        <v>1</v>
      </c>
      <c r="G152" s="43">
        <f t="shared" si="222"/>
        <v>1</v>
      </c>
      <c r="H152" s="43">
        <f t="shared" si="222"/>
        <v>1</v>
      </c>
      <c r="I152" s="43">
        <f t="shared" si="222"/>
        <v>1</v>
      </c>
      <c r="J152" s="43">
        <f t="shared" si="222"/>
        <v>1</v>
      </c>
      <c r="K152" s="43">
        <f t="shared" si="222"/>
        <v>1</v>
      </c>
      <c r="L152" s="43">
        <f t="shared" si="222"/>
        <v>1</v>
      </c>
      <c r="M152" s="43">
        <f t="shared" si="222"/>
        <v>1</v>
      </c>
      <c r="N152" s="43">
        <f t="shared" si="222"/>
        <v>1</v>
      </c>
      <c r="O152" s="43">
        <f t="shared" si="222"/>
        <v>1</v>
      </c>
      <c r="P152" s="43">
        <f t="shared" si="222"/>
        <v>1</v>
      </c>
      <c r="Q152" s="43">
        <f t="shared" si="222"/>
        <v>1</v>
      </c>
      <c r="S152" s="43" t="str">
        <f t="shared" si="197"/>
        <v>aeduc</v>
      </c>
      <c r="T152" s="43" t="str">
        <f t="shared" ref="T152:AH154" si="223">IF(BD69&gt;0,T$114,"")</f>
        <v/>
      </c>
      <c r="U152" s="43" t="str">
        <f t="shared" si="223"/>
        <v/>
      </c>
      <c r="V152" s="43" t="str">
        <f t="shared" si="223"/>
        <v/>
      </c>
      <c r="W152" s="43" t="str">
        <f t="shared" si="223"/>
        <v/>
      </c>
      <c r="X152" s="43" t="str">
        <f t="shared" si="223"/>
        <v/>
      </c>
      <c r="Y152" s="43" t="str">
        <f t="shared" si="223"/>
        <v/>
      </c>
      <c r="Z152" s="43" t="str">
        <f t="shared" si="223"/>
        <v/>
      </c>
      <c r="AA152" s="43" t="str">
        <f t="shared" si="223"/>
        <v/>
      </c>
      <c r="AB152" s="43" t="str">
        <f t="shared" si="223"/>
        <v/>
      </c>
      <c r="AC152" s="43" t="str">
        <f t="shared" si="223"/>
        <v/>
      </c>
      <c r="AD152" s="43" t="str">
        <f t="shared" si="223"/>
        <v/>
      </c>
      <c r="AE152" s="43" t="str">
        <f t="shared" si="223"/>
        <v/>
      </c>
      <c r="AF152" s="43" t="str">
        <f t="shared" si="223"/>
        <v/>
      </c>
      <c r="AG152" s="43" t="str">
        <f t="shared" si="223"/>
        <v/>
      </c>
      <c r="AH152" s="43" t="str">
        <f t="shared" si="223"/>
        <v/>
      </c>
    </row>
    <row r="153" spans="2:34" x14ac:dyDescent="0.35">
      <c r="B153" s="43" t="str">
        <f t="shared" si="196"/>
        <v>cheal</v>
      </c>
      <c r="C153" s="43">
        <f t="shared" si="222"/>
        <v>1</v>
      </c>
      <c r="D153" s="43">
        <f t="shared" si="222"/>
        <v>1</v>
      </c>
      <c r="E153" s="43">
        <f t="shared" si="222"/>
        <v>1</v>
      </c>
      <c r="F153" s="43">
        <f t="shared" si="222"/>
        <v>1</v>
      </c>
      <c r="G153" s="43">
        <f t="shared" si="222"/>
        <v>1</v>
      </c>
      <c r="H153" s="43">
        <f t="shared" si="222"/>
        <v>1</v>
      </c>
      <c r="I153" s="43">
        <f t="shared" si="222"/>
        <v>1</v>
      </c>
      <c r="J153" s="43">
        <f t="shared" si="222"/>
        <v>1</v>
      </c>
      <c r="K153" s="43">
        <f t="shared" si="222"/>
        <v>1</v>
      </c>
      <c r="L153" s="43">
        <f t="shared" si="222"/>
        <v>1</v>
      </c>
      <c r="M153" s="43">
        <f t="shared" si="222"/>
        <v>1</v>
      </c>
      <c r="N153" s="43">
        <f t="shared" si="222"/>
        <v>1</v>
      </c>
      <c r="O153" s="43">
        <f t="shared" si="222"/>
        <v>1</v>
      </c>
      <c r="P153" s="43">
        <f t="shared" si="222"/>
        <v>1</v>
      </c>
      <c r="Q153" s="43">
        <f t="shared" si="222"/>
        <v>1</v>
      </c>
      <c r="S153" s="43" t="str">
        <f t="shared" si="197"/>
        <v>aheal</v>
      </c>
      <c r="T153" s="43" t="str">
        <f t="shared" si="223"/>
        <v/>
      </c>
      <c r="U153" s="43" t="str">
        <f t="shared" si="223"/>
        <v/>
      </c>
      <c r="V153" s="43" t="str">
        <f t="shared" si="223"/>
        <v/>
      </c>
      <c r="W153" s="43" t="str">
        <f t="shared" si="223"/>
        <v/>
      </c>
      <c r="X153" s="43" t="str">
        <f t="shared" si="223"/>
        <v/>
      </c>
      <c r="Y153" s="43" t="str">
        <f t="shared" si="223"/>
        <v/>
      </c>
      <c r="Z153" s="43" t="str">
        <f t="shared" si="223"/>
        <v/>
      </c>
      <c r="AA153" s="43" t="str">
        <f t="shared" si="223"/>
        <v/>
      </c>
      <c r="AB153" s="43" t="str">
        <f t="shared" si="223"/>
        <v/>
      </c>
      <c r="AC153" s="43" t="str">
        <f t="shared" si="223"/>
        <v/>
      </c>
      <c r="AD153" s="43" t="str">
        <f t="shared" si="223"/>
        <v/>
      </c>
      <c r="AE153" s="43" t="str">
        <f t="shared" si="223"/>
        <v/>
      </c>
      <c r="AF153" s="43" t="str">
        <f t="shared" si="223"/>
        <v/>
      </c>
      <c r="AG153" s="43" t="str">
        <f t="shared" si="223"/>
        <v/>
      </c>
      <c r="AH153" s="43" t="str">
        <f t="shared" si="223"/>
        <v/>
      </c>
    </row>
    <row r="154" spans="2:34" x14ac:dyDescent="0.35">
      <c r="B154" s="52" t="str">
        <f t="shared" si="196"/>
        <v>cpadm</v>
      </c>
      <c r="C154" s="52" t="str">
        <f t="shared" si="222"/>
        <v/>
      </c>
      <c r="D154" s="52" t="str">
        <f t="shared" si="222"/>
        <v/>
      </c>
      <c r="E154" s="52" t="str">
        <f t="shared" si="222"/>
        <v/>
      </c>
      <c r="F154" s="52" t="str">
        <f t="shared" si="222"/>
        <v/>
      </c>
      <c r="G154" s="52" t="str">
        <f t="shared" si="222"/>
        <v/>
      </c>
      <c r="H154" s="52" t="str">
        <f t="shared" si="222"/>
        <v/>
      </c>
      <c r="I154" s="52" t="str">
        <f t="shared" si="222"/>
        <v/>
      </c>
      <c r="J154" s="52" t="str">
        <f t="shared" si="222"/>
        <v/>
      </c>
      <c r="K154" s="52" t="str">
        <f t="shared" si="222"/>
        <v/>
      </c>
      <c r="L154" s="52" t="str">
        <f t="shared" si="222"/>
        <v/>
      </c>
      <c r="M154" s="52" t="str">
        <f t="shared" si="222"/>
        <v/>
      </c>
      <c r="N154" s="52" t="str">
        <f t="shared" si="222"/>
        <v/>
      </c>
      <c r="O154" s="52" t="str">
        <f t="shared" si="222"/>
        <v/>
      </c>
      <c r="P154" s="52" t="str">
        <f t="shared" si="222"/>
        <v/>
      </c>
      <c r="Q154" s="52" t="str">
        <f t="shared" si="222"/>
        <v/>
      </c>
      <c r="S154" s="52" t="str">
        <f t="shared" si="197"/>
        <v>apadm</v>
      </c>
      <c r="T154" s="52" t="str">
        <f t="shared" si="223"/>
        <v/>
      </c>
      <c r="U154" s="52" t="str">
        <f t="shared" si="223"/>
        <v/>
      </c>
      <c r="V154" s="52" t="str">
        <f t="shared" si="223"/>
        <v/>
      </c>
      <c r="W154" s="52" t="str">
        <f t="shared" si="223"/>
        <v/>
      </c>
      <c r="X154" s="52" t="str">
        <f t="shared" si="223"/>
        <v/>
      </c>
      <c r="Y154" s="52" t="str">
        <f t="shared" si="223"/>
        <v/>
      </c>
      <c r="Z154" s="52" t="str">
        <f t="shared" si="223"/>
        <v/>
      </c>
      <c r="AA154" s="52" t="str">
        <f t="shared" si="223"/>
        <v/>
      </c>
      <c r="AB154" s="52" t="str">
        <f t="shared" si="223"/>
        <v/>
      </c>
      <c r="AC154" s="52" t="str">
        <f t="shared" si="223"/>
        <v/>
      </c>
      <c r="AD154" s="52" t="str">
        <f t="shared" si="223"/>
        <v/>
      </c>
      <c r="AE154" s="52" t="str">
        <f t="shared" si="223"/>
        <v/>
      </c>
      <c r="AF154" s="52" t="str">
        <f t="shared" si="223"/>
        <v/>
      </c>
      <c r="AG154" s="52" t="str">
        <f t="shared" si="223"/>
        <v/>
      </c>
      <c r="AH154" s="52" t="str">
        <f t="shared" si="223"/>
        <v/>
      </c>
    </row>
    <row r="155" spans="2:34" x14ac:dyDescent="0.35">
      <c r="B155" s="43" t="str">
        <f t="shared" si="196"/>
        <v>cocrp</v>
      </c>
      <c r="C155" s="43">
        <f t="shared" ref="C155:Q158" si="224">IF(AM72&gt;0,T$116,"")</f>
        <v>2.5353890571740196</v>
      </c>
      <c r="D155" s="43">
        <f t="shared" si="224"/>
        <v>2.3182936323781407</v>
      </c>
      <c r="E155" s="43">
        <f t="shared" si="224"/>
        <v>2.0743913902855162</v>
      </c>
      <c r="F155" s="43">
        <f t="shared" si="224"/>
        <v>1.8344860741721902</v>
      </c>
      <c r="G155" s="43">
        <f t="shared" si="224"/>
        <v>1.4495229376583367</v>
      </c>
      <c r="H155" s="43" t="str">
        <f t="shared" si="224"/>
        <v/>
      </c>
      <c r="I155" s="43" t="str">
        <f t="shared" si="224"/>
        <v/>
      </c>
      <c r="J155" s="43" t="str">
        <f t="shared" si="224"/>
        <v/>
      </c>
      <c r="K155" s="43">
        <f t="shared" si="224"/>
        <v>1.587537377861725</v>
      </c>
      <c r="L155" s="43">
        <f t="shared" si="224"/>
        <v>1.4552584749334998</v>
      </c>
      <c r="M155" s="43">
        <f t="shared" si="224"/>
        <v>1.8377697197336871</v>
      </c>
      <c r="N155" s="43">
        <f t="shared" si="224"/>
        <v>1.8531195532780982</v>
      </c>
      <c r="O155" s="43">
        <f t="shared" si="224"/>
        <v>1.7153456820771116</v>
      </c>
      <c r="P155" s="43">
        <f t="shared" si="224"/>
        <v>1.5449991429124632</v>
      </c>
      <c r="Q155" s="43">
        <f t="shared" si="224"/>
        <v>1.2045235496682944</v>
      </c>
      <c r="S155" s="43" t="str">
        <f t="shared" si="197"/>
        <v>aocrp</v>
      </c>
      <c r="T155" s="43" t="str">
        <f t="shared" ref="T155:AH158" si="225">IF(BD72&gt;0,T$116,"")</f>
        <v/>
      </c>
      <c r="U155" s="43">
        <f t="shared" si="225"/>
        <v>2.3182936323781407</v>
      </c>
      <c r="V155" s="43" t="str">
        <f t="shared" si="225"/>
        <v/>
      </c>
      <c r="W155" s="43">
        <f t="shared" si="225"/>
        <v>1.8344860741721902</v>
      </c>
      <c r="X155" s="43">
        <f t="shared" si="225"/>
        <v>1.4495229376583367</v>
      </c>
      <c r="Y155" s="43" t="str">
        <f t="shared" si="225"/>
        <v/>
      </c>
      <c r="Z155" s="43" t="str">
        <f t="shared" si="225"/>
        <v/>
      </c>
      <c r="AA155" s="43" t="str">
        <f t="shared" si="225"/>
        <v/>
      </c>
      <c r="AB155" s="43" t="str">
        <f t="shared" si="225"/>
        <v/>
      </c>
      <c r="AC155" s="43" t="str">
        <f t="shared" si="225"/>
        <v/>
      </c>
      <c r="AD155" s="43" t="str">
        <f t="shared" si="225"/>
        <v/>
      </c>
      <c r="AE155" s="43" t="str">
        <f t="shared" si="225"/>
        <v/>
      </c>
      <c r="AF155" s="43" t="str">
        <f t="shared" si="225"/>
        <v/>
      </c>
      <c r="AG155" s="43" t="str">
        <f t="shared" si="225"/>
        <v/>
      </c>
      <c r="AH155" s="43">
        <f t="shared" si="225"/>
        <v>1.2045235496682944</v>
      </c>
    </row>
    <row r="156" spans="2:34" x14ac:dyDescent="0.35">
      <c r="B156" s="43" t="str">
        <f t="shared" si="196"/>
        <v>cbecr</v>
      </c>
      <c r="C156" s="43">
        <f t="shared" si="224"/>
        <v>2.5353890571740196</v>
      </c>
      <c r="D156" s="43">
        <f t="shared" si="224"/>
        <v>2.3182936323781407</v>
      </c>
      <c r="E156" s="43">
        <f t="shared" si="224"/>
        <v>2.0743913902855162</v>
      </c>
      <c r="F156" s="43">
        <f t="shared" si="224"/>
        <v>1.8344860741721902</v>
      </c>
      <c r="G156" s="43">
        <f t="shared" si="224"/>
        <v>1.4495229376583367</v>
      </c>
      <c r="H156" s="43">
        <f t="shared" si="224"/>
        <v>2.193180518956567</v>
      </c>
      <c r="I156" s="43">
        <f t="shared" si="224"/>
        <v>2.1484506200227824</v>
      </c>
      <c r="J156" s="43">
        <f t="shared" si="224"/>
        <v>1.9517558831708703</v>
      </c>
      <c r="K156" s="43">
        <f t="shared" si="224"/>
        <v>1.587537377861725</v>
      </c>
      <c r="L156" s="43">
        <f t="shared" si="224"/>
        <v>1.4552584749334998</v>
      </c>
      <c r="M156" s="43">
        <f t="shared" si="224"/>
        <v>1.8377697197336871</v>
      </c>
      <c r="N156" s="43">
        <f t="shared" si="224"/>
        <v>1.8531195532780982</v>
      </c>
      <c r="O156" s="43">
        <f t="shared" si="224"/>
        <v>1.7153456820771116</v>
      </c>
      <c r="P156" s="43">
        <f t="shared" si="224"/>
        <v>1.5449991429124632</v>
      </c>
      <c r="Q156" s="43">
        <f t="shared" si="224"/>
        <v>1.2045235496682944</v>
      </c>
      <c r="S156" s="43" t="str">
        <f t="shared" si="197"/>
        <v>abecr</v>
      </c>
      <c r="T156" s="43">
        <f t="shared" si="225"/>
        <v>2.5353890571740196</v>
      </c>
      <c r="U156" s="43">
        <f t="shared" si="225"/>
        <v>2.3182936323781407</v>
      </c>
      <c r="V156" s="43">
        <f t="shared" si="225"/>
        <v>2.0743913902855162</v>
      </c>
      <c r="W156" s="43">
        <f t="shared" si="225"/>
        <v>1.8344860741721902</v>
      </c>
      <c r="X156" s="43">
        <f t="shared" si="225"/>
        <v>1.4495229376583367</v>
      </c>
      <c r="Y156" s="43" t="str">
        <f t="shared" si="225"/>
        <v/>
      </c>
      <c r="Z156" s="43" t="str">
        <f t="shared" si="225"/>
        <v/>
      </c>
      <c r="AA156" s="43" t="str">
        <f t="shared" si="225"/>
        <v/>
      </c>
      <c r="AB156" s="43" t="str">
        <f t="shared" si="225"/>
        <v/>
      </c>
      <c r="AC156" s="43" t="str">
        <f t="shared" si="225"/>
        <v/>
      </c>
      <c r="AD156" s="43" t="str">
        <f t="shared" si="225"/>
        <v/>
      </c>
      <c r="AE156" s="43" t="str">
        <f t="shared" si="225"/>
        <v/>
      </c>
      <c r="AF156" s="43">
        <f t="shared" si="225"/>
        <v>1.7153456820771116</v>
      </c>
      <c r="AG156" s="43">
        <f t="shared" si="225"/>
        <v>1.5449991429124632</v>
      </c>
      <c r="AH156" s="43">
        <f t="shared" si="225"/>
        <v>1.2045235496682944</v>
      </c>
    </row>
    <row r="157" spans="2:34" x14ac:dyDescent="0.35">
      <c r="B157" s="43" t="str">
        <f t="shared" si="196"/>
        <v>cfore</v>
      </c>
      <c r="C157" s="43">
        <f t="shared" si="224"/>
        <v>2.5353890571740196</v>
      </c>
      <c r="D157" s="43">
        <f t="shared" si="224"/>
        <v>2.3182936323781407</v>
      </c>
      <c r="E157" s="43">
        <f t="shared" si="224"/>
        <v>2.0743913902855162</v>
      </c>
      <c r="F157" s="43">
        <f t="shared" si="224"/>
        <v>1.8344860741721902</v>
      </c>
      <c r="G157" s="43">
        <f t="shared" si="224"/>
        <v>1.4495229376583367</v>
      </c>
      <c r="H157" s="43">
        <f t="shared" si="224"/>
        <v>2.193180518956567</v>
      </c>
      <c r="I157" s="43">
        <f t="shared" si="224"/>
        <v>2.1484506200227824</v>
      </c>
      <c r="J157" s="43">
        <f t="shared" si="224"/>
        <v>1.9517558831708703</v>
      </c>
      <c r="K157" s="43">
        <f t="shared" si="224"/>
        <v>1.587537377861725</v>
      </c>
      <c r="L157" s="43">
        <f t="shared" si="224"/>
        <v>1.4552584749334998</v>
      </c>
      <c r="M157" s="43">
        <f t="shared" si="224"/>
        <v>1.8377697197336871</v>
      </c>
      <c r="N157" s="43">
        <f t="shared" si="224"/>
        <v>1.8531195532780982</v>
      </c>
      <c r="O157" s="43">
        <f t="shared" si="224"/>
        <v>1.7153456820771116</v>
      </c>
      <c r="P157" s="43">
        <f t="shared" si="224"/>
        <v>1.5449991429124632</v>
      </c>
      <c r="Q157" s="43">
        <f t="shared" si="224"/>
        <v>1.2045235496682944</v>
      </c>
      <c r="S157" s="43" t="str">
        <f t="shared" si="197"/>
        <v>afore</v>
      </c>
      <c r="T157" s="43">
        <f t="shared" si="225"/>
        <v>2.5353890571740196</v>
      </c>
      <c r="U157" s="43">
        <f t="shared" si="225"/>
        <v>2.3182936323781407</v>
      </c>
      <c r="V157" s="43">
        <f t="shared" si="225"/>
        <v>2.0743913902855162</v>
      </c>
      <c r="W157" s="43">
        <f t="shared" si="225"/>
        <v>1.8344860741721902</v>
      </c>
      <c r="X157" s="43">
        <f t="shared" si="225"/>
        <v>1.4495229376583367</v>
      </c>
      <c r="Y157" s="43" t="str">
        <f t="shared" si="225"/>
        <v/>
      </c>
      <c r="Z157" s="43" t="str">
        <f t="shared" si="225"/>
        <v/>
      </c>
      <c r="AA157" s="43" t="str">
        <f t="shared" si="225"/>
        <v/>
      </c>
      <c r="AB157" s="43" t="str">
        <f t="shared" si="225"/>
        <v/>
      </c>
      <c r="AC157" s="43" t="str">
        <f t="shared" si="225"/>
        <v/>
      </c>
      <c r="AD157" s="43">
        <f t="shared" si="225"/>
        <v>1.8377697197336871</v>
      </c>
      <c r="AE157" s="43">
        <f t="shared" si="225"/>
        <v>1.8531195532780982</v>
      </c>
      <c r="AF157" s="43">
        <f t="shared" si="225"/>
        <v>1.7153456820771116</v>
      </c>
      <c r="AG157" s="43">
        <f t="shared" si="225"/>
        <v>1.5449991429124632</v>
      </c>
      <c r="AH157" s="43">
        <f t="shared" si="225"/>
        <v>1.2045235496682944</v>
      </c>
    </row>
    <row r="158" spans="2:34" x14ac:dyDescent="0.35">
      <c r="B158" s="43" t="str">
        <f t="shared" si="196"/>
        <v>coapr</v>
      </c>
      <c r="C158" s="43">
        <f t="shared" si="224"/>
        <v>2.5353890571740196</v>
      </c>
      <c r="D158" s="43">
        <f t="shared" si="224"/>
        <v>2.3182936323781407</v>
      </c>
      <c r="E158" s="43">
        <f t="shared" si="224"/>
        <v>2.0743913902855162</v>
      </c>
      <c r="F158" s="43">
        <f t="shared" si="224"/>
        <v>1.8344860741721902</v>
      </c>
      <c r="G158" s="43">
        <f t="shared" si="224"/>
        <v>1.4495229376583367</v>
      </c>
      <c r="H158" s="43">
        <f t="shared" si="224"/>
        <v>2.193180518956567</v>
      </c>
      <c r="I158" s="43">
        <f t="shared" si="224"/>
        <v>2.1484506200227824</v>
      </c>
      <c r="J158" s="43">
        <f t="shared" si="224"/>
        <v>1.9517558831708703</v>
      </c>
      <c r="K158" s="43">
        <f t="shared" si="224"/>
        <v>1.587537377861725</v>
      </c>
      <c r="L158" s="43">
        <f t="shared" si="224"/>
        <v>1.4552584749334998</v>
      </c>
      <c r="M158" s="43">
        <f t="shared" si="224"/>
        <v>1.8377697197336871</v>
      </c>
      <c r="N158" s="43">
        <f t="shared" si="224"/>
        <v>1.8531195532780982</v>
      </c>
      <c r="O158" s="43">
        <f t="shared" si="224"/>
        <v>1.7153456820771116</v>
      </c>
      <c r="P158" s="43">
        <f t="shared" si="224"/>
        <v>1.5449991429124632</v>
      </c>
      <c r="Q158" s="43">
        <f t="shared" si="224"/>
        <v>1.2045235496682944</v>
      </c>
      <c r="S158" s="43" t="str">
        <f t="shared" si="197"/>
        <v>aoapr</v>
      </c>
      <c r="T158" s="43" t="str">
        <f t="shared" si="225"/>
        <v/>
      </c>
      <c r="U158" s="43" t="str">
        <f t="shared" si="225"/>
        <v/>
      </c>
      <c r="V158" s="43" t="str">
        <f t="shared" si="225"/>
        <v/>
      </c>
      <c r="W158" s="43" t="str">
        <f t="shared" si="225"/>
        <v/>
      </c>
      <c r="X158" s="43" t="str">
        <f t="shared" si="225"/>
        <v/>
      </c>
      <c r="Y158" s="43" t="str">
        <f t="shared" si="225"/>
        <v/>
      </c>
      <c r="Z158" s="43" t="str">
        <f t="shared" si="225"/>
        <v/>
      </c>
      <c r="AA158" s="43" t="str">
        <f t="shared" si="225"/>
        <v/>
      </c>
      <c r="AB158" s="43" t="str">
        <f t="shared" si="225"/>
        <v/>
      </c>
      <c r="AC158" s="43" t="str">
        <f t="shared" si="225"/>
        <v/>
      </c>
      <c r="AD158" s="43" t="str">
        <f t="shared" si="225"/>
        <v/>
      </c>
      <c r="AE158" s="43" t="str">
        <f t="shared" si="225"/>
        <v/>
      </c>
      <c r="AF158" s="43" t="str">
        <f t="shared" si="225"/>
        <v/>
      </c>
      <c r="AG158" s="43" t="str">
        <f t="shared" si="225"/>
        <v/>
      </c>
      <c r="AH158" s="43" t="str">
        <f t="shared" si="225"/>
        <v/>
      </c>
    </row>
    <row r="159" spans="2:34" x14ac:dyDescent="0.35">
      <c r="B159" s="43" t="str">
        <f t="shared" si="196"/>
        <v>cmine</v>
      </c>
      <c r="C159" s="43" t="str">
        <f t="shared" ref="C159:Q160" si="226">IF(AM76&gt;0,T$117,"")</f>
        <v/>
      </c>
      <c r="D159" s="43" t="str">
        <f t="shared" si="226"/>
        <v/>
      </c>
      <c r="E159" s="43" t="str">
        <f t="shared" si="226"/>
        <v/>
      </c>
      <c r="F159" s="43" t="str">
        <f t="shared" si="226"/>
        <v/>
      </c>
      <c r="G159" s="43" t="str">
        <f t="shared" si="226"/>
        <v/>
      </c>
      <c r="H159" s="43" t="str">
        <f t="shared" si="226"/>
        <v/>
      </c>
      <c r="I159" s="43" t="str">
        <f t="shared" si="226"/>
        <v/>
      </c>
      <c r="J159" s="43" t="str">
        <f t="shared" si="226"/>
        <v/>
      </c>
      <c r="K159" s="43" t="str">
        <f t="shared" si="226"/>
        <v/>
      </c>
      <c r="L159" s="43" t="str">
        <f t="shared" si="226"/>
        <v/>
      </c>
      <c r="M159" s="43" t="str">
        <f t="shared" si="226"/>
        <v/>
      </c>
      <c r="N159" s="43" t="str">
        <f t="shared" si="226"/>
        <v/>
      </c>
      <c r="O159" s="43" t="str">
        <f t="shared" si="226"/>
        <v/>
      </c>
      <c r="P159" s="43" t="str">
        <f t="shared" si="226"/>
        <v/>
      </c>
      <c r="Q159" s="43" t="str">
        <f t="shared" si="226"/>
        <v/>
      </c>
      <c r="S159" s="43" t="str">
        <f t="shared" si="197"/>
        <v>amine</v>
      </c>
      <c r="T159" s="43" t="str">
        <f t="shared" ref="T159:AH160" si="227">IF(BD76&gt;0,T$117,"")</f>
        <v/>
      </c>
      <c r="U159" s="43" t="str">
        <f t="shared" si="227"/>
        <v/>
      </c>
      <c r="V159" s="43" t="str">
        <f t="shared" si="227"/>
        <v/>
      </c>
      <c r="W159" s="43" t="str">
        <f t="shared" si="227"/>
        <v/>
      </c>
      <c r="X159" s="43" t="str">
        <f t="shared" si="227"/>
        <v/>
      </c>
      <c r="Y159" s="43" t="str">
        <f t="shared" si="227"/>
        <v/>
      </c>
      <c r="Z159" s="43" t="str">
        <f t="shared" si="227"/>
        <v/>
      </c>
      <c r="AA159" s="43" t="str">
        <f t="shared" si="227"/>
        <v/>
      </c>
      <c r="AB159" s="43" t="str">
        <f t="shared" si="227"/>
        <v/>
      </c>
      <c r="AC159" s="43" t="str">
        <f t="shared" si="227"/>
        <v/>
      </c>
      <c r="AD159" s="43" t="str">
        <f t="shared" si="227"/>
        <v/>
      </c>
      <c r="AE159" s="43" t="str">
        <f t="shared" si="227"/>
        <v/>
      </c>
      <c r="AF159" s="43" t="str">
        <f t="shared" si="227"/>
        <v/>
      </c>
      <c r="AG159" s="43" t="str">
        <f t="shared" si="227"/>
        <v/>
      </c>
      <c r="AH159" s="43" t="str">
        <f t="shared" si="227"/>
        <v/>
      </c>
    </row>
    <row r="160" spans="2:34" x14ac:dyDescent="0.35">
      <c r="B160" s="43" t="str">
        <f t="shared" si="196"/>
        <v>cmino</v>
      </c>
      <c r="C160" s="43" t="str">
        <f t="shared" si="226"/>
        <v/>
      </c>
      <c r="D160" s="43" t="str">
        <f t="shared" si="226"/>
        <v/>
      </c>
      <c r="E160" s="43" t="str">
        <f t="shared" si="226"/>
        <v/>
      </c>
      <c r="F160" s="43" t="str">
        <f t="shared" si="226"/>
        <v/>
      </c>
      <c r="G160" s="43" t="str">
        <f t="shared" si="226"/>
        <v/>
      </c>
      <c r="H160" s="43" t="str">
        <f t="shared" si="226"/>
        <v/>
      </c>
      <c r="I160" s="43" t="str">
        <f t="shared" si="226"/>
        <v/>
      </c>
      <c r="J160" s="43" t="str">
        <f t="shared" si="226"/>
        <v/>
      </c>
      <c r="K160" s="43" t="str">
        <f t="shared" si="226"/>
        <v/>
      </c>
      <c r="L160" s="43" t="str">
        <f t="shared" si="226"/>
        <v/>
      </c>
      <c r="M160" s="43" t="str">
        <f t="shared" si="226"/>
        <v/>
      </c>
      <c r="N160" s="43" t="str">
        <f t="shared" si="226"/>
        <v/>
      </c>
      <c r="O160" s="43" t="str">
        <f t="shared" si="226"/>
        <v/>
      </c>
      <c r="P160" s="43" t="str">
        <f t="shared" si="226"/>
        <v/>
      </c>
      <c r="Q160" s="43" t="str">
        <f t="shared" si="226"/>
        <v/>
      </c>
      <c r="S160" s="43" t="str">
        <f t="shared" si="197"/>
        <v>amino</v>
      </c>
      <c r="T160" s="43" t="str">
        <f t="shared" si="227"/>
        <v/>
      </c>
      <c r="U160" s="43" t="str">
        <f t="shared" si="227"/>
        <v/>
      </c>
      <c r="V160" s="43" t="str">
        <f t="shared" si="227"/>
        <v/>
      </c>
      <c r="W160" s="43" t="str">
        <f t="shared" si="227"/>
        <v/>
      </c>
      <c r="X160" s="43" t="str">
        <f t="shared" si="227"/>
        <v/>
      </c>
      <c r="Y160" s="43" t="str">
        <f t="shared" si="227"/>
        <v/>
      </c>
      <c r="Z160" s="43" t="str">
        <f t="shared" si="227"/>
        <v/>
      </c>
      <c r="AA160" s="43" t="str">
        <f t="shared" si="227"/>
        <v/>
      </c>
      <c r="AB160" s="43" t="str">
        <f t="shared" si="227"/>
        <v/>
      </c>
      <c r="AC160" s="43" t="str">
        <f t="shared" si="227"/>
        <v/>
      </c>
      <c r="AD160" s="43" t="str">
        <f t="shared" si="227"/>
        <v/>
      </c>
      <c r="AE160" s="43" t="str">
        <f t="shared" si="227"/>
        <v/>
      </c>
      <c r="AF160" s="43" t="str">
        <f t="shared" si="227"/>
        <v/>
      </c>
      <c r="AG160" s="43" t="str">
        <f t="shared" si="227"/>
        <v/>
      </c>
      <c r="AH160" s="43" t="str">
        <f t="shared" si="227"/>
        <v/>
      </c>
    </row>
    <row r="161" spans="2:34" x14ac:dyDescent="0.35">
      <c r="B161" s="43" t="str">
        <f t="shared" si="196"/>
        <v>cwood</v>
      </c>
      <c r="C161" s="43">
        <f t="shared" ref="C161:Q168" si="228">IF(AM78&gt;0,T$118,"")</f>
        <v>2.5353890571740196</v>
      </c>
      <c r="D161" s="43">
        <f t="shared" si="228"/>
        <v>2.3182936323781407</v>
      </c>
      <c r="E161" s="43">
        <f t="shared" si="228"/>
        <v>2.0743913902855162</v>
      </c>
      <c r="F161" s="43">
        <f t="shared" si="228"/>
        <v>1.8344860741721902</v>
      </c>
      <c r="G161" s="43">
        <f t="shared" si="228"/>
        <v>1.4495229376583367</v>
      </c>
      <c r="H161" s="43">
        <f t="shared" si="228"/>
        <v>2.193180518956567</v>
      </c>
      <c r="I161" s="43">
        <f t="shared" si="228"/>
        <v>2.1484506200227824</v>
      </c>
      <c r="J161" s="43">
        <f t="shared" si="228"/>
        <v>1.9517558831708703</v>
      </c>
      <c r="K161" s="43">
        <f t="shared" si="228"/>
        <v>1.587537377861725</v>
      </c>
      <c r="L161" s="43">
        <f t="shared" si="228"/>
        <v>1.4552584749334998</v>
      </c>
      <c r="M161" s="43">
        <f t="shared" si="228"/>
        <v>1.8377697197336871</v>
      </c>
      <c r="N161" s="43">
        <f t="shared" si="228"/>
        <v>1.8531195532780982</v>
      </c>
      <c r="O161" s="43">
        <f t="shared" si="228"/>
        <v>1.7153456820771116</v>
      </c>
      <c r="P161" s="43">
        <f t="shared" si="228"/>
        <v>1.5449991429124632</v>
      </c>
      <c r="Q161" s="43">
        <f t="shared" si="228"/>
        <v>1.2045235496682944</v>
      </c>
      <c r="S161" s="43" t="str">
        <f t="shared" si="197"/>
        <v>awood</v>
      </c>
      <c r="T161" s="43" t="str">
        <f t="shared" ref="T161:AH168" si="229">IF(BD78&gt;0,T$118,"")</f>
        <v/>
      </c>
      <c r="U161" s="43" t="str">
        <f t="shared" si="229"/>
        <v/>
      </c>
      <c r="V161" s="43" t="str">
        <f t="shared" si="229"/>
        <v/>
      </c>
      <c r="W161" s="43" t="str">
        <f t="shared" si="229"/>
        <v/>
      </c>
      <c r="X161" s="43" t="str">
        <f t="shared" si="229"/>
        <v/>
      </c>
      <c r="Y161" s="43" t="str">
        <f t="shared" si="229"/>
        <v/>
      </c>
      <c r="Z161" s="43" t="str">
        <f t="shared" si="229"/>
        <v/>
      </c>
      <c r="AA161" s="43" t="str">
        <f t="shared" si="229"/>
        <v/>
      </c>
      <c r="AB161" s="43" t="str">
        <f t="shared" si="229"/>
        <v/>
      </c>
      <c r="AC161" s="43" t="str">
        <f t="shared" si="229"/>
        <v/>
      </c>
      <c r="AD161" s="43" t="str">
        <f t="shared" si="229"/>
        <v/>
      </c>
      <c r="AE161" s="43" t="str">
        <f t="shared" si="229"/>
        <v/>
      </c>
      <c r="AF161" s="43" t="str">
        <f t="shared" si="229"/>
        <v/>
      </c>
      <c r="AG161" s="43" t="str">
        <f t="shared" si="229"/>
        <v/>
      </c>
      <c r="AH161" s="43" t="str">
        <f t="shared" si="229"/>
        <v/>
      </c>
    </row>
    <row r="162" spans="2:34" x14ac:dyDescent="0.35">
      <c r="B162" s="43" t="str">
        <f t="shared" si="196"/>
        <v>cpetr</v>
      </c>
      <c r="C162" s="43">
        <f t="shared" si="228"/>
        <v>2.5353890571740196</v>
      </c>
      <c r="D162" s="43">
        <f t="shared" si="228"/>
        <v>2.3182936323781407</v>
      </c>
      <c r="E162" s="43">
        <f t="shared" si="228"/>
        <v>2.0743913902855162</v>
      </c>
      <c r="F162" s="43">
        <f t="shared" si="228"/>
        <v>1.8344860741721902</v>
      </c>
      <c r="G162" s="43">
        <f t="shared" si="228"/>
        <v>1.4495229376583367</v>
      </c>
      <c r="H162" s="43" t="str">
        <f t="shared" si="228"/>
        <v/>
      </c>
      <c r="I162" s="43" t="str">
        <f t="shared" si="228"/>
        <v/>
      </c>
      <c r="J162" s="43" t="str">
        <f t="shared" si="228"/>
        <v/>
      </c>
      <c r="K162" s="43">
        <f t="shared" si="228"/>
        <v>1.587537377861725</v>
      </c>
      <c r="L162" s="43">
        <f t="shared" si="228"/>
        <v>1.4552584749334998</v>
      </c>
      <c r="M162" s="43">
        <f t="shared" si="228"/>
        <v>1.8377697197336871</v>
      </c>
      <c r="N162" s="43" t="str">
        <f t="shared" si="228"/>
        <v/>
      </c>
      <c r="O162" s="43">
        <f t="shared" si="228"/>
        <v>1.7153456820771116</v>
      </c>
      <c r="P162" s="43">
        <f t="shared" si="228"/>
        <v>1.5449991429124632</v>
      </c>
      <c r="Q162" s="43">
        <f t="shared" si="228"/>
        <v>1.2045235496682944</v>
      </c>
      <c r="S162" s="43" t="str">
        <f t="shared" si="197"/>
        <v>apetr</v>
      </c>
      <c r="T162" s="43" t="str">
        <f t="shared" si="229"/>
        <v/>
      </c>
      <c r="U162" s="43" t="str">
        <f t="shared" si="229"/>
        <v/>
      </c>
      <c r="V162" s="43" t="str">
        <f t="shared" si="229"/>
        <v/>
      </c>
      <c r="W162" s="43" t="str">
        <f t="shared" si="229"/>
        <v/>
      </c>
      <c r="X162" s="43" t="str">
        <f t="shared" si="229"/>
        <v/>
      </c>
      <c r="Y162" s="43" t="str">
        <f t="shared" si="229"/>
        <v/>
      </c>
      <c r="Z162" s="43" t="str">
        <f t="shared" si="229"/>
        <v/>
      </c>
      <c r="AA162" s="43" t="str">
        <f t="shared" si="229"/>
        <v/>
      </c>
      <c r="AB162" s="43" t="str">
        <f t="shared" si="229"/>
        <v/>
      </c>
      <c r="AC162" s="43" t="str">
        <f t="shared" si="229"/>
        <v/>
      </c>
      <c r="AD162" s="43" t="str">
        <f t="shared" si="229"/>
        <v/>
      </c>
      <c r="AE162" s="43" t="str">
        <f t="shared" si="229"/>
        <v/>
      </c>
      <c r="AF162" s="43" t="str">
        <f t="shared" si="229"/>
        <v/>
      </c>
      <c r="AG162" s="43" t="str">
        <f t="shared" si="229"/>
        <v/>
      </c>
      <c r="AH162" s="43" t="str">
        <f t="shared" si="229"/>
        <v/>
      </c>
    </row>
    <row r="163" spans="2:34" x14ac:dyDescent="0.35">
      <c r="B163" s="43" t="str">
        <f t="shared" si="196"/>
        <v>cfert</v>
      </c>
      <c r="C163" s="43" t="str">
        <f t="shared" si="228"/>
        <v/>
      </c>
      <c r="D163" s="43" t="str">
        <f t="shared" si="228"/>
        <v/>
      </c>
      <c r="E163" s="43" t="str">
        <f t="shared" si="228"/>
        <v/>
      </c>
      <c r="F163" s="43" t="str">
        <f t="shared" si="228"/>
        <v/>
      </c>
      <c r="G163" s="43" t="str">
        <f t="shared" si="228"/>
        <v/>
      </c>
      <c r="H163" s="43" t="str">
        <f t="shared" si="228"/>
        <v/>
      </c>
      <c r="I163" s="43" t="str">
        <f t="shared" si="228"/>
        <v/>
      </c>
      <c r="J163" s="43" t="str">
        <f t="shared" si="228"/>
        <v/>
      </c>
      <c r="K163" s="43" t="str">
        <f t="shared" si="228"/>
        <v/>
      </c>
      <c r="L163" s="43" t="str">
        <f t="shared" si="228"/>
        <v/>
      </c>
      <c r="M163" s="43" t="str">
        <f t="shared" si="228"/>
        <v/>
      </c>
      <c r="N163" s="43" t="str">
        <f t="shared" si="228"/>
        <v/>
      </c>
      <c r="O163" s="43" t="str">
        <f t="shared" si="228"/>
        <v/>
      </c>
      <c r="P163" s="43" t="str">
        <f t="shared" si="228"/>
        <v/>
      </c>
      <c r="Q163" s="43" t="str">
        <f t="shared" si="228"/>
        <v/>
      </c>
      <c r="S163" s="43" t="str">
        <f t="shared" si="197"/>
        <v>afert</v>
      </c>
      <c r="T163" s="43" t="str">
        <f t="shared" si="229"/>
        <v/>
      </c>
      <c r="U163" s="43" t="str">
        <f t="shared" si="229"/>
        <v/>
      </c>
      <c r="V163" s="43" t="str">
        <f t="shared" si="229"/>
        <v/>
      </c>
      <c r="W163" s="43" t="str">
        <f t="shared" si="229"/>
        <v/>
      </c>
      <c r="X163" s="43" t="str">
        <f t="shared" si="229"/>
        <v/>
      </c>
      <c r="Y163" s="43" t="str">
        <f t="shared" si="229"/>
        <v/>
      </c>
      <c r="Z163" s="43" t="str">
        <f t="shared" si="229"/>
        <v/>
      </c>
      <c r="AA163" s="43" t="str">
        <f t="shared" si="229"/>
        <v/>
      </c>
      <c r="AB163" s="43" t="str">
        <f t="shared" si="229"/>
        <v/>
      </c>
      <c r="AC163" s="43" t="str">
        <f t="shared" si="229"/>
        <v/>
      </c>
      <c r="AD163" s="43" t="str">
        <f t="shared" si="229"/>
        <v/>
      </c>
      <c r="AE163" s="43" t="str">
        <f t="shared" si="229"/>
        <v/>
      </c>
      <c r="AF163" s="43" t="str">
        <f t="shared" si="229"/>
        <v/>
      </c>
      <c r="AG163" s="43" t="str">
        <f t="shared" si="229"/>
        <v/>
      </c>
      <c r="AH163" s="43" t="str">
        <f t="shared" si="229"/>
        <v/>
      </c>
    </row>
    <row r="164" spans="2:34" x14ac:dyDescent="0.35">
      <c r="B164" s="43" t="str">
        <f t="shared" si="196"/>
        <v>cchem</v>
      </c>
      <c r="C164" s="43">
        <f t="shared" si="228"/>
        <v>2.5353890571740196</v>
      </c>
      <c r="D164" s="43">
        <f t="shared" si="228"/>
        <v>2.3182936323781407</v>
      </c>
      <c r="E164" s="43">
        <f t="shared" si="228"/>
        <v>2.0743913902855162</v>
      </c>
      <c r="F164" s="43">
        <f t="shared" si="228"/>
        <v>1.8344860741721902</v>
      </c>
      <c r="G164" s="43">
        <f t="shared" si="228"/>
        <v>1.4495229376583367</v>
      </c>
      <c r="H164" s="43">
        <f t="shared" si="228"/>
        <v>2.193180518956567</v>
      </c>
      <c r="I164" s="43">
        <f t="shared" si="228"/>
        <v>2.1484506200227824</v>
      </c>
      <c r="J164" s="43">
        <f t="shared" si="228"/>
        <v>1.9517558831708703</v>
      </c>
      <c r="K164" s="43">
        <f t="shared" si="228"/>
        <v>1.587537377861725</v>
      </c>
      <c r="L164" s="43">
        <f t="shared" si="228"/>
        <v>1.4552584749334998</v>
      </c>
      <c r="M164" s="43">
        <f t="shared" si="228"/>
        <v>1.8377697197336871</v>
      </c>
      <c r="N164" s="43">
        <f t="shared" si="228"/>
        <v>1.8531195532780982</v>
      </c>
      <c r="O164" s="43">
        <f t="shared" si="228"/>
        <v>1.7153456820771116</v>
      </c>
      <c r="P164" s="43">
        <f t="shared" si="228"/>
        <v>1.5449991429124632</v>
      </c>
      <c r="Q164" s="43">
        <f t="shared" si="228"/>
        <v>1.2045235496682944</v>
      </c>
      <c r="S164" s="43" t="str">
        <f t="shared" si="197"/>
        <v>achem</v>
      </c>
      <c r="T164" s="43" t="str">
        <f t="shared" si="229"/>
        <v/>
      </c>
      <c r="U164" s="43" t="str">
        <f t="shared" si="229"/>
        <v/>
      </c>
      <c r="V164" s="43" t="str">
        <f t="shared" si="229"/>
        <v/>
      </c>
      <c r="W164" s="43" t="str">
        <f t="shared" si="229"/>
        <v/>
      </c>
      <c r="X164" s="43" t="str">
        <f t="shared" si="229"/>
        <v/>
      </c>
      <c r="Y164" s="43" t="str">
        <f t="shared" si="229"/>
        <v/>
      </c>
      <c r="Z164" s="43" t="str">
        <f t="shared" si="229"/>
        <v/>
      </c>
      <c r="AA164" s="43" t="str">
        <f t="shared" si="229"/>
        <v/>
      </c>
      <c r="AB164" s="43" t="str">
        <f t="shared" si="229"/>
        <v/>
      </c>
      <c r="AC164" s="43" t="str">
        <f t="shared" si="229"/>
        <v/>
      </c>
      <c r="AD164" s="43" t="str">
        <f t="shared" si="229"/>
        <v/>
      </c>
      <c r="AE164" s="43" t="str">
        <f t="shared" si="229"/>
        <v/>
      </c>
      <c r="AF164" s="43" t="str">
        <f t="shared" si="229"/>
        <v/>
      </c>
      <c r="AG164" s="43" t="str">
        <f t="shared" si="229"/>
        <v/>
      </c>
      <c r="AH164" s="43" t="str">
        <f t="shared" si="229"/>
        <v/>
      </c>
    </row>
    <row r="165" spans="2:34" x14ac:dyDescent="0.35">
      <c r="B165" s="43" t="str">
        <f t="shared" si="196"/>
        <v>cnmet</v>
      </c>
      <c r="C165" s="43">
        <f t="shared" si="228"/>
        <v>2.5353890571740196</v>
      </c>
      <c r="D165" s="43">
        <f t="shared" si="228"/>
        <v>2.3182936323781407</v>
      </c>
      <c r="E165" s="43">
        <f t="shared" si="228"/>
        <v>2.0743913902855162</v>
      </c>
      <c r="F165" s="43">
        <f t="shared" si="228"/>
        <v>1.8344860741721902</v>
      </c>
      <c r="G165" s="43">
        <f t="shared" si="228"/>
        <v>1.4495229376583367</v>
      </c>
      <c r="H165" s="43">
        <f t="shared" si="228"/>
        <v>2.193180518956567</v>
      </c>
      <c r="I165" s="43">
        <f t="shared" si="228"/>
        <v>2.1484506200227824</v>
      </c>
      <c r="J165" s="43">
        <f t="shared" si="228"/>
        <v>1.9517558831708703</v>
      </c>
      <c r="K165" s="43">
        <f t="shared" si="228"/>
        <v>1.587537377861725</v>
      </c>
      <c r="L165" s="43">
        <f t="shared" si="228"/>
        <v>1.4552584749334998</v>
      </c>
      <c r="M165" s="43">
        <f t="shared" si="228"/>
        <v>1.8377697197336871</v>
      </c>
      <c r="N165" s="43">
        <f t="shared" si="228"/>
        <v>1.8531195532780982</v>
      </c>
      <c r="O165" s="43">
        <f t="shared" si="228"/>
        <v>1.7153456820771116</v>
      </c>
      <c r="P165" s="43">
        <f t="shared" si="228"/>
        <v>1.5449991429124632</v>
      </c>
      <c r="Q165" s="43">
        <f t="shared" si="228"/>
        <v>1.2045235496682944</v>
      </c>
      <c r="S165" s="43" t="str">
        <f t="shared" si="197"/>
        <v>anmet</v>
      </c>
      <c r="T165" s="43" t="str">
        <f t="shared" si="229"/>
        <v/>
      </c>
      <c r="U165" s="43" t="str">
        <f t="shared" si="229"/>
        <v/>
      </c>
      <c r="V165" s="43" t="str">
        <f t="shared" si="229"/>
        <v/>
      </c>
      <c r="W165" s="43" t="str">
        <f t="shared" si="229"/>
        <v/>
      </c>
      <c r="X165" s="43" t="str">
        <f t="shared" si="229"/>
        <v/>
      </c>
      <c r="Y165" s="43" t="str">
        <f t="shared" si="229"/>
        <v/>
      </c>
      <c r="Z165" s="43" t="str">
        <f t="shared" si="229"/>
        <v/>
      </c>
      <c r="AA165" s="43" t="str">
        <f t="shared" si="229"/>
        <v/>
      </c>
      <c r="AB165" s="43" t="str">
        <f t="shared" si="229"/>
        <v/>
      </c>
      <c r="AC165" s="43" t="str">
        <f t="shared" si="229"/>
        <v/>
      </c>
      <c r="AD165" s="43" t="str">
        <f t="shared" si="229"/>
        <v/>
      </c>
      <c r="AE165" s="43" t="str">
        <f t="shared" si="229"/>
        <v/>
      </c>
      <c r="AF165" s="43" t="str">
        <f t="shared" si="229"/>
        <v/>
      </c>
      <c r="AG165" s="43" t="str">
        <f t="shared" si="229"/>
        <v/>
      </c>
      <c r="AH165" s="43" t="str">
        <f t="shared" si="229"/>
        <v/>
      </c>
    </row>
    <row r="166" spans="2:34" x14ac:dyDescent="0.35">
      <c r="B166" s="43" t="str">
        <f t="shared" si="196"/>
        <v>cmetl</v>
      </c>
      <c r="C166" s="43">
        <f t="shared" si="228"/>
        <v>2.5353890571740196</v>
      </c>
      <c r="D166" s="43">
        <f t="shared" si="228"/>
        <v>2.3182936323781407</v>
      </c>
      <c r="E166" s="43">
        <f t="shared" si="228"/>
        <v>2.0743913902855162</v>
      </c>
      <c r="F166" s="43">
        <f t="shared" si="228"/>
        <v>1.8344860741721902</v>
      </c>
      <c r="G166" s="43">
        <f t="shared" si="228"/>
        <v>1.4495229376583367</v>
      </c>
      <c r="H166" s="43">
        <f t="shared" si="228"/>
        <v>2.193180518956567</v>
      </c>
      <c r="I166" s="43">
        <f t="shared" si="228"/>
        <v>2.1484506200227824</v>
      </c>
      <c r="J166" s="43">
        <f t="shared" si="228"/>
        <v>1.9517558831708703</v>
      </c>
      <c r="K166" s="43">
        <f t="shared" si="228"/>
        <v>1.587537377861725</v>
      </c>
      <c r="L166" s="43">
        <f t="shared" si="228"/>
        <v>1.4552584749334998</v>
      </c>
      <c r="M166" s="43">
        <f t="shared" si="228"/>
        <v>1.8377697197336871</v>
      </c>
      <c r="N166" s="43">
        <f t="shared" si="228"/>
        <v>1.8531195532780982</v>
      </c>
      <c r="O166" s="43">
        <f t="shared" si="228"/>
        <v>1.7153456820771116</v>
      </c>
      <c r="P166" s="43">
        <f t="shared" si="228"/>
        <v>1.5449991429124632</v>
      </c>
      <c r="Q166" s="43">
        <f t="shared" si="228"/>
        <v>1.2045235496682944</v>
      </c>
      <c r="S166" s="43" t="str">
        <f t="shared" si="197"/>
        <v>ametl</v>
      </c>
      <c r="T166" s="43" t="str">
        <f t="shared" si="229"/>
        <v/>
      </c>
      <c r="U166" s="43" t="str">
        <f t="shared" si="229"/>
        <v/>
      </c>
      <c r="V166" s="43" t="str">
        <f t="shared" si="229"/>
        <v/>
      </c>
      <c r="W166" s="43" t="str">
        <f t="shared" si="229"/>
        <v/>
      </c>
      <c r="X166" s="43" t="str">
        <f t="shared" si="229"/>
        <v/>
      </c>
      <c r="Y166" s="43" t="str">
        <f t="shared" si="229"/>
        <v/>
      </c>
      <c r="Z166" s="43" t="str">
        <f t="shared" si="229"/>
        <v/>
      </c>
      <c r="AA166" s="43" t="str">
        <f t="shared" si="229"/>
        <v/>
      </c>
      <c r="AB166" s="43" t="str">
        <f t="shared" si="229"/>
        <v/>
      </c>
      <c r="AC166" s="43" t="str">
        <f t="shared" si="229"/>
        <v/>
      </c>
      <c r="AD166" s="43" t="str">
        <f t="shared" si="229"/>
        <v/>
      </c>
      <c r="AE166" s="43" t="str">
        <f t="shared" si="229"/>
        <v/>
      </c>
      <c r="AF166" s="43" t="str">
        <f t="shared" si="229"/>
        <v/>
      </c>
      <c r="AG166" s="43" t="str">
        <f t="shared" si="229"/>
        <v/>
      </c>
      <c r="AH166" s="43" t="str">
        <f t="shared" si="229"/>
        <v/>
      </c>
    </row>
    <row r="167" spans="2:34" x14ac:dyDescent="0.35">
      <c r="B167" s="43" t="str">
        <f t="shared" si="196"/>
        <v>cmach</v>
      </c>
      <c r="C167" s="43">
        <f t="shared" si="228"/>
        <v>2.5353890571740196</v>
      </c>
      <c r="D167" s="43">
        <f t="shared" si="228"/>
        <v>2.3182936323781407</v>
      </c>
      <c r="E167" s="43">
        <f t="shared" si="228"/>
        <v>2.0743913902855162</v>
      </c>
      <c r="F167" s="43">
        <f t="shared" si="228"/>
        <v>1.8344860741721902</v>
      </c>
      <c r="G167" s="43">
        <f t="shared" si="228"/>
        <v>1.4495229376583367</v>
      </c>
      <c r="H167" s="43">
        <f t="shared" si="228"/>
        <v>2.193180518956567</v>
      </c>
      <c r="I167" s="43">
        <f t="shared" si="228"/>
        <v>2.1484506200227824</v>
      </c>
      <c r="J167" s="43">
        <f t="shared" si="228"/>
        <v>1.9517558831708703</v>
      </c>
      <c r="K167" s="43">
        <f t="shared" si="228"/>
        <v>1.587537377861725</v>
      </c>
      <c r="L167" s="43">
        <f t="shared" si="228"/>
        <v>1.4552584749334998</v>
      </c>
      <c r="M167" s="43">
        <f t="shared" si="228"/>
        <v>1.8377697197336871</v>
      </c>
      <c r="N167" s="43">
        <f t="shared" si="228"/>
        <v>1.8531195532780982</v>
      </c>
      <c r="O167" s="43">
        <f t="shared" si="228"/>
        <v>1.7153456820771116</v>
      </c>
      <c r="P167" s="43">
        <f t="shared" si="228"/>
        <v>1.5449991429124632</v>
      </c>
      <c r="Q167" s="43">
        <f t="shared" si="228"/>
        <v>1.2045235496682944</v>
      </c>
      <c r="S167" s="43" t="str">
        <f t="shared" si="197"/>
        <v>amach</v>
      </c>
      <c r="T167" s="43" t="str">
        <f t="shared" si="229"/>
        <v/>
      </c>
      <c r="U167" s="43" t="str">
        <f t="shared" si="229"/>
        <v/>
      </c>
      <c r="V167" s="43" t="str">
        <f t="shared" si="229"/>
        <v/>
      </c>
      <c r="W167" s="43" t="str">
        <f t="shared" si="229"/>
        <v/>
      </c>
      <c r="X167" s="43" t="str">
        <f t="shared" si="229"/>
        <v/>
      </c>
      <c r="Y167" s="43" t="str">
        <f t="shared" si="229"/>
        <v/>
      </c>
      <c r="Z167" s="43" t="str">
        <f t="shared" si="229"/>
        <v/>
      </c>
      <c r="AA167" s="43" t="str">
        <f t="shared" si="229"/>
        <v/>
      </c>
      <c r="AB167" s="43" t="str">
        <f t="shared" si="229"/>
        <v/>
      </c>
      <c r="AC167" s="43" t="str">
        <f t="shared" si="229"/>
        <v/>
      </c>
      <c r="AD167" s="43" t="str">
        <f t="shared" si="229"/>
        <v/>
      </c>
      <c r="AE167" s="43" t="str">
        <f t="shared" si="229"/>
        <v/>
      </c>
      <c r="AF167" s="43" t="str">
        <f t="shared" si="229"/>
        <v/>
      </c>
      <c r="AG167" s="43" t="str">
        <f t="shared" si="229"/>
        <v/>
      </c>
      <c r="AH167" s="43" t="str">
        <f t="shared" si="229"/>
        <v/>
      </c>
    </row>
    <row r="168" spans="2:34" x14ac:dyDescent="0.35">
      <c r="B168" s="52" t="str">
        <f t="shared" si="196"/>
        <v>coman</v>
      </c>
      <c r="C168" s="52">
        <f t="shared" si="228"/>
        <v>2.5353890571740196</v>
      </c>
      <c r="D168" s="52">
        <f t="shared" si="228"/>
        <v>2.3182936323781407</v>
      </c>
      <c r="E168" s="52">
        <f t="shared" si="228"/>
        <v>2.0743913902855162</v>
      </c>
      <c r="F168" s="52">
        <f t="shared" si="228"/>
        <v>1.8344860741721902</v>
      </c>
      <c r="G168" s="52">
        <f t="shared" si="228"/>
        <v>1.4495229376583367</v>
      </c>
      <c r="H168" s="52">
        <f t="shared" si="228"/>
        <v>2.193180518956567</v>
      </c>
      <c r="I168" s="52">
        <f t="shared" si="228"/>
        <v>2.1484506200227824</v>
      </c>
      <c r="J168" s="52">
        <f t="shared" si="228"/>
        <v>1.9517558831708703</v>
      </c>
      <c r="K168" s="52">
        <f t="shared" si="228"/>
        <v>1.587537377861725</v>
      </c>
      <c r="L168" s="52">
        <f t="shared" si="228"/>
        <v>1.4552584749334998</v>
      </c>
      <c r="M168" s="52">
        <f t="shared" si="228"/>
        <v>1.8377697197336871</v>
      </c>
      <c r="N168" s="52">
        <f t="shared" si="228"/>
        <v>1.8531195532780982</v>
      </c>
      <c r="O168" s="52">
        <f t="shared" si="228"/>
        <v>1.7153456820771116</v>
      </c>
      <c r="P168" s="52">
        <f t="shared" si="228"/>
        <v>1.5449991429124632</v>
      </c>
      <c r="Q168" s="52">
        <f t="shared" si="228"/>
        <v>1.2045235496682944</v>
      </c>
      <c r="S168" s="52" t="str">
        <f t="shared" si="197"/>
        <v>aoman</v>
      </c>
      <c r="T168" s="52" t="str">
        <f t="shared" si="229"/>
        <v/>
      </c>
      <c r="U168" s="52" t="str">
        <f t="shared" si="229"/>
        <v/>
      </c>
      <c r="V168" s="52" t="str">
        <f t="shared" si="229"/>
        <v/>
      </c>
      <c r="W168" s="52" t="str">
        <f t="shared" si="229"/>
        <v/>
      </c>
      <c r="X168" s="52" t="str">
        <f t="shared" si="229"/>
        <v/>
      </c>
      <c r="Y168" s="52" t="str">
        <f t="shared" si="229"/>
        <v/>
      </c>
      <c r="Z168" s="52" t="str">
        <f t="shared" si="229"/>
        <v/>
      </c>
      <c r="AA168" s="52" t="str">
        <f t="shared" si="229"/>
        <v/>
      </c>
      <c r="AB168" s="52" t="str">
        <f t="shared" si="229"/>
        <v/>
      </c>
      <c r="AC168" s="52" t="str">
        <f t="shared" si="229"/>
        <v/>
      </c>
      <c r="AD168" s="52" t="str">
        <f t="shared" si="229"/>
        <v/>
      </c>
      <c r="AE168" s="52" t="str">
        <f t="shared" si="229"/>
        <v/>
      </c>
      <c r="AF168" s="52" t="str">
        <f t="shared" si="229"/>
        <v/>
      </c>
      <c r="AG168" s="52" t="str">
        <f t="shared" si="229"/>
        <v/>
      </c>
      <c r="AH168" s="52" t="str">
        <f t="shared" si="229"/>
        <v/>
      </c>
    </row>
    <row r="169" spans="2:34" x14ac:dyDescent="0.35">
      <c r="B169" s="55" t="str">
        <f t="shared" si="196"/>
        <v>ccons</v>
      </c>
      <c r="C169" s="55" t="str">
        <f t="shared" ref="C169:Q169" si="230">IF(AM86&gt;0,T$119,"")</f>
        <v/>
      </c>
      <c r="D169" s="55" t="str">
        <f t="shared" si="230"/>
        <v/>
      </c>
      <c r="E169" s="55" t="str">
        <f t="shared" si="230"/>
        <v/>
      </c>
      <c r="F169" s="55" t="str">
        <f t="shared" si="230"/>
        <v/>
      </c>
      <c r="G169" s="55" t="str">
        <f t="shared" si="230"/>
        <v/>
      </c>
      <c r="H169" s="55" t="str">
        <f t="shared" si="230"/>
        <v/>
      </c>
      <c r="I169" s="55" t="str">
        <f t="shared" si="230"/>
        <v/>
      </c>
      <c r="J169" s="55" t="str">
        <f t="shared" si="230"/>
        <v/>
      </c>
      <c r="K169" s="55" t="str">
        <f t="shared" si="230"/>
        <v/>
      </c>
      <c r="L169" s="55" t="str">
        <f t="shared" si="230"/>
        <v/>
      </c>
      <c r="M169" s="55" t="str">
        <f t="shared" si="230"/>
        <v/>
      </c>
      <c r="N169" s="55" t="str">
        <f t="shared" si="230"/>
        <v/>
      </c>
      <c r="O169" s="55" t="str">
        <f t="shared" si="230"/>
        <v/>
      </c>
      <c r="P169" s="55" t="str">
        <f t="shared" si="230"/>
        <v/>
      </c>
      <c r="Q169" s="55" t="str">
        <f t="shared" si="230"/>
        <v/>
      </c>
      <c r="S169" s="55" t="str">
        <f t="shared" si="197"/>
        <v>acons</v>
      </c>
      <c r="T169" s="55" t="str">
        <f t="shared" ref="T169:AH169" si="231">IF(BD86&gt;0,T$119,"")</f>
        <v/>
      </c>
      <c r="U169" s="55" t="str">
        <f t="shared" si="231"/>
        <v/>
      </c>
      <c r="V169" s="55" t="str">
        <f t="shared" si="231"/>
        <v/>
      </c>
      <c r="W169" s="55" t="str">
        <f t="shared" si="231"/>
        <v/>
      </c>
      <c r="X169" s="55" t="str">
        <f t="shared" si="231"/>
        <v/>
      </c>
      <c r="Y169" s="55" t="str">
        <f t="shared" si="231"/>
        <v/>
      </c>
      <c r="Z169" s="55" t="str">
        <f t="shared" si="231"/>
        <v/>
      </c>
      <c r="AA169" s="55" t="str">
        <f t="shared" si="231"/>
        <v/>
      </c>
      <c r="AB169" s="55" t="str">
        <f t="shared" si="231"/>
        <v/>
      </c>
      <c r="AC169" s="55" t="str">
        <f t="shared" si="231"/>
        <v/>
      </c>
      <c r="AD169" s="55" t="str">
        <f t="shared" si="231"/>
        <v/>
      </c>
      <c r="AE169" s="55" t="str">
        <f t="shared" si="231"/>
        <v/>
      </c>
      <c r="AF169" s="55" t="str">
        <f t="shared" si="231"/>
        <v/>
      </c>
      <c r="AG169" s="55" t="str">
        <f t="shared" si="231"/>
        <v/>
      </c>
      <c r="AH169" s="55" t="str">
        <f t="shared" si="231"/>
        <v/>
      </c>
    </row>
    <row r="170" spans="2:34" x14ac:dyDescent="0.35">
      <c r="B170" s="58" t="str">
        <f t="shared" si="196"/>
        <v>chotl</v>
      </c>
      <c r="C170" s="58" t="str">
        <f t="shared" ref="C170:Q171" si="232">IF(AM87&gt;0,T$120,"")</f>
        <v/>
      </c>
      <c r="D170" s="58" t="str">
        <f t="shared" si="232"/>
        <v/>
      </c>
      <c r="E170" s="58" t="str">
        <f t="shared" si="232"/>
        <v/>
      </c>
      <c r="F170" s="58">
        <f t="shared" si="232"/>
        <v>1.8344860741721902</v>
      </c>
      <c r="G170" s="58">
        <f t="shared" si="232"/>
        <v>1.4495229376583367</v>
      </c>
      <c r="H170" s="58" t="str">
        <f t="shared" si="232"/>
        <v/>
      </c>
      <c r="I170" s="58" t="str">
        <f t="shared" si="232"/>
        <v/>
      </c>
      <c r="J170" s="58" t="str">
        <f t="shared" si="232"/>
        <v/>
      </c>
      <c r="K170" s="58" t="str">
        <f t="shared" si="232"/>
        <v/>
      </c>
      <c r="L170" s="58">
        <f t="shared" si="232"/>
        <v>1.4552584749334998</v>
      </c>
      <c r="M170" s="58" t="str">
        <f t="shared" si="232"/>
        <v/>
      </c>
      <c r="N170" s="58" t="str">
        <f t="shared" si="232"/>
        <v/>
      </c>
      <c r="O170" s="58" t="str">
        <f t="shared" si="232"/>
        <v/>
      </c>
      <c r="P170" s="58" t="str">
        <f t="shared" si="232"/>
        <v/>
      </c>
      <c r="Q170" s="58">
        <f t="shared" si="232"/>
        <v>1.2045235496682944</v>
      </c>
      <c r="S170" s="58" t="str">
        <f t="shared" si="197"/>
        <v>ahotl</v>
      </c>
      <c r="T170" s="58" t="str">
        <f t="shared" ref="T170:AH171" si="233">IF(BD87&gt;0,T$120,"")</f>
        <v/>
      </c>
      <c r="U170" s="58" t="str">
        <f t="shared" si="233"/>
        <v/>
      </c>
      <c r="V170" s="58" t="str">
        <f t="shared" si="233"/>
        <v/>
      </c>
      <c r="W170" s="58" t="str">
        <f t="shared" si="233"/>
        <v/>
      </c>
      <c r="X170" s="58" t="str">
        <f t="shared" si="233"/>
        <v/>
      </c>
      <c r="Y170" s="58" t="str">
        <f t="shared" si="233"/>
        <v/>
      </c>
      <c r="Z170" s="58" t="str">
        <f t="shared" si="233"/>
        <v/>
      </c>
      <c r="AA170" s="58" t="str">
        <f t="shared" si="233"/>
        <v/>
      </c>
      <c r="AB170" s="58" t="str">
        <f t="shared" si="233"/>
        <v/>
      </c>
      <c r="AC170" s="58" t="str">
        <f t="shared" si="233"/>
        <v/>
      </c>
      <c r="AD170" s="58" t="str">
        <f t="shared" si="233"/>
        <v/>
      </c>
      <c r="AE170" s="58" t="str">
        <f t="shared" si="233"/>
        <v/>
      </c>
      <c r="AF170" s="58" t="str">
        <f t="shared" si="233"/>
        <v/>
      </c>
      <c r="AG170" s="58" t="str">
        <f t="shared" si="233"/>
        <v/>
      </c>
      <c r="AH170" s="58" t="str">
        <f t="shared" si="233"/>
        <v/>
      </c>
    </row>
    <row r="171" spans="2:34" x14ac:dyDescent="0.35">
      <c r="B171" s="52" t="str">
        <f t="shared" si="196"/>
        <v>crest</v>
      </c>
      <c r="C171" s="52">
        <f t="shared" si="232"/>
        <v>2.5353890571740196</v>
      </c>
      <c r="D171" s="52">
        <f t="shared" si="232"/>
        <v>2.3182936323781407</v>
      </c>
      <c r="E171" s="52">
        <f t="shared" si="232"/>
        <v>2.0743913902855162</v>
      </c>
      <c r="F171" s="52">
        <f t="shared" si="232"/>
        <v>1.8344860741721902</v>
      </c>
      <c r="G171" s="52">
        <f t="shared" si="232"/>
        <v>1.4495229376583367</v>
      </c>
      <c r="H171" s="52">
        <f t="shared" si="232"/>
        <v>2.193180518956567</v>
      </c>
      <c r="I171" s="52">
        <f t="shared" si="232"/>
        <v>2.1484506200227824</v>
      </c>
      <c r="J171" s="52">
        <f t="shared" si="232"/>
        <v>1.9517558831708703</v>
      </c>
      <c r="K171" s="52">
        <f t="shared" si="232"/>
        <v>1.587537377861725</v>
      </c>
      <c r="L171" s="52">
        <f t="shared" si="232"/>
        <v>1.4552584749334998</v>
      </c>
      <c r="M171" s="52">
        <f t="shared" si="232"/>
        <v>1.8377697197336871</v>
      </c>
      <c r="N171" s="52">
        <f t="shared" si="232"/>
        <v>1.8531195532780982</v>
      </c>
      <c r="O171" s="52">
        <f t="shared" si="232"/>
        <v>1.7153456820771116</v>
      </c>
      <c r="P171" s="52">
        <f t="shared" si="232"/>
        <v>1.5449991429124632</v>
      </c>
      <c r="Q171" s="52">
        <f t="shared" si="232"/>
        <v>1.2045235496682944</v>
      </c>
      <c r="S171" s="52" t="str">
        <f t="shared" si="197"/>
        <v>arest</v>
      </c>
      <c r="T171" s="52" t="str">
        <f t="shared" si="233"/>
        <v/>
      </c>
      <c r="U171" s="52" t="str">
        <f t="shared" si="233"/>
        <v/>
      </c>
      <c r="V171" s="52" t="str">
        <f t="shared" si="233"/>
        <v/>
      </c>
      <c r="W171" s="52" t="str">
        <f t="shared" si="233"/>
        <v/>
      </c>
      <c r="X171" s="52" t="str">
        <f t="shared" si="233"/>
        <v/>
      </c>
      <c r="Y171" s="52" t="str">
        <f t="shared" si="233"/>
        <v/>
      </c>
      <c r="Z171" s="52" t="str">
        <f t="shared" si="233"/>
        <v/>
      </c>
      <c r="AA171" s="52" t="str">
        <f t="shared" si="233"/>
        <v/>
      </c>
      <c r="AB171" s="52" t="str">
        <f t="shared" si="233"/>
        <v/>
      </c>
      <c r="AC171" s="52" t="str">
        <f t="shared" si="233"/>
        <v/>
      </c>
      <c r="AD171" s="52" t="str">
        <f t="shared" si="233"/>
        <v/>
      </c>
      <c r="AE171" s="52" t="str">
        <f t="shared" si="233"/>
        <v/>
      </c>
      <c r="AF171" s="52" t="str">
        <f t="shared" si="233"/>
        <v/>
      </c>
      <c r="AG171" s="52" t="str">
        <f t="shared" si="233"/>
        <v/>
      </c>
      <c r="AH171" s="52" t="str">
        <f t="shared" si="233"/>
        <v/>
      </c>
    </row>
    <row r="172" spans="2:34" x14ac:dyDescent="0.35">
      <c r="B172" s="58" t="str">
        <f t="shared" si="196"/>
        <v>ctrad</v>
      </c>
      <c r="C172" s="58">
        <f t="shared" ref="C172:Q174" si="234">IF(AM89&gt;0,T$121,"")</f>
        <v>2.5353890571740196</v>
      </c>
      <c r="D172" s="58">
        <f t="shared" si="234"/>
        <v>2.3182936323781407</v>
      </c>
      <c r="E172" s="58">
        <f t="shared" si="234"/>
        <v>2.0743913902855162</v>
      </c>
      <c r="F172" s="58">
        <f t="shared" si="234"/>
        <v>1.8344860741721902</v>
      </c>
      <c r="G172" s="58">
        <f t="shared" si="234"/>
        <v>1.4495229376583367</v>
      </c>
      <c r="H172" s="58">
        <f t="shared" si="234"/>
        <v>2.193180518956567</v>
      </c>
      <c r="I172" s="58">
        <f t="shared" si="234"/>
        <v>2.1484506200227824</v>
      </c>
      <c r="J172" s="58">
        <f t="shared" si="234"/>
        <v>1.9517558831708703</v>
      </c>
      <c r="K172" s="58">
        <f t="shared" si="234"/>
        <v>1.587537377861725</v>
      </c>
      <c r="L172" s="58">
        <f t="shared" si="234"/>
        <v>1.4552584749334998</v>
      </c>
      <c r="M172" s="58" t="str">
        <f t="shared" si="234"/>
        <v/>
      </c>
      <c r="N172" s="58">
        <f t="shared" si="234"/>
        <v>1.8531195532780982</v>
      </c>
      <c r="O172" s="58">
        <f t="shared" si="234"/>
        <v>1.7153456820771116</v>
      </c>
      <c r="P172" s="58">
        <f t="shared" si="234"/>
        <v>1.5449991429124632</v>
      </c>
      <c r="Q172" s="58">
        <f t="shared" si="234"/>
        <v>1.2045235496682944</v>
      </c>
      <c r="S172" s="58" t="str">
        <f t="shared" si="197"/>
        <v>atrad</v>
      </c>
      <c r="T172" s="58" t="str">
        <f t="shared" ref="T172:AH174" si="235">IF(BD89&gt;0,T$121,"")</f>
        <v/>
      </c>
      <c r="U172" s="58" t="str">
        <f t="shared" si="235"/>
        <v/>
      </c>
      <c r="V172" s="58" t="str">
        <f t="shared" si="235"/>
        <v/>
      </c>
      <c r="W172" s="58" t="str">
        <f t="shared" si="235"/>
        <v/>
      </c>
      <c r="X172" s="58" t="str">
        <f t="shared" si="235"/>
        <v/>
      </c>
      <c r="Y172" s="58" t="str">
        <f t="shared" si="235"/>
        <v/>
      </c>
      <c r="Z172" s="58" t="str">
        <f t="shared" si="235"/>
        <v/>
      </c>
      <c r="AA172" s="58" t="str">
        <f t="shared" si="235"/>
        <v/>
      </c>
      <c r="AB172" s="58" t="str">
        <f t="shared" si="235"/>
        <v/>
      </c>
      <c r="AC172" s="58" t="str">
        <f t="shared" si="235"/>
        <v/>
      </c>
      <c r="AD172" s="58" t="str">
        <f t="shared" si="235"/>
        <v/>
      </c>
      <c r="AE172" s="58" t="str">
        <f t="shared" si="235"/>
        <v/>
      </c>
      <c r="AF172" s="58" t="str">
        <f t="shared" si="235"/>
        <v/>
      </c>
      <c r="AG172" s="58" t="str">
        <f t="shared" si="235"/>
        <v/>
      </c>
      <c r="AH172" s="58" t="str">
        <f t="shared" si="235"/>
        <v/>
      </c>
    </row>
    <row r="173" spans="2:34" x14ac:dyDescent="0.35">
      <c r="B173" s="43" t="str">
        <f t="shared" si="196"/>
        <v>ctran</v>
      </c>
      <c r="C173" s="43">
        <f t="shared" si="234"/>
        <v>2.5353890571740196</v>
      </c>
      <c r="D173" s="43">
        <f t="shared" si="234"/>
        <v>2.3182936323781407</v>
      </c>
      <c r="E173" s="43">
        <f t="shared" si="234"/>
        <v>2.0743913902855162</v>
      </c>
      <c r="F173" s="43">
        <f t="shared" si="234"/>
        <v>1.8344860741721902</v>
      </c>
      <c r="G173" s="43">
        <f t="shared" si="234"/>
        <v>1.4495229376583367</v>
      </c>
      <c r="H173" s="43">
        <f t="shared" si="234"/>
        <v>2.193180518956567</v>
      </c>
      <c r="I173" s="43">
        <f t="shared" si="234"/>
        <v>2.1484506200227824</v>
      </c>
      <c r="J173" s="43">
        <f t="shared" si="234"/>
        <v>1.9517558831708703</v>
      </c>
      <c r="K173" s="43">
        <f t="shared" si="234"/>
        <v>1.587537377861725</v>
      </c>
      <c r="L173" s="43">
        <f t="shared" si="234"/>
        <v>1.4552584749334998</v>
      </c>
      <c r="M173" s="43">
        <f t="shared" si="234"/>
        <v>1.8377697197336871</v>
      </c>
      <c r="N173" s="43">
        <f t="shared" si="234"/>
        <v>1.8531195532780982</v>
      </c>
      <c r="O173" s="43">
        <f t="shared" si="234"/>
        <v>1.7153456820771116</v>
      </c>
      <c r="P173" s="43">
        <f t="shared" si="234"/>
        <v>1.5449991429124632</v>
      </c>
      <c r="Q173" s="43">
        <f t="shared" si="234"/>
        <v>1.2045235496682944</v>
      </c>
      <c r="S173" s="43" t="str">
        <f t="shared" si="197"/>
        <v>atran</v>
      </c>
      <c r="T173" s="43" t="str">
        <f t="shared" si="235"/>
        <v/>
      </c>
      <c r="U173" s="43" t="str">
        <f t="shared" si="235"/>
        <v/>
      </c>
      <c r="V173" s="43" t="str">
        <f t="shared" si="235"/>
        <v/>
      </c>
      <c r="W173" s="43" t="str">
        <f t="shared" si="235"/>
        <v/>
      </c>
      <c r="X173" s="43" t="str">
        <f t="shared" si="235"/>
        <v/>
      </c>
      <c r="Y173" s="43" t="str">
        <f t="shared" si="235"/>
        <v/>
      </c>
      <c r="Z173" s="43" t="str">
        <f t="shared" si="235"/>
        <v/>
      </c>
      <c r="AA173" s="43" t="str">
        <f t="shared" si="235"/>
        <v/>
      </c>
      <c r="AB173" s="43" t="str">
        <f t="shared" si="235"/>
        <v/>
      </c>
      <c r="AC173" s="43" t="str">
        <f t="shared" si="235"/>
        <v/>
      </c>
      <c r="AD173" s="43" t="str">
        <f t="shared" si="235"/>
        <v/>
      </c>
      <c r="AE173" s="43" t="str">
        <f t="shared" si="235"/>
        <v/>
      </c>
      <c r="AF173" s="43" t="str">
        <f t="shared" si="235"/>
        <v/>
      </c>
      <c r="AG173" s="43" t="str">
        <f t="shared" si="235"/>
        <v/>
      </c>
      <c r="AH173" s="43" t="str">
        <f t="shared" si="235"/>
        <v/>
      </c>
    </row>
    <row r="174" spans="2:34" x14ac:dyDescent="0.35">
      <c r="B174" s="52" t="str">
        <f t="shared" si="196"/>
        <v>ccomm</v>
      </c>
      <c r="C174" s="52">
        <f t="shared" si="234"/>
        <v>2.5353890571740196</v>
      </c>
      <c r="D174" s="52">
        <f t="shared" si="234"/>
        <v>2.3182936323781407</v>
      </c>
      <c r="E174" s="52">
        <f t="shared" si="234"/>
        <v>2.0743913902855162</v>
      </c>
      <c r="F174" s="52">
        <f t="shared" si="234"/>
        <v>1.8344860741721902</v>
      </c>
      <c r="G174" s="52">
        <f t="shared" si="234"/>
        <v>1.4495229376583367</v>
      </c>
      <c r="H174" s="52">
        <f t="shared" si="234"/>
        <v>2.193180518956567</v>
      </c>
      <c r="I174" s="52">
        <f t="shared" si="234"/>
        <v>2.1484506200227824</v>
      </c>
      <c r="J174" s="52">
        <f t="shared" si="234"/>
        <v>1.9517558831708703</v>
      </c>
      <c r="K174" s="52">
        <f t="shared" si="234"/>
        <v>1.587537377861725</v>
      </c>
      <c r="L174" s="52">
        <f t="shared" si="234"/>
        <v>1.4552584749334998</v>
      </c>
      <c r="M174" s="52">
        <f t="shared" si="234"/>
        <v>1.8377697197336871</v>
      </c>
      <c r="N174" s="52">
        <f t="shared" si="234"/>
        <v>1.8531195532780982</v>
      </c>
      <c r="O174" s="52">
        <f t="shared" si="234"/>
        <v>1.7153456820771116</v>
      </c>
      <c r="P174" s="52">
        <f t="shared" si="234"/>
        <v>1.5449991429124632</v>
      </c>
      <c r="Q174" s="52">
        <f t="shared" si="234"/>
        <v>1.2045235496682944</v>
      </c>
      <c r="S174" s="52" t="str">
        <f t="shared" si="197"/>
        <v>acomm</v>
      </c>
      <c r="T174" s="52" t="str">
        <f t="shared" si="235"/>
        <v/>
      </c>
      <c r="U174" s="52" t="str">
        <f t="shared" si="235"/>
        <v/>
      </c>
      <c r="V174" s="52" t="str">
        <f t="shared" si="235"/>
        <v/>
      </c>
      <c r="W174" s="52" t="str">
        <f t="shared" si="235"/>
        <v/>
      </c>
      <c r="X174" s="52" t="str">
        <f t="shared" si="235"/>
        <v/>
      </c>
      <c r="Y174" s="52" t="str">
        <f t="shared" si="235"/>
        <v/>
      </c>
      <c r="Z174" s="52" t="str">
        <f t="shared" si="235"/>
        <v/>
      </c>
      <c r="AA174" s="52" t="str">
        <f t="shared" si="235"/>
        <v/>
      </c>
      <c r="AB174" s="52" t="str">
        <f t="shared" si="235"/>
        <v/>
      </c>
      <c r="AC174" s="52" t="str">
        <f t="shared" si="235"/>
        <v/>
      </c>
      <c r="AD174" s="52" t="str">
        <f t="shared" si="235"/>
        <v/>
      </c>
      <c r="AE174" s="52" t="str">
        <f t="shared" si="235"/>
        <v/>
      </c>
      <c r="AF174" s="52" t="str">
        <f t="shared" si="235"/>
        <v/>
      </c>
      <c r="AG174" s="52" t="str">
        <f t="shared" si="235"/>
        <v/>
      </c>
      <c r="AH174" s="52" t="str">
        <f t="shared" si="235"/>
        <v/>
      </c>
    </row>
    <row r="175" spans="2:34" x14ac:dyDescent="0.35">
      <c r="B175" s="43" t="str">
        <f t="shared" si="196"/>
        <v>cfsrv</v>
      </c>
      <c r="C175" s="43" t="str">
        <f t="shared" ref="C175:Q177" si="236">IF(AM92&gt;0,T$122,"")</f>
        <v/>
      </c>
      <c r="D175" s="43" t="str">
        <f t="shared" si="236"/>
        <v/>
      </c>
      <c r="E175" s="43" t="str">
        <f t="shared" si="236"/>
        <v/>
      </c>
      <c r="F175" s="43">
        <f t="shared" si="236"/>
        <v>1.8344860741721902</v>
      </c>
      <c r="G175" s="43">
        <f t="shared" si="236"/>
        <v>1.4495229376583367</v>
      </c>
      <c r="H175" s="43" t="str">
        <f t="shared" si="236"/>
        <v/>
      </c>
      <c r="I175" s="43" t="str">
        <f t="shared" si="236"/>
        <v/>
      </c>
      <c r="J175" s="43" t="str">
        <f t="shared" si="236"/>
        <v/>
      </c>
      <c r="K175" s="43" t="str">
        <f t="shared" si="236"/>
        <v/>
      </c>
      <c r="L175" s="43">
        <f t="shared" si="236"/>
        <v>1.4552584749334998</v>
      </c>
      <c r="M175" s="43" t="str">
        <f t="shared" si="236"/>
        <v/>
      </c>
      <c r="N175" s="43" t="str">
        <f t="shared" si="236"/>
        <v/>
      </c>
      <c r="O175" s="43">
        <f t="shared" si="236"/>
        <v>1.7153456820771116</v>
      </c>
      <c r="P175" s="43">
        <f t="shared" si="236"/>
        <v>1.5449991429124632</v>
      </c>
      <c r="Q175" s="43">
        <f t="shared" si="236"/>
        <v>1.2045235496682944</v>
      </c>
      <c r="S175" s="43" t="str">
        <f t="shared" si="197"/>
        <v>afsrv</v>
      </c>
      <c r="T175" s="43" t="str">
        <f t="shared" ref="T175:AH177" si="237">IF(BD92&gt;0,T$122,"")</f>
        <v/>
      </c>
      <c r="U175" s="43" t="str">
        <f t="shared" si="237"/>
        <v/>
      </c>
      <c r="V175" s="43" t="str">
        <f t="shared" si="237"/>
        <v/>
      </c>
      <c r="W175" s="43" t="str">
        <f t="shared" si="237"/>
        <v/>
      </c>
      <c r="X175" s="43" t="str">
        <f t="shared" si="237"/>
        <v/>
      </c>
      <c r="Y175" s="43" t="str">
        <f t="shared" si="237"/>
        <v/>
      </c>
      <c r="Z175" s="43" t="str">
        <f t="shared" si="237"/>
        <v/>
      </c>
      <c r="AA175" s="43" t="str">
        <f t="shared" si="237"/>
        <v/>
      </c>
      <c r="AB175" s="43" t="str">
        <f t="shared" si="237"/>
        <v/>
      </c>
      <c r="AC175" s="43" t="str">
        <f t="shared" si="237"/>
        <v/>
      </c>
      <c r="AD175" s="43" t="str">
        <f t="shared" si="237"/>
        <v/>
      </c>
      <c r="AE175" s="43" t="str">
        <f t="shared" si="237"/>
        <v/>
      </c>
      <c r="AF175" s="43" t="str">
        <f t="shared" si="237"/>
        <v/>
      </c>
      <c r="AG175" s="43" t="str">
        <f t="shared" si="237"/>
        <v/>
      </c>
      <c r="AH175" s="43" t="str">
        <f t="shared" si="237"/>
        <v/>
      </c>
    </row>
    <row r="176" spans="2:34" x14ac:dyDescent="0.35">
      <c r="B176" s="43" t="str">
        <f t="shared" si="196"/>
        <v>cbsrv</v>
      </c>
      <c r="C176" s="43">
        <f t="shared" si="236"/>
        <v>2.5353890571740196</v>
      </c>
      <c r="D176" s="43">
        <f t="shared" si="236"/>
        <v>2.3182936323781407</v>
      </c>
      <c r="E176" s="43">
        <f t="shared" si="236"/>
        <v>2.0743913902855162</v>
      </c>
      <c r="F176" s="43">
        <f t="shared" si="236"/>
        <v>1.8344860741721902</v>
      </c>
      <c r="G176" s="43">
        <f t="shared" si="236"/>
        <v>1.4495229376583367</v>
      </c>
      <c r="H176" s="43">
        <f t="shared" si="236"/>
        <v>2.193180518956567</v>
      </c>
      <c r="I176" s="43">
        <f t="shared" si="236"/>
        <v>2.1484506200227824</v>
      </c>
      <c r="J176" s="43">
        <f t="shared" si="236"/>
        <v>1.9517558831708703</v>
      </c>
      <c r="K176" s="43">
        <f t="shared" si="236"/>
        <v>1.587537377861725</v>
      </c>
      <c r="L176" s="43">
        <f t="shared" si="236"/>
        <v>1.4552584749334998</v>
      </c>
      <c r="M176" s="43">
        <f t="shared" si="236"/>
        <v>1.8377697197336871</v>
      </c>
      <c r="N176" s="43">
        <f t="shared" si="236"/>
        <v>1.8531195532780982</v>
      </c>
      <c r="O176" s="43">
        <f t="shared" si="236"/>
        <v>1.7153456820771116</v>
      </c>
      <c r="P176" s="43">
        <f t="shared" si="236"/>
        <v>1.5449991429124632</v>
      </c>
      <c r="Q176" s="43">
        <f t="shared" si="236"/>
        <v>1.2045235496682944</v>
      </c>
      <c r="S176" s="43" t="str">
        <f t="shared" si="197"/>
        <v>absrv</v>
      </c>
      <c r="T176" s="43" t="str">
        <f t="shared" si="237"/>
        <v/>
      </c>
      <c r="U176" s="43" t="str">
        <f t="shared" si="237"/>
        <v/>
      </c>
      <c r="V176" s="43" t="str">
        <f t="shared" si="237"/>
        <v/>
      </c>
      <c r="W176" s="43" t="str">
        <f t="shared" si="237"/>
        <v/>
      </c>
      <c r="X176" s="43" t="str">
        <f t="shared" si="237"/>
        <v/>
      </c>
      <c r="Y176" s="43" t="str">
        <f t="shared" si="237"/>
        <v/>
      </c>
      <c r="Z176" s="43" t="str">
        <f t="shared" si="237"/>
        <v/>
      </c>
      <c r="AA176" s="43" t="str">
        <f t="shared" si="237"/>
        <v/>
      </c>
      <c r="AB176" s="43" t="str">
        <f t="shared" si="237"/>
        <v/>
      </c>
      <c r="AC176" s="43" t="str">
        <f t="shared" si="237"/>
        <v/>
      </c>
      <c r="AD176" s="43" t="str">
        <f t="shared" si="237"/>
        <v/>
      </c>
      <c r="AE176" s="43" t="str">
        <f t="shared" si="237"/>
        <v/>
      </c>
      <c r="AF176" s="43" t="str">
        <f t="shared" si="237"/>
        <v/>
      </c>
      <c r="AG176" s="43" t="str">
        <f t="shared" si="237"/>
        <v/>
      </c>
      <c r="AH176" s="43" t="str">
        <f t="shared" si="237"/>
        <v/>
      </c>
    </row>
    <row r="177" spans="1:34" x14ac:dyDescent="0.35">
      <c r="B177" s="52" t="str">
        <f t="shared" si="196"/>
        <v>cosrv</v>
      </c>
      <c r="C177" s="52">
        <f t="shared" si="236"/>
        <v>2.5353890571740196</v>
      </c>
      <c r="D177" s="52">
        <f t="shared" si="236"/>
        <v>2.3182936323781407</v>
      </c>
      <c r="E177" s="52">
        <f t="shared" si="236"/>
        <v>2.0743913902855162</v>
      </c>
      <c r="F177" s="52">
        <f t="shared" si="236"/>
        <v>1.8344860741721902</v>
      </c>
      <c r="G177" s="52">
        <f t="shared" si="236"/>
        <v>1.4495229376583367</v>
      </c>
      <c r="H177" s="52">
        <f t="shared" si="236"/>
        <v>2.193180518956567</v>
      </c>
      <c r="I177" s="52">
        <f t="shared" si="236"/>
        <v>2.1484506200227824</v>
      </c>
      <c r="J177" s="52">
        <f t="shared" si="236"/>
        <v>1.9517558831708703</v>
      </c>
      <c r="K177" s="52">
        <f t="shared" si="236"/>
        <v>1.587537377861725</v>
      </c>
      <c r="L177" s="52">
        <f t="shared" si="236"/>
        <v>1.4552584749334998</v>
      </c>
      <c r="M177" s="52">
        <f t="shared" si="236"/>
        <v>1.8377697197336871</v>
      </c>
      <c r="N177" s="52">
        <f t="shared" si="236"/>
        <v>1.8531195532780982</v>
      </c>
      <c r="O177" s="52">
        <f t="shared" si="236"/>
        <v>1.7153456820771116</v>
      </c>
      <c r="P177" s="52">
        <f t="shared" si="236"/>
        <v>1.5449991429124632</v>
      </c>
      <c r="Q177" s="52">
        <f t="shared" si="236"/>
        <v>1.2045235496682944</v>
      </c>
      <c r="S177" s="52" t="str">
        <f t="shared" si="197"/>
        <v>aosrv</v>
      </c>
      <c r="T177" s="52" t="str">
        <f t="shared" si="237"/>
        <v/>
      </c>
      <c r="U177" s="52" t="str">
        <f t="shared" si="237"/>
        <v/>
      </c>
      <c r="V177" s="52" t="str">
        <f t="shared" si="237"/>
        <v/>
      </c>
      <c r="W177" s="52" t="str">
        <f t="shared" si="237"/>
        <v/>
      </c>
      <c r="X177" s="52" t="str">
        <f t="shared" si="237"/>
        <v/>
      </c>
      <c r="Y177" s="52" t="str">
        <f t="shared" si="237"/>
        <v/>
      </c>
      <c r="Z177" s="52" t="str">
        <f t="shared" si="237"/>
        <v/>
      </c>
      <c r="AA177" s="52" t="str">
        <f t="shared" si="237"/>
        <v/>
      </c>
      <c r="AB177" s="52" t="str">
        <f t="shared" si="237"/>
        <v/>
      </c>
      <c r="AC177" s="52" t="str">
        <f t="shared" si="237"/>
        <v/>
      </c>
      <c r="AD177" s="52" t="str">
        <f t="shared" si="237"/>
        <v/>
      </c>
      <c r="AE177" s="52" t="str">
        <f t="shared" si="237"/>
        <v/>
      </c>
      <c r="AF177" s="52" t="str">
        <f t="shared" si="237"/>
        <v/>
      </c>
      <c r="AG177" s="52" t="str">
        <f t="shared" si="237"/>
        <v/>
      </c>
      <c r="AH177" s="52" t="str">
        <f t="shared" si="237"/>
        <v/>
      </c>
    </row>
    <row r="180" spans="1:34" s="34" customFormat="1" x14ac:dyDescent="0.35"/>
    <row r="182" spans="1:34" x14ac:dyDescent="0.35">
      <c r="A182" t="s">
        <v>614</v>
      </c>
    </row>
    <row r="183" spans="1:34" x14ac:dyDescent="0.35">
      <c r="A183" t="s">
        <v>609</v>
      </c>
    </row>
    <row r="184" spans="1:34" x14ac:dyDescent="0.35">
      <c r="A184" s="18"/>
      <c r="B184" s="44" t="s">
        <v>127</v>
      </c>
      <c r="C184" s="30" t="s">
        <v>217</v>
      </c>
      <c r="D184" s="30" t="s">
        <v>218</v>
      </c>
      <c r="E184" s="30" t="s">
        <v>219</v>
      </c>
      <c r="F184" s="30" t="s">
        <v>220</v>
      </c>
      <c r="G184" s="30" t="s">
        <v>221</v>
      </c>
      <c r="H184" s="30" t="s">
        <v>595</v>
      </c>
      <c r="I184" s="30" t="s">
        <v>596</v>
      </c>
      <c r="J184" s="30" t="s">
        <v>597</v>
      </c>
      <c r="K184" s="30" t="s">
        <v>598</v>
      </c>
      <c r="L184" s="30" t="s">
        <v>599</v>
      </c>
      <c r="M184" s="30" t="s">
        <v>222</v>
      </c>
      <c r="N184" s="30" t="s">
        <v>223</v>
      </c>
      <c r="O184" s="30" t="s">
        <v>224</v>
      </c>
      <c r="P184" s="30" t="s">
        <v>225</v>
      </c>
      <c r="Q184" s="30" t="s">
        <v>226</v>
      </c>
    </row>
    <row r="185" spans="1:34" x14ac:dyDescent="0.35">
      <c r="B185" s="33">
        <f>SUM(C185:Q185)</f>
        <v>6389.4605735463874</v>
      </c>
      <c r="C185" s="18">
        <f t="shared" ref="C185:Q185" si="238">U43</f>
        <v>257.56976166508139</v>
      </c>
      <c r="D185" s="18">
        <f t="shared" si="238"/>
        <v>366.65557813212644</v>
      </c>
      <c r="E185" s="18">
        <f t="shared" si="238"/>
        <v>570.35052586634845</v>
      </c>
      <c r="F185" s="18">
        <f t="shared" si="238"/>
        <v>780.61666403564595</v>
      </c>
      <c r="G185" s="18">
        <f t="shared" si="238"/>
        <v>1396.7846328938244</v>
      </c>
      <c r="H185" s="18">
        <f t="shared" si="238"/>
        <v>16.975032855087413</v>
      </c>
      <c r="I185" s="18">
        <f t="shared" si="238"/>
        <v>21.898084728544859</v>
      </c>
      <c r="J185" s="18">
        <f t="shared" si="238"/>
        <v>26.992697433990934</v>
      </c>
      <c r="K185" s="18">
        <f t="shared" si="238"/>
        <v>52.94449332173771</v>
      </c>
      <c r="L185" s="18">
        <f t="shared" si="238"/>
        <v>214.29950082370101</v>
      </c>
      <c r="M185" s="18">
        <f t="shared" si="238"/>
        <v>11.80401374365692</v>
      </c>
      <c r="N185" s="18">
        <f t="shared" si="238"/>
        <v>35.592120329504368</v>
      </c>
      <c r="O185" s="18">
        <f t="shared" si="238"/>
        <v>101.16430264824207</v>
      </c>
      <c r="P185" s="18">
        <f t="shared" si="238"/>
        <v>243.17594505060927</v>
      </c>
      <c r="Q185" s="18">
        <f t="shared" si="238"/>
        <v>2292.6372200182868</v>
      </c>
    </row>
    <row r="186" spans="1:34" x14ac:dyDescent="0.35">
      <c r="C186" s="43"/>
    </row>
    <row r="187" spans="1:34" x14ac:dyDescent="0.35">
      <c r="A187" s="69" t="s">
        <v>653</v>
      </c>
      <c r="D187" t="s">
        <v>647</v>
      </c>
      <c r="E187" s="68" t="s">
        <v>648</v>
      </c>
    </row>
    <row r="188" spans="1:34" x14ac:dyDescent="0.35">
      <c r="A188" s="66">
        <f>E188</f>
        <v>745.54</v>
      </c>
      <c r="D188">
        <f>E188/0.151863382</f>
        <v>4909.2808956407935</v>
      </c>
      <c r="E188" s="68">
        <v>745.54</v>
      </c>
    </row>
    <row r="190" spans="1:34" x14ac:dyDescent="0.35">
      <c r="A190" t="s">
        <v>610</v>
      </c>
    </row>
    <row r="191" spans="1:34" x14ac:dyDescent="0.35">
      <c r="A191" s="18"/>
      <c r="B191" s="44" t="s">
        <v>127</v>
      </c>
      <c r="C191" s="30" t="s">
        <v>217</v>
      </c>
      <c r="D191" s="30" t="s">
        <v>218</v>
      </c>
      <c r="E191" s="30" t="s">
        <v>219</v>
      </c>
      <c r="F191" s="30" t="s">
        <v>220</v>
      </c>
      <c r="G191" s="30" t="s">
        <v>221</v>
      </c>
      <c r="H191" s="30" t="s">
        <v>595</v>
      </c>
      <c r="I191" s="30" t="s">
        <v>596</v>
      </c>
      <c r="J191" s="30" t="s">
        <v>597</v>
      </c>
      <c r="K191" s="30" t="s">
        <v>598</v>
      </c>
      <c r="L191" s="30" t="s">
        <v>599</v>
      </c>
      <c r="M191" s="30" t="s">
        <v>222</v>
      </c>
      <c r="N191" s="30" t="s">
        <v>223</v>
      </c>
      <c r="O191" s="30" t="s">
        <v>224</v>
      </c>
      <c r="P191" s="30" t="s">
        <v>225</v>
      </c>
      <c r="Q191" s="30" t="s">
        <v>226</v>
      </c>
    </row>
    <row r="192" spans="1:34" x14ac:dyDescent="0.35">
      <c r="A192" t="s">
        <v>127</v>
      </c>
      <c r="B192" s="41">
        <f t="shared" ref="B192:Q192" si="239">B185/$A$188</f>
        <v>8.570245155922402</v>
      </c>
      <c r="C192" s="18">
        <f t="shared" si="239"/>
        <v>0.34548080809223031</v>
      </c>
      <c r="D192" s="18">
        <f t="shared" si="239"/>
        <v>0.49179866691542568</v>
      </c>
      <c r="E192" s="18">
        <f t="shared" si="239"/>
        <v>0.76501666693450177</v>
      </c>
      <c r="F192" s="18">
        <f t="shared" si="239"/>
        <v>1.0470486681273252</v>
      </c>
      <c r="G192" s="18">
        <f t="shared" si="239"/>
        <v>1.873520713702584</v>
      </c>
      <c r="H192" s="18">
        <f t="shared" si="239"/>
        <v>2.2768775458174496E-2</v>
      </c>
      <c r="I192" s="18">
        <f t="shared" si="239"/>
        <v>2.9372112466862756E-2</v>
      </c>
      <c r="J192" s="18">
        <f t="shared" si="239"/>
        <v>3.6205565675873776E-2</v>
      </c>
      <c r="K192" s="18">
        <f t="shared" si="239"/>
        <v>7.1014960058129295E-2</v>
      </c>
      <c r="L192" s="18">
        <f t="shared" si="239"/>
        <v>0.28744198946227034</v>
      </c>
      <c r="M192" s="18">
        <f t="shared" si="239"/>
        <v>1.5832837599132066E-2</v>
      </c>
      <c r="N192" s="18">
        <f t="shared" si="239"/>
        <v>4.7740054630877445E-2</v>
      </c>
      <c r="O192" s="18">
        <f t="shared" si="239"/>
        <v>0.13569265585782397</v>
      </c>
      <c r="P192" s="18">
        <f t="shared" si="239"/>
        <v>0.3261742428985826</v>
      </c>
      <c r="Q192" s="18">
        <f t="shared" si="239"/>
        <v>3.0751364380426094</v>
      </c>
    </row>
    <row r="194" spans="1:18" x14ac:dyDescent="0.35">
      <c r="A194" t="s">
        <v>612</v>
      </c>
    </row>
    <row r="195" spans="1:18" x14ac:dyDescent="0.35">
      <c r="A195" s="18"/>
      <c r="B195" s="44" t="s">
        <v>127</v>
      </c>
      <c r="C195" s="30" t="s">
        <v>217</v>
      </c>
      <c r="D195" s="30" t="s">
        <v>218</v>
      </c>
      <c r="E195" s="30" t="s">
        <v>219</v>
      </c>
      <c r="F195" s="30" t="s">
        <v>220</v>
      </c>
      <c r="G195" s="30" t="s">
        <v>221</v>
      </c>
      <c r="H195" s="30" t="s">
        <v>595</v>
      </c>
      <c r="I195" s="30" t="s">
        <v>596</v>
      </c>
      <c r="J195" s="30" t="s">
        <v>597</v>
      </c>
      <c r="K195" s="30" t="s">
        <v>598</v>
      </c>
      <c r="L195" s="30" t="s">
        <v>599</v>
      </c>
      <c r="M195" s="30" t="s">
        <v>222</v>
      </c>
      <c r="N195" s="30" t="s">
        <v>223</v>
      </c>
      <c r="O195" s="30" t="s">
        <v>224</v>
      </c>
      <c r="P195" s="30" t="s">
        <v>225</v>
      </c>
      <c r="Q195" s="30" t="s">
        <v>226</v>
      </c>
    </row>
    <row r="196" spans="1:18" x14ac:dyDescent="0.35">
      <c r="A196" t="s">
        <v>127</v>
      </c>
      <c r="B196" s="33">
        <f>SUM(C196:Q196)</f>
        <v>17965.779115001984</v>
      </c>
      <c r="C196" s="18">
        <f t="array" ref="C196:Q196">TRANSPOSE(Population!B7:B21)</f>
        <v>3390.0384766340026</v>
      </c>
      <c r="D196" s="18">
        <v>3308.4136750360008</v>
      </c>
      <c r="E196" s="18">
        <v>3109.6773234559932</v>
      </c>
      <c r="F196" s="18">
        <v>2676.1294801079921</v>
      </c>
      <c r="G196" s="18">
        <v>1703.2540493389968</v>
      </c>
      <c r="H196" s="18">
        <v>136.26415971500006</v>
      </c>
      <c r="I196" s="18">
        <v>146.06489115100007</v>
      </c>
      <c r="J196" s="18">
        <v>166.710477067</v>
      </c>
      <c r="K196" s="18">
        <v>246.12437395499995</v>
      </c>
      <c r="L196" s="18">
        <v>270.96759332799979</v>
      </c>
      <c r="M196" s="18">
        <v>56.498352580000002</v>
      </c>
      <c r="N196" s="18">
        <v>135.22208945000003</v>
      </c>
      <c r="O196" s="18">
        <v>327.68851213100004</v>
      </c>
      <c r="P196" s="18">
        <v>671.29607243699957</v>
      </c>
      <c r="Q196" s="18">
        <v>1621.4295886149994</v>
      </c>
    </row>
    <row r="198" spans="1:18" x14ac:dyDescent="0.35">
      <c r="A198" t="s">
        <v>611</v>
      </c>
    </row>
    <row r="199" spans="1:18" x14ac:dyDescent="0.35">
      <c r="A199" s="18"/>
      <c r="B199" s="44" t="s">
        <v>127</v>
      </c>
      <c r="C199" s="30" t="s">
        <v>217</v>
      </c>
      <c r="D199" s="30" t="s">
        <v>218</v>
      </c>
      <c r="E199" s="30" t="s">
        <v>219</v>
      </c>
      <c r="F199" s="30" t="s">
        <v>220</v>
      </c>
      <c r="G199" s="30" t="s">
        <v>221</v>
      </c>
      <c r="H199" s="30" t="s">
        <v>595</v>
      </c>
      <c r="I199" s="30" t="s">
        <v>596</v>
      </c>
      <c r="J199" s="30" t="s">
        <v>597</v>
      </c>
      <c r="K199" s="30" t="s">
        <v>598</v>
      </c>
      <c r="L199" s="30" t="s">
        <v>599</v>
      </c>
      <c r="M199" s="30" t="s">
        <v>222</v>
      </c>
      <c r="N199" s="30" t="s">
        <v>223</v>
      </c>
      <c r="O199" s="30" t="s">
        <v>224</v>
      </c>
      <c r="P199" s="30" t="s">
        <v>225</v>
      </c>
      <c r="Q199" s="30" t="s">
        <v>226</v>
      </c>
    </row>
    <row r="200" spans="1:18" x14ac:dyDescent="0.35">
      <c r="A200" t="s">
        <v>127</v>
      </c>
      <c r="B200" s="70">
        <f t="shared" ref="B200:Q200" si="240">B192*10^9/(B196*1000)</f>
        <v>477.03164449828847</v>
      </c>
      <c r="C200" s="42">
        <f t="shared" si="240"/>
        <v>101.91058611088718</v>
      </c>
      <c r="D200" s="42">
        <f t="shared" si="240"/>
        <v>148.65089895690693</v>
      </c>
      <c r="E200" s="42">
        <f t="shared" si="240"/>
        <v>246.01159135195655</v>
      </c>
      <c r="F200" s="42">
        <f t="shared" si="240"/>
        <v>391.25486113813628</v>
      </c>
      <c r="G200" s="42">
        <f t="shared" si="240"/>
        <v>1099.9655127370252</v>
      </c>
      <c r="H200" s="42">
        <f t="shared" si="240"/>
        <v>167.09291354231343</v>
      </c>
      <c r="I200" s="42">
        <f t="shared" si="240"/>
        <v>201.08947629651968</v>
      </c>
      <c r="J200" s="42">
        <f t="shared" si="240"/>
        <v>217.17630656964027</v>
      </c>
      <c r="K200" s="42">
        <f t="shared" si="240"/>
        <v>288.53282150394938</v>
      </c>
      <c r="L200" s="42">
        <f t="shared" si="240"/>
        <v>1060.7984000298097</v>
      </c>
      <c r="M200" s="42">
        <f t="shared" si="240"/>
        <v>280.23538521257296</v>
      </c>
      <c r="N200" s="42">
        <f t="shared" si="240"/>
        <v>353.04923052923164</v>
      </c>
      <c r="O200" s="42">
        <f t="shared" si="240"/>
        <v>414.09036580317502</v>
      </c>
      <c r="P200" s="42">
        <f t="shared" si="240"/>
        <v>485.88731007240284</v>
      </c>
      <c r="Q200" s="42">
        <f t="shared" si="240"/>
        <v>1896.5587279490467</v>
      </c>
    </row>
    <row r="202" spans="1:18" x14ac:dyDescent="0.35">
      <c r="A202" s="1"/>
      <c r="B202" s="44" t="s">
        <v>127</v>
      </c>
      <c r="C202" s="44" t="s">
        <v>217</v>
      </c>
      <c r="D202" s="44" t="s">
        <v>218</v>
      </c>
      <c r="E202" s="44" t="s">
        <v>219</v>
      </c>
      <c r="F202" s="44" t="s">
        <v>220</v>
      </c>
      <c r="G202" s="44" t="s">
        <v>221</v>
      </c>
      <c r="H202" s="44" t="s">
        <v>595</v>
      </c>
      <c r="I202" s="44" t="s">
        <v>596</v>
      </c>
      <c r="J202" s="44" t="s">
        <v>597</v>
      </c>
      <c r="K202" s="44" t="s">
        <v>598</v>
      </c>
      <c r="L202" s="44" t="s">
        <v>599</v>
      </c>
      <c r="M202" s="44" t="s">
        <v>222</v>
      </c>
      <c r="N202" s="44" t="s">
        <v>223</v>
      </c>
      <c r="O202" s="44" t="s">
        <v>224</v>
      </c>
      <c r="P202" s="44" t="s">
        <v>225</v>
      </c>
      <c r="Q202" s="44" t="s">
        <v>226</v>
      </c>
    </row>
    <row r="203" spans="1:18" x14ac:dyDescent="0.35">
      <c r="A203" t="s">
        <v>615</v>
      </c>
      <c r="B203" s="43">
        <f t="shared" ref="B203:Q203" si="241">-36*B200^(-0.36)</f>
        <v>-3.9086385635103982</v>
      </c>
      <c r="C203" s="43">
        <f t="shared" si="241"/>
        <v>-6.8130810119187446</v>
      </c>
      <c r="D203" s="43">
        <f t="shared" si="241"/>
        <v>-5.9473320472163493</v>
      </c>
      <c r="E203" s="43">
        <f t="shared" si="241"/>
        <v>-4.9608774134538152</v>
      </c>
      <c r="F203" s="43">
        <f t="shared" si="241"/>
        <v>-4.1977540763974082</v>
      </c>
      <c r="G203" s="43">
        <f t="shared" si="241"/>
        <v>-2.8933837362361383</v>
      </c>
      <c r="H203" s="43">
        <f t="shared" si="241"/>
        <v>-5.7021364991155492</v>
      </c>
      <c r="I203" s="43">
        <f t="shared" si="241"/>
        <v>-5.334360192646769</v>
      </c>
      <c r="J203" s="43">
        <f t="shared" si="241"/>
        <v>-5.1885979686904466</v>
      </c>
      <c r="K203" s="43">
        <f t="shared" si="241"/>
        <v>-4.6841653871499185</v>
      </c>
      <c r="L203" s="43">
        <f t="shared" si="241"/>
        <v>-2.9313972263879911</v>
      </c>
      <c r="M203" s="43">
        <f t="shared" si="241"/>
        <v>-4.7336291493204161</v>
      </c>
      <c r="N203" s="43">
        <f t="shared" si="241"/>
        <v>-4.3559391454413641</v>
      </c>
      <c r="O203" s="43">
        <f t="shared" si="241"/>
        <v>-4.1129009940677808</v>
      </c>
      <c r="P203" s="43">
        <f t="shared" si="241"/>
        <v>-3.8828418362134323</v>
      </c>
      <c r="Q203" s="43">
        <f t="shared" si="241"/>
        <v>-2.3781247589005421</v>
      </c>
    </row>
    <row r="205" spans="1:18" x14ac:dyDescent="0.35">
      <c r="A205" s="1" t="s">
        <v>654</v>
      </c>
    </row>
    <row r="206" spans="1:18" x14ac:dyDescent="0.35">
      <c r="A206" s="1"/>
      <c r="B206" s="44" t="s">
        <v>127</v>
      </c>
      <c r="C206" s="44" t="s">
        <v>217</v>
      </c>
      <c r="D206" s="44" t="s">
        <v>218</v>
      </c>
      <c r="E206" s="44" t="s">
        <v>219</v>
      </c>
      <c r="F206" s="44" t="s">
        <v>220</v>
      </c>
      <c r="G206" s="44" t="s">
        <v>221</v>
      </c>
      <c r="H206" s="44" t="s">
        <v>595</v>
      </c>
      <c r="I206" s="44" t="s">
        <v>596</v>
      </c>
      <c r="J206" s="44" t="s">
        <v>597</v>
      </c>
      <c r="K206" s="44" t="s">
        <v>598</v>
      </c>
      <c r="L206" s="44" t="s">
        <v>599</v>
      </c>
      <c r="M206" s="44" t="s">
        <v>222</v>
      </c>
      <c r="N206" s="44" t="s">
        <v>223</v>
      </c>
      <c r="O206" s="44" t="s">
        <v>224</v>
      </c>
      <c r="P206" s="44" t="s">
        <v>225</v>
      </c>
      <c r="Q206" s="44" t="s">
        <v>226</v>
      </c>
      <c r="R206" s="44"/>
    </row>
    <row r="207" spans="1:18" x14ac:dyDescent="0.35">
      <c r="A207" t="s">
        <v>652</v>
      </c>
      <c r="B207" s="63">
        <f>-36*B200^(-0.36)</f>
        <v>-3.9086385635103982</v>
      </c>
      <c r="C207" s="63">
        <f t="shared" ref="C207:Q207" si="242">-36*C200^(-0.36)</f>
        <v>-6.8130810119187446</v>
      </c>
      <c r="D207" s="63">
        <f t="shared" si="242"/>
        <v>-5.9473320472163493</v>
      </c>
      <c r="E207" s="63">
        <f t="shared" si="242"/>
        <v>-4.9608774134538152</v>
      </c>
      <c r="F207" s="63">
        <f t="shared" si="242"/>
        <v>-4.1977540763974082</v>
      </c>
      <c r="G207" s="63">
        <f t="shared" si="242"/>
        <v>-2.8933837362361383</v>
      </c>
      <c r="H207" s="63">
        <f t="shared" si="242"/>
        <v>-5.7021364991155492</v>
      </c>
      <c r="I207" s="63">
        <f t="shared" si="242"/>
        <v>-5.334360192646769</v>
      </c>
      <c r="J207" s="63">
        <f t="shared" si="242"/>
        <v>-5.1885979686904466</v>
      </c>
      <c r="K207" s="63">
        <f t="shared" si="242"/>
        <v>-4.6841653871499185</v>
      </c>
      <c r="L207" s="63">
        <f t="shared" si="242"/>
        <v>-2.9313972263879911</v>
      </c>
      <c r="M207" s="63">
        <f t="shared" si="242"/>
        <v>-4.7336291493204161</v>
      </c>
      <c r="N207" s="63">
        <f t="shared" si="242"/>
        <v>-4.3559391454413641</v>
      </c>
      <c r="O207" s="63">
        <f t="shared" si="242"/>
        <v>-4.1129009940677808</v>
      </c>
      <c r="P207" s="63">
        <f t="shared" si="242"/>
        <v>-3.8828418362134323</v>
      </c>
      <c r="Q207" s="63">
        <f t="shared" si="242"/>
        <v>-2.3781247589005421</v>
      </c>
    </row>
    <row r="208" spans="1:18" x14ac:dyDescent="0.35"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</row>
    <row r="209" spans="1:17" x14ac:dyDescent="0.35">
      <c r="B209" s="44" t="s">
        <v>127</v>
      </c>
      <c r="C209" s="44" t="s">
        <v>217</v>
      </c>
      <c r="D209" s="44" t="s">
        <v>218</v>
      </c>
      <c r="E209" s="44" t="s">
        <v>219</v>
      </c>
      <c r="F209" s="44" t="s">
        <v>220</v>
      </c>
      <c r="G209" s="44" t="s">
        <v>221</v>
      </c>
      <c r="H209" s="44" t="s">
        <v>595</v>
      </c>
      <c r="I209" s="44" t="s">
        <v>596</v>
      </c>
      <c r="J209" s="44" t="s">
        <v>597</v>
      </c>
      <c r="K209" s="44" t="s">
        <v>598</v>
      </c>
      <c r="L209" s="44" t="s">
        <v>599</v>
      </c>
      <c r="M209" s="44" t="s">
        <v>222</v>
      </c>
      <c r="N209" s="44" t="s">
        <v>223</v>
      </c>
      <c r="O209" s="44" t="s">
        <v>224</v>
      </c>
      <c r="P209" s="44" t="s">
        <v>225</v>
      </c>
      <c r="Q209" s="44" t="s">
        <v>226</v>
      </c>
    </row>
    <row r="210" spans="1:17" x14ac:dyDescent="0.35">
      <c r="A210" t="s">
        <v>613</v>
      </c>
      <c r="B210" s="60">
        <f t="shared" ref="B210:Q210" si="243">100*-1/B203</f>
        <v>25.584355876126015</v>
      </c>
      <c r="C210" s="43">
        <f t="shared" si="243"/>
        <v>14.677647282493908</v>
      </c>
      <c r="D210" s="43">
        <f t="shared" si="243"/>
        <v>16.814262127302111</v>
      </c>
      <c r="E210" s="43">
        <f t="shared" si="243"/>
        <v>20.157724463983268</v>
      </c>
      <c r="F210" s="43">
        <f t="shared" si="243"/>
        <v>23.822262614731802</v>
      </c>
      <c r="G210" s="43">
        <f t="shared" si="243"/>
        <v>34.561609905945318</v>
      </c>
      <c r="H210" s="43">
        <f t="shared" si="243"/>
        <v>17.537286246218564</v>
      </c>
      <c r="I210" s="43">
        <f t="shared" si="243"/>
        <v>18.746390642657865</v>
      </c>
      <c r="J210" s="43">
        <f t="shared" si="243"/>
        <v>19.273029169619605</v>
      </c>
      <c r="K210" s="43">
        <f t="shared" si="243"/>
        <v>21.348520330714674</v>
      </c>
      <c r="L210" s="43">
        <f t="shared" si="243"/>
        <v>34.113425195267034</v>
      </c>
      <c r="M210" s="43">
        <f t="shared" si="243"/>
        <v>21.1254403007799</v>
      </c>
      <c r="N210" s="43">
        <f t="shared" si="243"/>
        <v>22.957161856738367</v>
      </c>
      <c r="O210" s="43">
        <f t="shared" si="243"/>
        <v>24.313738683288129</v>
      </c>
      <c r="P210" s="43">
        <f t="shared" si="243"/>
        <v>25.754332578614772</v>
      </c>
      <c r="Q210" s="43">
        <f t="shared" si="243"/>
        <v>42.049938560091412</v>
      </c>
    </row>
    <row r="211" spans="1:17" x14ac:dyDescent="0.35">
      <c r="A211" t="s">
        <v>651</v>
      </c>
      <c r="B211" s="60">
        <f t="shared" ref="B211" si="244">100-B210</f>
        <v>74.415644123873989</v>
      </c>
      <c r="C211" s="60">
        <f t="shared" ref="C211:Q211" si="245">100-C210</f>
        <v>85.322352717506092</v>
      </c>
      <c r="D211" s="60">
        <f t="shared" si="245"/>
        <v>83.185737872697885</v>
      </c>
      <c r="E211" s="60">
        <f t="shared" si="245"/>
        <v>79.842275536016729</v>
      </c>
      <c r="F211" s="60">
        <f t="shared" si="245"/>
        <v>76.177737385268202</v>
      </c>
      <c r="G211" s="60">
        <f t="shared" si="245"/>
        <v>65.438390094054682</v>
      </c>
      <c r="H211" s="60">
        <f t="shared" si="245"/>
        <v>82.462713753781429</v>
      </c>
      <c r="I211" s="60">
        <f t="shared" si="245"/>
        <v>81.253609357342128</v>
      </c>
      <c r="J211" s="60">
        <f t="shared" si="245"/>
        <v>80.726970830380395</v>
      </c>
      <c r="K211" s="60">
        <f t="shared" si="245"/>
        <v>78.651479669285322</v>
      </c>
      <c r="L211" s="60">
        <f t="shared" si="245"/>
        <v>65.886574804732959</v>
      </c>
      <c r="M211" s="60">
        <f t="shared" si="245"/>
        <v>78.8745596992201</v>
      </c>
      <c r="N211" s="60">
        <f t="shared" si="245"/>
        <v>77.042838143261633</v>
      </c>
      <c r="O211" s="60">
        <f t="shared" si="245"/>
        <v>75.686261316711864</v>
      </c>
      <c r="P211" s="60">
        <f t="shared" si="245"/>
        <v>74.245667421385235</v>
      </c>
      <c r="Q211" s="60">
        <f t="shared" si="245"/>
        <v>57.950061439908588</v>
      </c>
    </row>
    <row r="213" spans="1:17" s="34" customFormat="1" x14ac:dyDescent="0.35"/>
    <row r="215" spans="1:17" x14ac:dyDescent="0.35">
      <c r="A215" t="s">
        <v>650</v>
      </c>
    </row>
    <row r="216" spans="1:17" x14ac:dyDescent="0.35">
      <c r="C216" s="182" t="s">
        <v>606</v>
      </c>
      <c r="D216" s="182"/>
      <c r="E216" s="182"/>
      <c r="F216" s="182"/>
      <c r="G216" s="183"/>
      <c r="H216" s="181" t="s">
        <v>607</v>
      </c>
      <c r="I216" s="182"/>
      <c r="J216" s="182"/>
      <c r="K216" s="182"/>
      <c r="L216" s="183"/>
      <c r="M216" s="182" t="s">
        <v>468</v>
      </c>
      <c r="N216" s="182"/>
      <c r="O216" s="182"/>
      <c r="P216" s="182"/>
      <c r="Q216" s="182"/>
    </row>
    <row r="217" spans="1:17" x14ac:dyDescent="0.35">
      <c r="A217" s="85"/>
      <c r="B217" s="39"/>
      <c r="C217" s="35" t="s">
        <v>217</v>
      </c>
      <c r="D217" s="35" t="s">
        <v>218</v>
      </c>
      <c r="E217" s="35" t="s">
        <v>219</v>
      </c>
      <c r="F217" s="35" t="s">
        <v>220</v>
      </c>
      <c r="G217" s="36" t="s">
        <v>221</v>
      </c>
      <c r="H217" s="37" t="s">
        <v>595</v>
      </c>
      <c r="I217" s="35" t="s">
        <v>596</v>
      </c>
      <c r="J217" s="35" t="s">
        <v>597</v>
      </c>
      <c r="K217" s="35" t="s">
        <v>598</v>
      </c>
      <c r="L217" s="36" t="s">
        <v>599</v>
      </c>
      <c r="M217" s="35" t="s">
        <v>222</v>
      </c>
      <c r="N217" s="35" t="s">
        <v>223</v>
      </c>
      <c r="O217" s="35" t="s">
        <v>224</v>
      </c>
      <c r="P217" s="35" t="s">
        <v>225</v>
      </c>
      <c r="Q217" s="35" t="s">
        <v>226</v>
      </c>
    </row>
    <row r="218" spans="1:17" x14ac:dyDescent="0.35">
      <c r="A218" s="91" t="str">
        <f t="shared" ref="A218:A230" si="246">S102</f>
        <v>given</v>
      </c>
      <c r="B218" s="92" t="s">
        <v>616</v>
      </c>
      <c r="C218" s="93">
        <f t="shared" ref="C218:Q218" si="247">IF(C19&gt;0, 100*(C19+C102/C$203)/C19,"")</f>
        <v>92.661176358753039</v>
      </c>
      <c r="D218" s="93">
        <f t="shared" si="247"/>
        <v>91.592868936348935</v>
      </c>
      <c r="E218" s="93">
        <f t="shared" si="247"/>
        <v>89.921137768008364</v>
      </c>
      <c r="F218" s="93">
        <f t="shared" si="247"/>
        <v>88.088868692634108</v>
      </c>
      <c r="G218" s="94">
        <f t="shared" si="247"/>
        <v>82.719195047027327</v>
      </c>
      <c r="H218" s="95">
        <f t="shared" si="247"/>
        <v>91.231356876890729</v>
      </c>
      <c r="I218" s="93">
        <f t="shared" si="247"/>
        <v>90.626804678671078</v>
      </c>
      <c r="J218" s="93">
        <f t="shared" si="247"/>
        <v>90.363485415190198</v>
      </c>
      <c r="K218" s="93">
        <f t="shared" si="247"/>
        <v>89.325739834642661</v>
      </c>
      <c r="L218" s="94">
        <f t="shared" si="247"/>
        <v>82.943287402366479</v>
      </c>
      <c r="M218" s="93">
        <f t="shared" si="247"/>
        <v>89.43727984961005</v>
      </c>
      <c r="N218" s="93">
        <f t="shared" si="247"/>
        <v>88.521419071630817</v>
      </c>
      <c r="O218" s="93">
        <f t="shared" si="247"/>
        <v>87.843130658355932</v>
      </c>
      <c r="P218" s="93">
        <f t="shared" si="247"/>
        <v>87.122833710692618</v>
      </c>
      <c r="Q218" s="93">
        <f t="shared" si="247"/>
        <v>78.97503071995429</v>
      </c>
    </row>
    <row r="219" spans="1:17" x14ac:dyDescent="0.35">
      <c r="A219" s="91" t="str">
        <f t="shared" si="246"/>
        <v>given</v>
      </c>
      <c r="B219" s="92" t="s">
        <v>618</v>
      </c>
      <c r="C219" s="93">
        <f t="shared" ref="C219:Q219" si="248">IF(C20&gt;0, 100*(C20+C103/C$203)/C20,"")</f>
        <v>92.661176358753039</v>
      </c>
      <c r="D219" s="93">
        <f t="shared" si="248"/>
        <v>91.592868936348935</v>
      </c>
      <c r="E219" s="93">
        <f t="shared" si="248"/>
        <v>89.921137768008379</v>
      </c>
      <c r="F219" s="93">
        <f t="shared" si="248"/>
        <v>88.088868692634094</v>
      </c>
      <c r="G219" s="94">
        <f t="shared" si="248"/>
        <v>82.719195047027341</v>
      </c>
      <c r="H219" s="95">
        <f t="shared" si="248"/>
        <v>91.231356876890729</v>
      </c>
      <c r="I219" s="93">
        <f t="shared" si="248"/>
        <v>90.626804678671064</v>
      </c>
      <c r="J219" s="93">
        <f t="shared" si="248"/>
        <v>90.363485415190198</v>
      </c>
      <c r="K219" s="93">
        <f t="shared" si="248"/>
        <v>89.325739834642661</v>
      </c>
      <c r="L219" s="94">
        <f t="shared" si="248"/>
        <v>82.943287402366479</v>
      </c>
      <c r="M219" s="93">
        <f t="shared" si="248"/>
        <v>89.43727984961005</v>
      </c>
      <c r="N219" s="93">
        <f t="shared" si="248"/>
        <v>88.521419071630817</v>
      </c>
      <c r="O219" s="93">
        <f t="shared" si="248"/>
        <v>87.843130658355932</v>
      </c>
      <c r="P219" s="93">
        <f t="shared" si="248"/>
        <v>87.122833710692618</v>
      </c>
      <c r="Q219" s="93">
        <f t="shared" si="248"/>
        <v>78.97503071995429</v>
      </c>
    </row>
    <row r="220" spans="1:17" x14ac:dyDescent="0.35">
      <c r="A220" s="91" t="str">
        <f t="shared" si="246"/>
        <v>given</v>
      </c>
      <c r="B220" s="92" t="s">
        <v>617</v>
      </c>
      <c r="C220" s="93">
        <f t="shared" ref="C220:Q220" si="249">IF(C21&gt;0, 100*(C21+C104/C$203)/C21,"")</f>
        <v>88.257882174004862</v>
      </c>
      <c r="D220" s="93">
        <f t="shared" si="249"/>
        <v>86.548590298158302</v>
      </c>
      <c r="E220" s="93">
        <f t="shared" si="249"/>
        <v>83.873820428813389</v>
      </c>
      <c r="F220" s="93">
        <f t="shared" si="249"/>
        <v>80.942189908214559</v>
      </c>
      <c r="G220" s="94">
        <f t="shared" si="249"/>
        <v>72.350712075243734</v>
      </c>
      <c r="H220" s="95">
        <f t="shared" si="249"/>
        <v>85.970171003025143</v>
      </c>
      <c r="I220" s="93">
        <f t="shared" si="249"/>
        <v>85.002887485873714</v>
      </c>
      <c r="J220" s="93">
        <f t="shared" si="249"/>
        <v>84.581576664304322</v>
      </c>
      <c r="K220" s="93">
        <f t="shared" si="249"/>
        <v>82.921183735428258</v>
      </c>
      <c r="L220" s="94">
        <f t="shared" si="249"/>
        <v>72.70925984378637</v>
      </c>
      <c r="M220" s="93">
        <f t="shared" si="249"/>
        <v>83.099647759376069</v>
      </c>
      <c r="N220" s="93">
        <f t="shared" si="249"/>
        <v>81.634270514609312</v>
      </c>
      <c r="O220" s="93">
        <f t="shared" si="249"/>
        <v>80.549009053369488</v>
      </c>
      <c r="P220" s="93">
        <f t="shared" si="249"/>
        <v>79.396533937108188</v>
      </c>
      <c r="Q220" s="93">
        <f t="shared" si="249"/>
        <v>66.360049151926873</v>
      </c>
    </row>
    <row r="221" spans="1:17" x14ac:dyDescent="0.35">
      <c r="A221" s="91" t="str">
        <f t="shared" si="246"/>
        <v>given</v>
      </c>
      <c r="B221" s="92" t="s">
        <v>619</v>
      </c>
      <c r="C221" s="93">
        <f t="shared" ref="C221:Q221" si="250">IF(C22&gt;0, 100*(C22+C105/C$203)/C22,"")</f>
        <v>88.257882174004877</v>
      </c>
      <c r="D221" s="93">
        <f t="shared" si="250"/>
        <v>86.548590298158317</v>
      </c>
      <c r="E221" s="93">
        <f t="shared" si="250"/>
        <v>83.873820428813389</v>
      </c>
      <c r="F221" s="93">
        <f t="shared" si="250"/>
        <v>80.942189908214559</v>
      </c>
      <c r="G221" s="94">
        <f t="shared" si="250"/>
        <v>72.350712075243749</v>
      </c>
      <c r="H221" s="95">
        <f t="shared" si="250"/>
        <v>85.970171003025143</v>
      </c>
      <c r="I221" s="93">
        <f t="shared" si="250"/>
        <v>85.002887485873714</v>
      </c>
      <c r="J221" s="93">
        <f t="shared" si="250"/>
        <v>84.581576664304322</v>
      </c>
      <c r="K221" s="93">
        <f t="shared" si="250"/>
        <v>82.921183735428258</v>
      </c>
      <c r="L221" s="94">
        <f t="shared" si="250"/>
        <v>72.70925984378637</v>
      </c>
      <c r="M221" s="93">
        <f t="shared" si="250"/>
        <v>83.099647759376083</v>
      </c>
      <c r="N221" s="93">
        <f t="shared" si="250"/>
        <v>81.634270514609312</v>
      </c>
      <c r="O221" s="93">
        <f t="shared" si="250"/>
        <v>80.549009053369502</v>
      </c>
      <c r="P221" s="93">
        <f t="shared" si="250"/>
        <v>79.396533937108188</v>
      </c>
      <c r="Q221" s="93">
        <f t="shared" si="250"/>
        <v>66.360049151926873</v>
      </c>
    </row>
    <row r="222" spans="1:17" x14ac:dyDescent="0.35">
      <c r="A222" s="91" t="str">
        <f t="shared" si="246"/>
        <v>given</v>
      </c>
      <c r="B222" s="92" t="s">
        <v>620</v>
      </c>
      <c r="C222" s="93">
        <f t="shared" ref="C222:Q222" si="251">IF(C23&gt;0, 100*(C23+C106/C$203)/C23,"")</f>
        <v>86.790117445755484</v>
      </c>
      <c r="D222" s="93">
        <f t="shared" si="251"/>
        <v>84.867164085428101</v>
      </c>
      <c r="E222" s="93">
        <f t="shared" si="251"/>
        <v>81.858047982415059</v>
      </c>
      <c r="F222" s="93">
        <f t="shared" si="251"/>
        <v>78.55996364674138</v>
      </c>
      <c r="G222" s="94">
        <f t="shared" si="251"/>
        <v>68.894551084649208</v>
      </c>
      <c r="H222" s="95">
        <f t="shared" si="251"/>
        <v>84.2164423784033</v>
      </c>
      <c r="I222" s="93">
        <f t="shared" si="251"/>
        <v>83.128248421607907</v>
      </c>
      <c r="J222" s="93">
        <f t="shared" si="251"/>
        <v>82.654273747342344</v>
      </c>
      <c r="K222" s="93">
        <f t="shared" si="251"/>
        <v>80.78633170235679</v>
      </c>
      <c r="L222" s="94">
        <f t="shared" si="251"/>
        <v>69.297917324259657</v>
      </c>
      <c r="M222" s="93">
        <f t="shared" si="251"/>
        <v>80.987103729298084</v>
      </c>
      <c r="N222" s="93">
        <f t="shared" si="251"/>
        <v>79.338554328935473</v>
      </c>
      <c r="O222" s="93">
        <f t="shared" si="251"/>
        <v>78.117635185040697</v>
      </c>
      <c r="P222" s="93">
        <f t="shared" si="251"/>
        <v>76.821100679246697</v>
      </c>
      <c r="Q222" s="93">
        <f t="shared" si="251"/>
        <v>62.155055295917727</v>
      </c>
    </row>
    <row r="223" spans="1:17" x14ac:dyDescent="0.35">
      <c r="A223" s="91" t="str">
        <f t="shared" si="246"/>
        <v>given</v>
      </c>
      <c r="B223" s="92" t="s">
        <v>621</v>
      </c>
      <c r="C223" s="93">
        <f t="shared" ref="C223:Q223" si="252">IF(C24&gt;0, 100*(C24+C107/C$203)/C24,"")</f>
        <v>86.790117445755484</v>
      </c>
      <c r="D223" s="93">
        <f t="shared" si="252"/>
        <v>84.867164085428101</v>
      </c>
      <c r="E223" s="93">
        <f t="shared" si="252"/>
        <v>81.858047982415059</v>
      </c>
      <c r="F223" s="93">
        <f t="shared" si="252"/>
        <v>78.55996364674138</v>
      </c>
      <c r="G223" s="94">
        <f t="shared" si="252"/>
        <v>68.894551084649223</v>
      </c>
      <c r="H223" s="95">
        <f t="shared" si="252"/>
        <v>84.2164423784033</v>
      </c>
      <c r="I223" s="93">
        <f t="shared" si="252"/>
        <v>83.128248421607921</v>
      </c>
      <c r="J223" s="93">
        <f t="shared" si="252"/>
        <v>82.654273747342359</v>
      </c>
      <c r="K223" s="93">
        <f t="shared" si="252"/>
        <v>80.78633170235679</v>
      </c>
      <c r="L223" s="94">
        <f t="shared" si="252"/>
        <v>69.297917324259672</v>
      </c>
      <c r="M223" s="93">
        <f t="shared" si="252"/>
        <v>80.987103729298099</v>
      </c>
      <c r="N223" s="93">
        <f t="shared" si="252"/>
        <v>79.338554328935473</v>
      </c>
      <c r="O223" s="93">
        <f t="shared" si="252"/>
        <v>78.117635185040669</v>
      </c>
      <c r="P223" s="93">
        <f t="shared" si="252"/>
        <v>76.821100679246697</v>
      </c>
      <c r="Q223" s="93">
        <f t="shared" si="252"/>
        <v>62.155055295917727</v>
      </c>
    </row>
    <row r="224" spans="1:17" x14ac:dyDescent="0.35">
      <c r="A224" s="91" t="str">
        <f t="shared" si="246"/>
        <v>given</v>
      </c>
      <c r="B224" s="92" t="s">
        <v>622</v>
      </c>
      <c r="C224" s="93">
        <f t="shared" ref="C224:Q224" si="253">IF(C25&gt;0, 100*(C25+C108/C$203)/C25,"")</f>
        <v>88.257882174004877</v>
      </c>
      <c r="D224" s="93">
        <f t="shared" si="253"/>
        <v>86.548590298158302</v>
      </c>
      <c r="E224" s="93">
        <f t="shared" si="253"/>
        <v>83.873820428813389</v>
      </c>
      <c r="F224" s="93">
        <f t="shared" si="253"/>
        <v>80.942189908214559</v>
      </c>
      <c r="G224" s="94">
        <f t="shared" si="253"/>
        <v>72.350712075243734</v>
      </c>
      <c r="H224" s="95">
        <f t="shared" si="253"/>
        <v>85.970171003025143</v>
      </c>
      <c r="I224" s="93">
        <f t="shared" si="253"/>
        <v>85.0028874858737</v>
      </c>
      <c r="J224" s="93">
        <f t="shared" si="253"/>
        <v>84.581576664304322</v>
      </c>
      <c r="K224" s="93">
        <f t="shared" si="253"/>
        <v>82.921183735428272</v>
      </c>
      <c r="L224" s="94">
        <f t="shared" si="253"/>
        <v>72.709259843786384</v>
      </c>
      <c r="M224" s="93">
        <f t="shared" si="253"/>
        <v>83.099647759376083</v>
      </c>
      <c r="N224" s="93">
        <f t="shared" si="253"/>
        <v>81.634270514609298</v>
      </c>
      <c r="O224" s="93">
        <f t="shared" si="253"/>
        <v>80.549009053369488</v>
      </c>
      <c r="P224" s="93">
        <f t="shared" si="253"/>
        <v>79.396533937108174</v>
      </c>
      <c r="Q224" s="93">
        <f t="shared" si="253"/>
        <v>66.360049151926873</v>
      </c>
    </row>
    <row r="225" spans="1:17" x14ac:dyDescent="0.35">
      <c r="A225" s="91" t="str">
        <f t="shared" si="246"/>
        <v>given</v>
      </c>
      <c r="B225" s="92" t="s">
        <v>623</v>
      </c>
      <c r="C225" s="93">
        <f t="shared" ref="C225:Q225" si="254">IF(C26&gt;0, 100*(C26+C109/C$203)/C26,"")</f>
        <v>88.257882174004877</v>
      </c>
      <c r="D225" s="93">
        <f t="shared" si="254"/>
        <v>86.548590298158302</v>
      </c>
      <c r="E225" s="93">
        <f t="shared" si="254"/>
        <v>83.873820428813389</v>
      </c>
      <c r="F225" s="93">
        <f t="shared" si="254"/>
        <v>80.942189908214559</v>
      </c>
      <c r="G225" s="94">
        <f t="shared" si="254"/>
        <v>72.350712075243734</v>
      </c>
      <c r="H225" s="95">
        <f t="shared" si="254"/>
        <v>85.970171003025143</v>
      </c>
      <c r="I225" s="93">
        <f t="shared" si="254"/>
        <v>85.002887485873714</v>
      </c>
      <c r="J225" s="93">
        <f t="shared" si="254"/>
        <v>84.581576664304322</v>
      </c>
      <c r="K225" s="93">
        <f t="shared" si="254"/>
        <v>82.921183735428258</v>
      </c>
      <c r="L225" s="94">
        <f t="shared" si="254"/>
        <v>72.709259843786356</v>
      </c>
      <c r="M225" s="93">
        <f t="shared" si="254"/>
        <v>83.099647759376083</v>
      </c>
      <c r="N225" s="93">
        <f t="shared" si="254"/>
        <v>81.634270514609298</v>
      </c>
      <c r="O225" s="93">
        <f t="shared" si="254"/>
        <v>80.549009053369502</v>
      </c>
      <c r="P225" s="93">
        <f t="shared" si="254"/>
        <v>79.396533937108174</v>
      </c>
      <c r="Q225" s="93">
        <f t="shared" si="254"/>
        <v>66.360049151926859</v>
      </c>
    </row>
    <row r="226" spans="1:17" x14ac:dyDescent="0.35">
      <c r="A226" s="96" t="str">
        <f t="shared" si="246"/>
        <v>given</v>
      </c>
      <c r="B226" s="97" t="s">
        <v>624</v>
      </c>
      <c r="C226" s="98">
        <f t="shared" ref="C226:Q226" si="255">IF(C27&gt;0, 100*(C27+C110/C$203)/C27,"")</f>
        <v>77.983529076259131</v>
      </c>
      <c r="D226" s="98">
        <f t="shared" si="255"/>
        <v>74.778606809046835</v>
      </c>
      <c r="E226" s="98">
        <f t="shared" si="255"/>
        <v>69.763413304025093</v>
      </c>
      <c r="F226" s="98">
        <f t="shared" si="255"/>
        <v>64.266606077902296</v>
      </c>
      <c r="G226" s="99">
        <f t="shared" si="255"/>
        <v>48.157585141082023</v>
      </c>
      <c r="H226" s="100">
        <f t="shared" si="255"/>
        <v>73.694070630672158</v>
      </c>
      <c r="I226" s="98">
        <f t="shared" si="255"/>
        <v>71.880414036013207</v>
      </c>
      <c r="J226" s="98">
        <f t="shared" si="255"/>
        <v>71.090456245570593</v>
      </c>
      <c r="K226" s="98">
        <f t="shared" si="255"/>
        <v>67.977219503927984</v>
      </c>
      <c r="L226" s="99">
        <f t="shared" si="255"/>
        <v>48.829862207099453</v>
      </c>
      <c r="M226" s="98">
        <f t="shared" si="255"/>
        <v>68.31183954883015</v>
      </c>
      <c r="N226" s="98">
        <f t="shared" si="255"/>
        <v>65.56425721489245</v>
      </c>
      <c r="O226" s="98">
        <f t="shared" si="255"/>
        <v>63.529391975067817</v>
      </c>
      <c r="P226" s="98">
        <f t="shared" si="255"/>
        <v>61.368501132077846</v>
      </c>
      <c r="Q226" s="98">
        <f t="shared" si="255"/>
        <v>36.925092159862885</v>
      </c>
    </row>
    <row r="227" spans="1:17" x14ac:dyDescent="0.35">
      <c r="A227" s="96" t="str">
        <f t="shared" si="246"/>
        <v>given</v>
      </c>
      <c r="B227" s="97" t="s">
        <v>626</v>
      </c>
      <c r="C227" s="98">
        <f t="shared" ref="C227:Q227" si="256">IF(C28&gt;0, 100*(C28+C111/C$203)/C28,"")</f>
        <v>85.322352717506078</v>
      </c>
      <c r="D227" s="98">
        <f t="shared" si="256"/>
        <v>83.185737872697885</v>
      </c>
      <c r="E227" s="98">
        <f t="shared" si="256"/>
        <v>79.842275536016743</v>
      </c>
      <c r="F227" s="98">
        <f t="shared" si="256"/>
        <v>76.177737385268202</v>
      </c>
      <c r="G227" s="99">
        <f t="shared" si="256"/>
        <v>65.438390094054682</v>
      </c>
      <c r="H227" s="100">
        <f t="shared" si="256"/>
        <v>82.462713753781443</v>
      </c>
      <c r="I227" s="98">
        <f t="shared" si="256"/>
        <v>81.253609357342143</v>
      </c>
      <c r="J227" s="98">
        <f t="shared" si="256"/>
        <v>80.726970830380395</v>
      </c>
      <c r="K227" s="98">
        <f t="shared" si="256"/>
        <v>78.651479669285322</v>
      </c>
      <c r="L227" s="99">
        <f t="shared" si="256"/>
        <v>65.886574804732959</v>
      </c>
      <c r="M227" s="98">
        <f t="shared" si="256"/>
        <v>78.8745596992201</v>
      </c>
      <c r="N227" s="98">
        <f t="shared" si="256"/>
        <v>77.042838143261633</v>
      </c>
      <c r="O227" s="98">
        <f t="shared" si="256"/>
        <v>75.686261316711864</v>
      </c>
      <c r="P227" s="98">
        <f t="shared" si="256"/>
        <v>74.245667421385221</v>
      </c>
      <c r="Q227" s="98">
        <f t="shared" si="256"/>
        <v>57.950061439908588</v>
      </c>
    </row>
    <row r="228" spans="1:17" x14ac:dyDescent="0.35">
      <c r="A228" s="96" t="str">
        <f t="shared" si="246"/>
        <v>given</v>
      </c>
      <c r="B228" s="97" t="s">
        <v>629</v>
      </c>
      <c r="C228" s="98">
        <f t="shared" ref="C228:Q228" si="257">IF(C29&gt;0, 100*(C29+C112/C$203)/C29,"")</f>
        <v>85.322352717506107</v>
      </c>
      <c r="D228" s="98">
        <f t="shared" si="257"/>
        <v>83.185737872697885</v>
      </c>
      <c r="E228" s="98">
        <f t="shared" si="257"/>
        <v>79.842275536016729</v>
      </c>
      <c r="F228" s="98">
        <f t="shared" si="257"/>
        <v>76.177737385268202</v>
      </c>
      <c r="G228" s="99">
        <f t="shared" si="257"/>
        <v>65.438390094054682</v>
      </c>
      <c r="H228" s="100">
        <f t="shared" si="257"/>
        <v>82.462713753781429</v>
      </c>
      <c r="I228" s="98">
        <f t="shared" si="257"/>
        <v>81.253609357342143</v>
      </c>
      <c r="J228" s="98">
        <f t="shared" si="257"/>
        <v>80.726970830380395</v>
      </c>
      <c r="K228" s="98">
        <f t="shared" si="257"/>
        <v>78.651479669285337</v>
      </c>
      <c r="L228" s="99">
        <f t="shared" si="257"/>
        <v>65.886574804732959</v>
      </c>
      <c r="M228" s="98">
        <f t="shared" si="257"/>
        <v>78.8745596992201</v>
      </c>
      <c r="N228" s="98">
        <f t="shared" si="257"/>
        <v>77.042838143261633</v>
      </c>
      <c r="O228" s="98">
        <f t="shared" si="257"/>
        <v>75.686261316711878</v>
      </c>
      <c r="P228" s="98">
        <f t="shared" si="257"/>
        <v>74.245667421385221</v>
      </c>
      <c r="Q228" s="98">
        <f t="shared" si="257"/>
        <v>57.950061439908595</v>
      </c>
    </row>
    <row r="229" spans="1:17" x14ac:dyDescent="0.35">
      <c r="A229" s="101" t="str">
        <f t="shared" si="246"/>
        <v>given</v>
      </c>
      <c r="B229" s="102" t="s">
        <v>633</v>
      </c>
      <c r="C229" s="103">
        <f t="shared" ref="C229:Q229" si="258">IF(C30&gt;0, 100*(C30+C113/C$203)/C30,"")</f>
        <v>88.257882174004862</v>
      </c>
      <c r="D229" s="103">
        <f t="shared" si="258"/>
        <v>86.548590298158317</v>
      </c>
      <c r="E229" s="103">
        <f t="shared" si="258"/>
        <v>83.873820428813389</v>
      </c>
      <c r="F229" s="103">
        <f t="shared" si="258"/>
        <v>80.942189908214559</v>
      </c>
      <c r="G229" s="104">
        <f t="shared" si="258"/>
        <v>72.350712075243749</v>
      </c>
      <c r="H229" s="105">
        <f t="shared" si="258"/>
        <v>85.970171003025143</v>
      </c>
      <c r="I229" s="103">
        <f t="shared" si="258"/>
        <v>85.0028874858737</v>
      </c>
      <c r="J229" s="103">
        <f t="shared" si="258"/>
        <v>84.581576664304308</v>
      </c>
      <c r="K229" s="103">
        <f t="shared" si="258"/>
        <v>82.921183735428258</v>
      </c>
      <c r="L229" s="104">
        <f t="shared" si="258"/>
        <v>72.70925984378637</v>
      </c>
      <c r="M229" s="103">
        <f t="shared" si="258"/>
        <v>83.099647759376083</v>
      </c>
      <c r="N229" s="103">
        <f t="shared" si="258"/>
        <v>81.634270514609298</v>
      </c>
      <c r="O229" s="103">
        <f t="shared" si="258"/>
        <v>80.549009053369502</v>
      </c>
      <c r="P229" s="103">
        <f t="shared" si="258"/>
        <v>79.396533937108188</v>
      </c>
      <c r="Q229" s="103">
        <f t="shared" si="258"/>
        <v>66.360049151926859</v>
      </c>
    </row>
    <row r="230" spans="1:17" x14ac:dyDescent="0.35">
      <c r="A230" s="101" t="str">
        <f t="shared" si="246"/>
        <v>given</v>
      </c>
      <c r="B230" s="102" t="s">
        <v>634</v>
      </c>
      <c r="C230" s="103">
        <f t="shared" ref="C230:Q230" si="259">IF(C31&gt;0, 100*(C31+C114/C$203)/C31,"")</f>
        <v>85.322352717506092</v>
      </c>
      <c r="D230" s="103">
        <f t="shared" si="259"/>
        <v>83.185737872697899</v>
      </c>
      <c r="E230" s="103">
        <f t="shared" si="259"/>
        <v>79.842275536016743</v>
      </c>
      <c r="F230" s="103">
        <f t="shared" si="259"/>
        <v>76.177737385268188</v>
      </c>
      <c r="G230" s="104">
        <f t="shared" si="259"/>
        <v>65.438390094054682</v>
      </c>
      <c r="H230" s="105">
        <f t="shared" si="259"/>
        <v>82.462713753781429</v>
      </c>
      <c r="I230" s="103">
        <f t="shared" si="259"/>
        <v>81.253609357342128</v>
      </c>
      <c r="J230" s="103">
        <f t="shared" si="259"/>
        <v>80.726970830380381</v>
      </c>
      <c r="K230" s="103">
        <f t="shared" si="259"/>
        <v>78.651479669285322</v>
      </c>
      <c r="L230" s="104">
        <f t="shared" si="259"/>
        <v>65.886574804732959</v>
      </c>
      <c r="M230" s="103">
        <f t="shared" si="259"/>
        <v>78.8745596992201</v>
      </c>
      <c r="N230" s="103">
        <f t="shared" si="259"/>
        <v>77.042838143261633</v>
      </c>
      <c r="O230" s="103">
        <f t="shared" si="259"/>
        <v>75.686261316711864</v>
      </c>
      <c r="P230" s="103">
        <f t="shared" si="259"/>
        <v>74.245667421385235</v>
      </c>
      <c r="Q230" s="103">
        <f t="shared" si="259"/>
        <v>57.95006143990858</v>
      </c>
    </row>
    <row r="231" spans="1:17" x14ac:dyDescent="0.35">
      <c r="A231" s="85" t="str">
        <f t="shared" ref="A231:A237" si="260">S116</f>
        <v>residual</v>
      </c>
      <c r="B231" s="39" t="s">
        <v>625</v>
      </c>
      <c r="C231" s="52">
        <f t="shared" ref="C231:Q231" si="261">IF(C32&gt;0, 100*(C32+C116/C$203)/C32,"")</f>
        <v>62.786453694904964</v>
      </c>
      <c r="D231" s="52">
        <f t="shared" si="261"/>
        <v>61.019603177138585</v>
      </c>
      <c r="E231" s="52">
        <f t="shared" si="261"/>
        <v>58.184989924165393</v>
      </c>
      <c r="F231" s="52">
        <f t="shared" si="261"/>
        <v>56.29839097800172</v>
      </c>
      <c r="G231" s="53">
        <f t="shared" si="261"/>
        <v>49.90215367893267</v>
      </c>
      <c r="H231" s="54">
        <f t="shared" si="261"/>
        <v>61.537565449428499</v>
      </c>
      <c r="I231" s="52">
        <f t="shared" si="261"/>
        <v>59.724305400592421</v>
      </c>
      <c r="J231" s="52">
        <f t="shared" si="261"/>
        <v>62.383751931671149</v>
      </c>
      <c r="K231" s="52">
        <f t="shared" si="261"/>
        <v>66.108426012949508</v>
      </c>
      <c r="L231" s="53">
        <f t="shared" si="261"/>
        <v>50.356148875577667</v>
      </c>
      <c r="M231" s="52">
        <f t="shared" si="261"/>
        <v>61.176305499184977</v>
      </c>
      <c r="N231" s="52">
        <f t="shared" si="261"/>
        <v>57.457634475507994</v>
      </c>
      <c r="O231" s="52">
        <f t="shared" si="261"/>
        <v>58.293533334470474</v>
      </c>
      <c r="P231" s="52">
        <f t="shared" si="261"/>
        <v>60.20957823975764</v>
      </c>
      <c r="Q231" s="52">
        <f t="shared" si="261"/>
        <v>49.349858742265013</v>
      </c>
    </row>
    <row r="232" spans="1:17" x14ac:dyDescent="0.35">
      <c r="A232" s="90" t="str">
        <f t="shared" si="260"/>
        <v>residual</v>
      </c>
      <c r="B232" s="49" t="s">
        <v>627</v>
      </c>
      <c r="C232" s="55" t="str">
        <f t="shared" ref="C232:Q232" si="262">IF(C33&gt;0, 100*(C33+C117/C$203)/C33,"")</f>
        <v/>
      </c>
      <c r="D232" s="55" t="str">
        <f t="shared" si="262"/>
        <v/>
      </c>
      <c r="E232" s="55" t="str">
        <f t="shared" si="262"/>
        <v/>
      </c>
      <c r="F232" s="55" t="str">
        <f t="shared" si="262"/>
        <v/>
      </c>
      <c r="G232" s="56" t="str">
        <f t="shared" si="262"/>
        <v/>
      </c>
      <c r="H232" s="57" t="str">
        <f t="shared" si="262"/>
        <v/>
      </c>
      <c r="I232" s="55" t="str">
        <f t="shared" si="262"/>
        <v/>
      </c>
      <c r="J232" s="55" t="str">
        <f t="shared" si="262"/>
        <v/>
      </c>
      <c r="K232" s="55" t="str">
        <f t="shared" si="262"/>
        <v/>
      </c>
      <c r="L232" s="56" t="str">
        <f t="shared" si="262"/>
        <v/>
      </c>
      <c r="M232" s="55" t="str">
        <f t="shared" si="262"/>
        <v/>
      </c>
      <c r="N232" s="55" t="str">
        <f t="shared" si="262"/>
        <v/>
      </c>
      <c r="O232" s="55" t="str">
        <f t="shared" si="262"/>
        <v/>
      </c>
      <c r="P232" s="55" t="str">
        <f t="shared" si="262"/>
        <v/>
      </c>
      <c r="Q232" s="55" t="str">
        <f t="shared" si="262"/>
        <v/>
      </c>
    </row>
    <row r="233" spans="1:17" x14ac:dyDescent="0.35">
      <c r="A233" s="84" t="str">
        <f t="shared" si="260"/>
        <v>residual</v>
      </c>
      <c r="B233" s="40" t="s">
        <v>628</v>
      </c>
      <c r="C233" s="43">
        <f t="shared" ref="C233:Q233" si="263">IF(C34&gt;0, 100*(C34+C118/C$203)/C34,"")</f>
        <v>62.786453694904971</v>
      </c>
      <c r="D233" s="43">
        <f t="shared" si="263"/>
        <v>61.019603177138585</v>
      </c>
      <c r="E233" s="43">
        <f t="shared" si="263"/>
        <v>58.184989924165393</v>
      </c>
      <c r="F233" s="43">
        <f t="shared" si="263"/>
        <v>56.29839097800172</v>
      </c>
      <c r="G233" s="50">
        <f t="shared" si="263"/>
        <v>49.902153678932663</v>
      </c>
      <c r="H233" s="51">
        <f t="shared" si="263"/>
        <v>61.537565449428506</v>
      </c>
      <c r="I233" s="43">
        <f t="shared" si="263"/>
        <v>59.724305400592421</v>
      </c>
      <c r="J233" s="43">
        <f t="shared" si="263"/>
        <v>62.383751931671149</v>
      </c>
      <c r="K233" s="43">
        <f t="shared" si="263"/>
        <v>66.108426012949508</v>
      </c>
      <c r="L233" s="50">
        <f t="shared" si="263"/>
        <v>50.356148875577667</v>
      </c>
      <c r="M233" s="43">
        <f t="shared" si="263"/>
        <v>61.176305499184977</v>
      </c>
      <c r="N233" s="43">
        <f t="shared" si="263"/>
        <v>57.457634475508002</v>
      </c>
      <c r="O233" s="43">
        <f t="shared" si="263"/>
        <v>58.293533334470482</v>
      </c>
      <c r="P233" s="43">
        <f t="shared" si="263"/>
        <v>60.209578239757647</v>
      </c>
      <c r="Q233" s="43">
        <f t="shared" si="263"/>
        <v>49.349858742264999</v>
      </c>
    </row>
    <row r="234" spans="1:17" x14ac:dyDescent="0.35">
      <c r="A234" s="90" t="str">
        <f t="shared" si="260"/>
        <v>residual</v>
      </c>
      <c r="B234" s="49" t="s">
        <v>630</v>
      </c>
      <c r="C234" s="55" t="str">
        <f t="shared" ref="C234:Q234" si="264">IF(C35&gt;0, 100*(C35+C119/C$203)/C35,"")</f>
        <v/>
      </c>
      <c r="D234" s="55" t="str">
        <f t="shared" si="264"/>
        <v/>
      </c>
      <c r="E234" s="55" t="str">
        <f t="shared" si="264"/>
        <v/>
      </c>
      <c r="F234" s="55" t="str">
        <f t="shared" si="264"/>
        <v/>
      </c>
      <c r="G234" s="56" t="str">
        <f t="shared" si="264"/>
        <v/>
      </c>
      <c r="H234" s="57" t="str">
        <f t="shared" si="264"/>
        <v/>
      </c>
      <c r="I234" s="55" t="str">
        <f t="shared" si="264"/>
        <v/>
      </c>
      <c r="J234" s="55" t="str">
        <f t="shared" si="264"/>
        <v/>
      </c>
      <c r="K234" s="55" t="str">
        <f t="shared" si="264"/>
        <v/>
      </c>
      <c r="L234" s="56" t="str">
        <f t="shared" si="264"/>
        <v/>
      </c>
      <c r="M234" s="55" t="str">
        <f t="shared" si="264"/>
        <v/>
      </c>
      <c r="N234" s="55" t="str">
        <f t="shared" si="264"/>
        <v/>
      </c>
      <c r="O234" s="55" t="str">
        <f t="shared" si="264"/>
        <v/>
      </c>
      <c r="P234" s="55" t="str">
        <f t="shared" si="264"/>
        <v/>
      </c>
      <c r="Q234" s="55" t="str">
        <f t="shared" si="264"/>
        <v/>
      </c>
    </row>
    <row r="235" spans="1:17" x14ac:dyDescent="0.35">
      <c r="A235" s="90" t="str">
        <f t="shared" si="260"/>
        <v>residual</v>
      </c>
      <c r="B235" s="49" t="s">
        <v>631</v>
      </c>
      <c r="C235" s="55">
        <f t="shared" ref="C235:Q235" si="265">IF(C36&gt;0, 100*(C36+C120/C$203)/C36,"")</f>
        <v>62.786453694904957</v>
      </c>
      <c r="D235" s="55">
        <f t="shared" si="265"/>
        <v>61.019603177138578</v>
      </c>
      <c r="E235" s="55">
        <f t="shared" si="265"/>
        <v>58.184989924165393</v>
      </c>
      <c r="F235" s="55">
        <f t="shared" si="265"/>
        <v>56.29839097800172</v>
      </c>
      <c r="G235" s="56">
        <f t="shared" si="265"/>
        <v>49.90215367893267</v>
      </c>
      <c r="H235" s="57">
        <f t="shared" si="265"/>
        <v>61.537565449428506</v>
      </c>
      <c r="I235" s="55">
        <f t="shared" si="265"/>
        <v>59.724305400592414</v>
      </c>
      <c r="J235" s="55">
        <f t="shared" si="265"/>
        <v>62.383751931671142</v>
      </c>
      <c r="K235" s="55">
        <f t="shared" si="265"/>
        <v>66.108426012949508</v>
      </c>
      <c r="L235" s="56">
        <f t="shared" si="265"/>
        <v>50.356148875577659</v>
      </c>
      <c r="M235" s="55">
        <f t="shared" si="265"/>
        <v>61.176305499184984</v>
      </c>
      <c r="N235" s="55">
        <f t="shared" si="265"/>
        <v>57.457634475507994</v>
      </c>
      <c r="O235" s="55">
        <f t="shared" si="265"/>
        <v>58.293533334470474</v>
      </c>
      <c r="P235" s="55">
        <f t="shared" si="265"/>
        <v>60.209578239757633</v>
      </c>
      <c r="Q235" s="55">
        <f t="shared" si="265"/>
        <v>49.349858742265006</v>
      </c>
    </row>
    <row r="236" spans="1:17" x14ac:dyDescent="0.35">
      <c r="A236" s="90" t="str">
        <f t="shared" si="260"/>
        <v>residual</v>
      </c>
      <c r="B236" s="49" t="s">
        <v>632</v>
      </c>
      <c r="C236" s="55">
        <f t="shared" ref="C236:Q236" si="266">IF(C37&gt;0, 100*(C37+C121/C$203)/C37,"")</f>
        <v>62.786453694904971</v>
      </c>
      <c r="D236" s="55">
        <f t="shared" si="266"/>
        <v>61.019603177138578</v>
      </c>
      <c r="E236" s="55">
        <f t="shared" si="266"/>
        <v>58.184989924165386</v>
      </c>
      <c r="F236" s="55">
        <f t="shared" si="266"/>
        <v>56.298390978001713</v>
      </c>
      <c r="G236" s="56">
        <f t="shared" si="266"/>
        <v>49.90215367893267</v>
      </c>
      <c r="H236" s="57">
        <f t="shared" si="266"/>
        <v>61.537565449428513</v>
      </c>
      <c r="I236" s="55">
        <f t="shared" si="266"/>
        <v>59.724305400592421</v>
      </c>
      <c r="J236" s="55">
        <f t="shared" si="266"/>
        <v>62.383751931671142</v>
      </c>
      <c r="K236" s="55">
        <f t="shared" si="266"/>
        <v>66.108426012949508</v>
      </c>
      <c r="L236" s="56">
        <f t="shared" si="266"/>
        <v>50.356148875577667</v>
      </c>
      <c r="M236" s="55">
        <f t="shared" si="266"/>
        <v>61.176305499184984</v>
      </c>
      <c r="N236" s="55">
        <f t="shared" si="266"/>
        <v>57.457634475508002</v>
      </c>
      <c r="O236" s="55">
        <f t="shared" si="266"/>
        <v>58.293533334470474</v>
      </c>
      <c r="P236" s="55">
        <f t="shared" si="266"/>
        <v>60.209578239757661</v>
      </c>
      <c r="Q236" s="55">
        <f t="shared" si="266"/>
        <v>49.349858742265006</v>
      </c>
    </row>
    <row r="237" spans="1:17" x14ac:dyDescent="0.35">
      <c r="A237" s="84" t="str">
        <f t="shared" si="260"/>
        <v>residual</v>
      </c>
      <c r="B237" s="40" t="s">
        <v>635</v>
      </c>
      <c r="C237" s="43">
        <f t="shared" ref="C237:Q237" si="267">IF(C38&gt;0, 100*(C38+C122/C$203)/C38,"")</f>
        <v>62.786453694904964</v>
      </c>
      <c r="D237" s="43">
        <f t="shared" si="267"/>
        <v>61.019603177138585</v>
      </c>
      <c r="E237" s="43">
        <f t="shared" si="267"/>
        <v>58.184989924165386</v>
      </c>
      <c r="F237" s="43">
        <f t="shared" si="267"/>
        <v>56.29839097800172</v>
      </c>
      <c r="G237" s="50">
        <f t="shared" si="267"/>
        <v>49.902153678932663</v>
      </c>
      <c r="H237" s="51">
        <f t="shared" si="267"/>
        <v>61.537565449428506</v>
      </c>
      <c r="I237" s="43">
        <f t="shared" si="267"/>
        <v>59.724305400592421</v>
      </c>
      <c r="J237" s="43">
        <f t="shared" si="267"/>
        <v>62.383751931671142</v>
      </c>
      <c r="K237" s="43">
        <f t="shared" si="267"/>
        <v>66.108426012949508</v>
      </c>
      <c r="L237" s="50">
        <f t="shared" si="267"/>
        <v>50.356148875577659</v>
      </c>
      <c r="M237" s="43">
        <f t="shared" si="267"/>
        <v>61.176305499184991</v>
      </c>
      <c r="N237" s="43">
        <f t="shared" si="267"/>
        <v>57.457634475508002</v>
      </c>
      <c r="O237" s="43">
        <f t="shared" si="267"/>
        <v>58.293533334470467</v>
      </c>
      <c r="P237" s="43">
        <f t="shared" si="267"/>
        <v>60.209578239757654</v>
      </c>
      <c r="Q237" s="43">
        <f t="shared" si="267"/>
        <v>49.349858742265006</v>
      </c>
    </row>
    <row r="238" spans="1:17" x14ac:dyDescent="0.35">
      <c r="A238" s="163" t="s">
        <v>608</v>
      </c>
      <c r="B238" s="164"/>
      <c r="C238" s="129">
        <f t="shared" ref="C238:Q238" si="268">IF(C39&gt;0, 100*(C39+C123/C$203)/C39,"")</f>
        <v>89.646250875016449</v>
      </c>
      <c r="D238" s="127">
        <f t="shared" si="268"/>
        <v>87.520275567050589</v>
      </c>
      <c r="E238" s="127">
        <f t="shared" si="268"/>
        <v>84.508875521315147</v>
      </c>
      <c r="F238" s="127">
        <f t="shared" si="268"/>
        <v>80.826763495739684</v>
      </c>
      <c r="G238" s="128">
        <f t="shared" si="268"/>
        <v>70.647953884440795</v>
      </c>
      <c r="H238" s="129">
        <f t="shared" si="268"/>
        <v>86.994342676619027</v>
      </c>
      <c r="I238" s="127">
        <f t="shared" si="268"/>
        <v>85.771960468884942</v>
      </c>
      <c r="J238" s="127">
        <f t="shared" si="268"/>
        <v>85.023568104591462</v>
      </c>
      <c r="K238" s="127">
        <f t="shared" si="268"/>
        <v>82.546241325995354</v>
      </c>
      <c r="L238" s="128">
        <f t="shared" si="268"/>
        <v>70.433703894665484</v>
      </c>
      <c r="M238" s="127">
        <f t="shared" si="268"/>
        <v>84.138085579698298</v>
      </c>
      <c r="N238" s="127">
        <f t="shared" si="268"/>
        <v>81.936348090051567</v>
      </c>
      <c r="O238" s="127">
        <f t="shared" si="268"/>
        <v>80.56010099231824</v>
      </c>
      <c r="P238" s="127">
        <f t="shared" si="268"/>
        <v>78.385454604783192</v>
      </c>
      <c r="Q238" s="128">
        <f t="shared" si="268"/>
        <v>62.512889647803824</v>
      </c>
    </row>
    <row r="239" spans="1:17" s="74" customFormat="1" x14ac:dyDescent="0.35">
      <c r="A239" s="161" t="s">
        <v>638</v>
      </c>
      <c r="B239" s="162"/>
      <c r="C239" s="126">
        <f t="shared" ref="C239:Q239" si="269">IF(C40&gt;0, 100*(C40+C124/C$203)/C40,"")</f>
        <v>78.254055924313462</v>
      </c>
      <c r="D239" s="124">
        <f t="shared" si="269"/>
        <v>75.936874962467115</v>
      </c>
      <c r="E239" s="124">
        <f t="shared" si="269"/>
        <v>72.473324819636105</v>
      </c>
      <c r="F239" s="124">
        <f t="shared" si="269"/>
        <v>68.802775507653138</v>
      </c>
      <c r="G239" s="125">
        <f t="shared" si="269"/>
        <v>59.055286789675804</v>
      </c>
      <c r="H239" s="126">
        <f t="shared" si="269"/>
        <v>77.368151844984212</v>
      </c>
      <c r="I239" s="124">
        <f t="shared" si="269"/>
        <v>76.26822569349882</v>
      </c>
      <c r="J239" s="124">
        <f t="shared" si="269"/>
        <v>74.827637827458886</v>
      </c>
      <c r="K239" s="124">
        <f t="shared" si="269"/>
        <v>74.152419443307252</v>
      </c>
      <c r="L239" s="125">
        <f t="shared" si="269"/>
        <v>61.667919569005072</v>
      </c>
      <c r="M239" s="124">
        <f t="shared" si="269"/>
        <v>73.139498753114083</v>
      </c>
      <c r="N239" s="124">
        <f t="shared" si="269"/>
        <v>70.425657754921886</v>
      </c>
      <c r="O239" s="124">
        <f t="shared" si="269"/>
        <v>70.323913424221516</v>
      </c>
      <c r="P239" s="124">
        <f t="shared" si="269"/>
        <v>69.725337890452579</v>
      </c>
      <c r="Q239" s="125">
        <f t="shared" si="269"/>
        <v>55.133353648867633</v>
      </c>
    </row>
    <row r="240" spans="1:17" s="74" customFormat="1" x14ac:dyDescent="0.35">
      <c r="A240" s="163" t="s">
        <v>672</v>
      </c>
      <c r="B240" s="164"/>
      <c r="C240" s="129">
        <f t="shared" ref="C240:Q240" si="270">IF(C41&gt;0, 100*(C41+C125/C$203)/C41,"")</f>
        <v>88.766897613650784</v>
      </c>
      <c r="D240" s="127">
        <f t="shared" si="270"/>
        <v>86.670312599868566</v>
      </c>
      <c r="E240" s="127">
        <f t="shared" si="270"/>
        <v>83.56820376340599</v>
      </c>
      <c r="F240" s="127">
        <f t="shared" si="270"/>
        <v>79.96855502043455</v>
      </c>
      <c r="G240" s="128">
        <f t="shared" si="270"/>
        <v>69.63489067160981</v>
      </c>
      <c r="H240" s="129">
        <f t="shared" si="270"/>
        <v>85.674672677161453</v>
      </c>
      <c r="I240" s="127">
        <f t="shared" si="270"/>
        <v>84.371377288771541</v>
      </c>
      <c r="J240" s="127">
        <f t="shared" si="270"/>
        <v>84.087514152650527</v>
      </c>
      <c r="K240" s="127">
        <f t="shared" si="270"/>
        <v>81.732052941053723</v>
      </c>
      <c r="L240" s="128">
        <f t="shared" si="270"/>
        <v>70.120221703508975</v>
      </c>
      <c r="M240" s="127">
        <f t="shared" si="270"/>
        <v>83.034107687563832</v>
      </c>
      <c r="N240" s="127">
        <f t="shared" si="270"/>
        <v>81.08845502000807</v>
      </c>
      <c r="O240" s="127">
        <f t="shared" si="270"/>
        <v>79.509312787938796</v>
      </c>
      <c r="P240" s="127">
        <f t="shared" si="270"/>
        <v>77.657430213522062</v>
      </c>
      <c r="Q240" s="128">
        <f t="shared" si="270"/>
        <v>61.62870904292997</v>
      </c>
    </row>
    <row r="241" spans="1:70" s="74" customFormat="1" x14ac:dyDescent="0.35">
      <c r="A241" s="161" t="s">
        <v>673</v>
      </c>
      <c r="B241" s="162"/>
      <c r="C241" s="126">
        <f t="shared" ref="C241:Q241" si="271">IF(C42&gt;0, 100*(C42+C126/C$203)/C42,"")</f>
        <v>62.786453694904957</v>
      </c>
      <c r="D241" s="124">
        <f t="shared" si="271"/>
        <v>61.019603177138578</v>
      </c>
      <c r="E241" s="124">
        <f t="shared" si="271"/>
        <v>58.184989924165386</v>
      </c>
      <c r="F241" s="124">
        <f t="shared" si="271"/>
        <v>56.29839097800172</v>
      </c>
      <c r="G241" s="125">
        <f t="shared" si="271"/>
        <v>49.902153678932684</v>
      </c>
      <c r="H241" s="126">
        <f t="shared" si="271"/>
        <v>61.53756544942852</v>
      </c>
      <c r="I241" s="124">
        <f t="shared" si="271"/>
        <v>59.724305400592421</v>
      </c>
      <c r="J241" s="124">
        <f t="shared" si="271"/>
        <v>62.383751931671156</v>
      </c>
      <c r="K241" s="124">
        <f t="shared" si="271"/>
        <v>66.108426012949508</v>
      </c>
      <c r="L241" s="125">
        <f t="shared" si="271"/>
        <v>50.356148875577674</v>
      </c>
      <c r="M241" s="124">
        <f t="shared" si="271"/>
        <v>61.176305499184984</v>
      </c>
      <c r="N241" s="124">
        <f t="shared" si="271"/>
        <v>57.457634475507994</v>
      </c>
      <c r="O241" s="124">
        <f t="shared" si="271"/>
        <v>58.293533334470482</v>
      </c>
      <c r="P241" s="124">
        <f t="shared" si="271"/>
        <v>60.209578239757654</v>
      </c>
      <c r="Q241" s="125">
        <f t="shared" si="271"/>
        <v>49.349858742264999</v>
      </c>
    </row>
    <row r="242" spans="1:70" x14ac:dyDescent="0.35">
      <c r="A242" s="165" t="s">
        <v>127</v>
      </c>
      <c r="B242" s="166"/>
      <c r="C242" s="123">
        <f t="shared" ref="C242:Q242" si="272">IF(C43&gt;0, 100*(C43+C127/C$203)/C43,"")</f>
        <v>85.322352717506078</v>
      </c>
      <c r="D242" s="121">
        <f t="shared" si="272"/>
        <v>83.185737872697885</v>
      </c>
      <c r="E242" s="121">
        <f t="shared" si="272"/>
        <v>79.842275536016729</v>
      </c>
      <c r="F242" s="121">
        <f t="shared" si="272"/>
        <v>76.177737385268202</v>
      </c>
      <c r="G242" s="122">
        <f t="shared" si="272"/>
        <v>65.438390094054682</v>
      </c>
      <c r="H242" s="123">
        <f t="shared" si="272"/>
        <v>82.462713753781429</v>
      </c>
      <c r="I242" s="121">
        <f t="shared" si="272"/>
        <v>81.253609357342143</v>
      </c>
      <c r="J242" s="121">
        <f t="shared" si="272"/>
        <v>80.726970830380395</v>
      </c>
      <c r="K242" s="121">
        <f t="shared" si="272"/>
        <v>78.651479669285322</v>
      </c>
      <c r="L242" s="122">
        <f t="shared" si="272"/>
        <v>65.886574804732959</v>
      </c>
      <c r="M242" s="121">
        <f t="shared" si="272"/>
        <v>78.8745596992201</v>
      </c>
      <c r="N242" s="121">
        <f t="shared" si="272"/>
        <v>77.042838143261633</v>
      </c>
      <c r="O242" s="121">
        <f t="shared" si="272"/>
        <v>75.686261316711864</v>
      </c>
      <c r="P242" s="121">
        <f t="shared" si="272"/>
        <v>74.245667421385235</v>
      </c>
      <c r="Q242" s="122">
        <f t="shared" si="272"/>
        <v>57.950061439908588</v>
      </c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</sheetData>
  <mergeCells count="36">
    <mergeCell ref="C216:G216"/>
    <mergeCell ref="H216:L216"/>
    <mergeCell ref="M216:Q216"/>
    <mergeCell ref="C17:G17"/>
    <mergeCell ref="H17:L17"/>
    <mergeCell ref="M17:Q17"/>
    <mergeCell ref="AE17:AI17"/>
    <mergeCell ref="AJ17:AJ18"/>
    <mergeCell ref="C100:G100"/>
    <mergeCell ref="H100:L100"/>
    <mergeCell ref="M100:Q100"/>
    <mergeCell ref="R17:R18"/>
    <mergeCell ref="T100:X100"/>
    <mergeCell ref="Y100:AC100"/>
    <mergeCell ref="AD100:AH100"/>
    <mergeCell ref="U17:Y17"/>
    <mergeCell ref="Z17:AD17"/>
    <mergeCell ref="A123:B123"/>
    <mergeCell ref="B17:B18"/>
    <mergeCell ref="A17:A18"/>
    <mergeCell ref="R115:S115"/>
    <mergeCell ref="A39:B39"/>
    <mergeCell ref="A40:B40"/>
    <mergeCell ref="A43:B43"/>
    <mergeCell ref="R101:S101"/>
    <mergeCell ref="A41:B41"/>
    <mergeCell ref="A42:B42"/>
    <mergeCell ref="A239:B239"/>
    <mergeCell ref="A240:B240"/>
    <mergeCell ref="A241:B241"/>
    <mergeCell ref="A242:B242"/>
    <mergeCell ref="A124:B124"/>
    <mergeCell ref="A125:B125"/>
    <mergeCell ref="A126:B126"/>
    <mergeCell ref="A127:B127"/>
    <mergeCell ref="A238:B238"/>
  </mergeCells>
  <conditionalFormatting sqref="A49:A95">
    <cfRule type="cellIs" dxfId="20" priority="6" operator="equal">
      <formula>1</formula>
    </cfRule>
  </conditionalFormatting>
  <conditionalFormatting sqref="A184:A185">
    <cfRule type="cellIs" dxfId="19" priority="98" operator="equal">
      <formula>1</formula>
    </cfRule>
  </conditionalFormatting>
  <conditionalFormatting sqref="A195:A196">
    <cfRule type="cellIs" dxfId="18" priority="94" operator="equal">
      <formula>1</formula>
    </cfRule>
  </conditionalFormatting>
  <conditionalFormatting sqref="B81:B83">
    <cfRule type="cellIs" dxfId="17" priority="113" operator="equal">
      <formula>1</formula>
    </cfRule>
  </conditionalFormatting>
  <conditionalFormatting sqref="B209:Q209">
    <cfRule type="cellIs" dxfId="16" priority="12" operator="equal">
      <formula>1</formula>
    </cfRule>
  </conditionalFormatting>
  <conditionalFormatting sqref="B206:R206">
    <cfRule type="cellIs" dxfId="15" priority="11" operator="equal">
      <formula>1</formula>
    </cfRule>
  </conditionalFormatting>
  <conditionalFormatting sqref="B6:BR6 A16 A17:B17 R17 C18:Q18 B48:R86 T48:AJ93 AL48:BR93 C87:R88 B87:Q93 R87:R94 C94:Q94 AL94:BA94 BC94:BR94 B94:B95 T94:T95 A101:R101 T101:AH101 AJ131 B131:Q177 S131:AH177 B184:Q184 C185:Q185 A191:Q192 B195:Q195 C196:Q196 A199:Q200 B202:Q202 A217:Q217">
    <cfRule type="cellIs" dxfId="14" priority="147" operator="equal">
      <formula>1</formula>
    </cfRule>
  </conditionalFormatting>
  <conditionalFormatting sqref="C51:R53 C57:R58 C61:R61 C65:R65 C77:R77 C80:R81 C83:R83 C90:R90 C92:R94">
    <cfRule type="cellIs" dxfId="13" priority="106" operator="equal">
      <formula>1</formula>
    </cfRule>
  </conditionalFormatting>
  <conditionalFormatting sqref="C73:R75">
    <cfRule type="cellIs" dxfId="12" priority="5" operator="equal">
      <formula>1</formula>
    </cfRule>
  </conditionalFormatting>
  <conditionalFormatting sqref="R131">
    <cfRule type="cellIs" dxfId="11" priority="1" operator="equal">
      <formula>1</formula>
    </cfRule>
  </conditionalFormatting>
  <conditionalFormatting sqref="T81:T83">
    <cfRule type="cellIs" dxfId="10" priority="103" operator="equal">
      <formula>1</formula>
    </cfRule>
  </conditionalFormatting>
  <conditionalFormatting sqref="T18:AI18">
    <cfRule type="cellIs" dxfId="9" priority="28" operator="equal">
      <formula>1</formula>
    </cfRule>
  </conditionalFormatting>
  <conditionalFormatting sqref="U51:AJ53 U57:AJ58 U61:AJ61 U65:AJ65 U77:AJ77 U80:AJ81 U83:AJ83 U90:AJ90 U92:AJ94">
    <cfRule type="cellIs" dxfId="8" priority="114" operator="equal">
      <formula>1</formula>
    </cfRule>
  </conditionalFormatting>
  <conditionalFormatting sqref="U73:AJ75">
    <cfRule type="cellIs" dxfId="7" priority="4" operator="equal">
      <formula>1</formula>
    </cfRule>
  </conditionalFormatting>
  <conditionalFormatting sqref="AJ17">
    <cfRule type="cellIs" dxfId="6" priority="29" operator="equal">
      <formula>1</formula>
    </cfRule>
  </conditionalFormatting>
  <conditionalFormatting sqref="AL81:AL83">
    <cfRule type="cellIs" dxfId="5" priority="148" operator="equal">
      <formula>1</formula>
    </cfRule>
  </conditionalFormatting>
  <conditionalFormatting sqref="AM51:BA53 AM57:BA58 AM61:BA61 AM65:BA65 AM77:BA77 AM80:BA81 AM83:BA83 AM90:BA90 AM92:BA94">
    <cfRule type="cellIs" dxfId="4" priority="132" operator="equal">
      <formula>1</formula>
    </cfRule>
  </conditionalFormatting>
  <conditionalFormatting sqref="AM73:BA75">
    <cfRule type="cellIs" dxfId="3" priority="3" operator="equal">
      <formula>1</formula>
    </cfRule>
  </conditionalFormatting>
  <conditionalFormatting sqref="BC81:BC83">
    <cfRule type="cellIs" dxfId="2" priority="131" operator="equal">
      <formula>1</formula>
    </cfRule>
  </conditionalFormatting>
  <conditionalFormatting sqref="BD53:BR53 BD57:BR58 BD61:BR61 BD65:BR65 BD77:BR77 BD80:BR81 BD83:BR83 BD90:BR90 BD92:BR94">
    <cfRule type="cellIs" dxfId="1" priority="122" operator="equal">
      <formula>1</formula>
    </cfRule>
  </conditionalFormatting>
  <conditionalFormatting sqref="BD73:BR75"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S781"/>
  <sheetViews>
    <sheetView showZeros="0" zoomScale="85" zoomScaleNormal="85" workbookViewId="0">
      <pane ySplit="7" topLeftCell="A8" activePane="bottomLeft" state="frozen"/>
      <selection activeCell="D7" sqref="D7:E19"/>
      <selection pane="bottomLeft" activeCell="E20" sqref="E20"/>
    </sheetView>
  </sheetViews>
  <sheetFormatPr defaultRowHeight="14.5" x14ac:dyDescent="0.35"/>
  <cols>
    <col min="13" max="13" width="28.54296875" customWidth="1"/>
  </cols>
  <sheetData>
    <row r="1" spans="1:19" ht="18.5" x14ac:dyDescent="0.45">
      <c r="A1" s="5" t="s">
        <v>365</v>
      </c>
    </row>
    <row r="2" spans="1:19" x14ac:dyDescent="0.35">
      <c r="A2" s="3" t="s">
        <v>364</v>
      </c>
      <c r="B2" s="4" t="s">
        <v>366</v>
      </c>
    </row>
    <row r="4" spans="1:19" x14ac:dyDescent="0.35">
      <c r="B4" s="19" t="s">
        <v>540</v>
      </c>
      <c r="F4" t="s">
        <v>540</v>
      </c>
    </row>
    <row r="5" spans="1:19" x14ac:dyDescent="0.35">
      <c r="A5" s="1" t="s">
        <v>367</v>
      </c>
      <c r="E5" s="1" t="s">
        <v>372</v>
      </c>
    </row>
    <row r="6" spans="1:19" x14ac:dyDescent="0.35">
      <c r="B6" t="s">
        <v>368</v>
      </c>
      <c r="C6" t="s">
        <v>369</v>
      </c>
      <c r="F6" t="s">
        <v>373</v>
      </c>
      <c r="J6" s="1" t="s">
        <v>432</v>
      </c>
      <c r="M6" s="8" t="s">
        <v>431</v>
      </c>
      <c r="N6" s="9"/>
      <c r="O6" s="9"/>
      <c r="P6" s="9"/>
    </row>
    <row r="7" spans="1:19" x14ac:dyDescent="0.35">
      <c r="B7" t="s">
        <v>370</v>
      </c>
      <c r="C7" t="s">
        <v>371</v>
      </c>
      <c r="F7" t="s">
        <v>374</v>
      </c>
      <c r="G7" t="s">
        <v>375</v>
      </c>
      <c r="K7" t="s">
        <v>433</v>
      </c>
      <c r="M7" s="9"/>
      <c r="N7" s="9" t="s">
        <v>368</v>
      </c>
      <c r="O7" s="9" t="s">
        <v>376</v>
      </c>
      <c r="P7" s="9" t="s">
        <v>377</v>
      </c>
    </row>
    <row r="8" spans="1:19" x14ac:dyDescent="0.35">
      <c r="A8" t="s">
        <v>680</v>
      </c>
      <c r="B8" s="18">
        <f>K8</f>
        <v>1.3</v>
      </c>
      <c r="C8" s="7">
        <f t="shared" ref="C8:C14" si="0">B8</f>
        <v>1.3</v>
      </c>
      <c r="E8" t="s">
        <v>675</v>
      </c>
      <c r="F8" s="68">
        <v>0.5</v>
      </c>
      <c r="G8" s="68">
        <v>0.5</v>
      </c>
      <c r="J8" t="s">
        <v>680</v>
      </c>
      <c r="K8" s="7">
        <f>N10</f>
        <v>1.3</v>
      </c>
      <c r="M8" s="9" t="s">
        <v>378</v>
      </c>
      <c r="N8" s="10">
        <v>5.05</v>
      </c>
      <c r="O8" s="10">
        <v>10.1</v>
      </c>
      <c r="P8" s="10">
        <v>0.24</v>
      </c>
      <c r="R8" s="7">
        <f>P8</f>
        <v>0.24</v>
      </c>
      <c r="S8" s="7">
        <f t="shared" ref="S8:S20" si="1">R8</f>
        <v>0.24</v>
      </c>
    </row>
    <row r="9" spans="1:19" x14ac:dyDescent="0.35">
      <c r="A9" t="s">
        <v>177</v>
      </c>
      <c r="B9" s="18">
        <f>K9</f>
        <v>1.85</v>
      </c>
      <c r="C9" s="7">
        <f t="shared" si="0"/>
        <v>1.85</v>
      </c>
      <c r="E9" t="s">
        <v>138</v>
      </c>
      <c r="F9" s="68">
        <v>0.5</v>
      </c>
      <c r="G9" s="68">
        <v>0.5</v>
      </c>
      <c r="J9" t="s">
        <v>177</v>
      </c>
      <c r="K9" s="7">
        <f>N11</f>
        <v>1.85</v>
      </c>
      <c r="M9" s="9" t="s">
        <v>379</v>
      </c>
      <c r="N9" s="10">
        <v>4.45</v>
      </c>
      <c r="O9" s="10">
        <v>8.9</v>
      </c>
      <c r="P9" s="10">
        <v>0.24</v>
      </c>
      <c r="R9" s="7">
        <f t="shared" ref="R9:R16" si="2">R8</f>
        <v>0.24</v>
      </c>
      <c r="S9" s="7">
        <f t="shared" si="1"/>
        <v>0.24</v>
      </c>
    </row>
    <row r="10" spans="1:19" x14ac:dyDescent="0.35">
      <c r="A10" t="s">
        <v>178</v>
      </c>
      <c r="B10" s="18">
        <f>K10</f>
        <v>2.4500000000000002</v>
      </c>
      <c r="C10" s="7">
        <f t="shared" si="0"/>
        <v>2.4500000000000002</v>
      </c>
      <c r="E10" t="s">
        <v>140</v>
      </c>
      <c r="F10" s="68">
        <v>0.5</v>
      </c>
      <c r="G10" s="68">
        <v>0.5</v>
      </c>
      <c r="J10" t="s">
        <v>178</v>
      </c>
      <c r="K10" s="7">
        <f>N12</f>
        <v>2.4500000000000002</v>
      </c>
      <c r="M10" s="9" t="s">
        <v>380</v>
      </c>
      <c r="N10" s="10">
        <v>1.3</v>
      </c>
      <c r="O10" s="10">
        <v>2.6</v>
      </c>
      <c r="P10" s="10">
        <v>0.24</v>
      </c>
      <c r="R10" s="7">
        <f t="shared" si="2"/>
        <v>0.24</v>
      </c>
      <c r="S10" s="7">
        <f t="shared" si="1"/>
        <v>0.24</v>
      </c>
    </row>
    <row r="11" spans="1:19" x14ac:dyDescent="0.35">
      <c r="A11" t="s">
        <v>179</v>
      </c>
      <c r="B11" s="18">
        <f t="shared" ref="B11:B14" si="3">K11</f>
        <v>1.85</v>
      </c>
      <c r="C11" s="7">
        <f t="shared" si="0"/>
        <v>1.85</v>
      </c>
      <c r="E11" t="s">
        <v>142</v>
      </c>
      <c r="F11" s="68">
        <v>0.5</v>
      </c>
      <c r="G11" s="68">
        <v>0.5</v>
      </c>
      <c r="J11" t="s">
        <v>179</v>
      </c>
      <c r="K11" s="7">
        <f>N11</f>
        <v>1.85</v>
      </c>
      <c r="M11" s="9" t="s">
        <v>381</v>
      </c>
      <c r="N11" s="10">
        <v>1.85</v>
      </c>
      <c r="O11" s="10">
        <v>3.7</v>
      </c>
      <c r="P11" s="10">
        <v>0.24</v>
      </c>
      <c r="R11" s="7">
        <f t="shared" si="2"/>
        <v>0.24</v>
      </c>
      <c r="S11" s="7">
        <f t="shared" si="1"/>
        <v>0.24</v>
      </c>
    </row>
    <row r="12" spans="1:19" x14ac:dyDescent="0.35">
      <c r="A12" t="s">
        <v>180</v>
      </c>
      <c r="B12" s="18">
        <f t="shared" si="3"/>
        <v>1.85</v>
      </c>
      <c r="C12" s="7">
        <f t="shared" si="0"/>
        <v>1.85</v>
      </c>
      <c r="E12" t="s">
        <v>143</v>
      </c>
      <c r="F12" s="68">
        <v>0.5</v>
      </c>
      <c r="G12" s="68">
        <v>0.5</v>
      </c>
      <c r="J12" t="s">
        <v>180</v>
      </c>
      <c r="K12" s="7">
        <f>N11</f>
        <v>1.85</v>
      </c>
      <c r="M12" s="9" t="s">
        <v>382</v>
      </c>
      <c r="N12" s="10">
        <v>2.4500000000000002</v>
      </c>
      <c r="O12" s="10">
        <v>4.9000000000000004</v>
      </c>
      <c r="P12" s="10">
        <v>0.24</v>
      </c>
      <c r="R12" s="7">
        <f t="shared" si="2"/>
        <v>0.24</v>
      </c>
      <c r="S12" s="7">
        <f t="shared" si="1"/>
        <v>0.24</v>
      </c>
    </row>
    <row r="13" spans="1:19" x14ac:dyDescent="0.35">
      <c r="A13" t="s">
        <v>181</v>
      </c>
      <c r="B13" s="18">
        <f t="shared" si="3"/>
        <v>1.85</v>
      </c>
      <c r="C13" s="7">
        <f t="shared" si="0"/>
        <v>1.85</v>
      </c>
      <c r="E13" t="s">
        <v>147</v>
      </c>
      <c r="F13" s="68">
        <v>0.5</v>
      </c>
      <c r="G13" s="68">
        <v>0.5</v>
      </c>
      <c r="J13" t="s">
        <v>181</v>
      </c>
      <c r="K13" s="7">
        <f>N11</f>
        <v>1.85</v>
      </c>
      <c r="M13" s="9" t="s">
        <v>383</v>
      </c>
      <c r="N13" s="10">
        <v>2.7</v>
      </c>
      <c r="O13" s="10">
        <v>5.4</v>
      </c>
      <c r="P13" s="10">
        <v>0.24</v>
      </c>
      <c r="R13" s="7">
        <f t="shared" si="2"/>
        <v>0.24</v>
      </c>
      <c r="S13" s="7">
        <f t="shared" si="1"/>
        <v>0.24</v>
      </c>
    </row>
    <row r="14" spans="1:19" x14ac:dyDescent="0.35">
      <c r="A14" s="32" t="s">
        <v>725</v>
      </c>
      <c r="B14" s="18">
        <f t="shared" si="3"/>
        <v>3.25</v>
      </c>
      <c r="C14" s="7">
        <f t="shared" si="0"/>
        <v>3.25</v>
      </c>
      <c r="E14" s="32" t="s">
        <v>724</v>
      </c>
      <c r="F14" s="68">
        <v>0.5</v>
      </c>
      <c r="G14" s="68">
        <v>0.5</v>
      </c>
      <c r="J14" s="32" t="s">
        <v>725</v>
      </c>
      <c r="K14" s="7">
        <f>N15</f>
        <v>3.25</v>
      </c>
      <c r="M14" s="9" t="s">
        <v>384</v>
      </c>
      <c r="N14" s="10">
        <v>2.5</v>
      </c>
      <c r="O14" s="10">
        <v>5</v>
      </c>
      <c r="P14" s="10">
        <v>0.24</v>
      </c>
      <c r="R14" s="7">
        <f t="shared" si="2"/>
        <v>0.24</v>
      </c>
      <c r="S14" s="7">
        <f t="shared" si="1"/>
        <v>0.24</v>
      </c>
    </row>
    <row r="15" spans="1:19" x14ac:dyDescent="0.35">
      <c r="A15" t="s">
        <v>182</v>
      </c>
      <c r="B15" s="18">
        <f t="shared" ref="B15:B29" si="4">K15</f>
        <v>3.25</v>
      </c>
      <c r="C15" s="7">
        <f t="shared" ref="C15:C29" si="5">B15</f>
        <v>3.25</v>
      </c>
      <c r="E15" t="s">
        <v>148</v>
      </c>
      <c r="F15" s="68">
        <v>0.5</v>
      </c>
      <c r="G15" s="68">
        <v>0.5</v>
      </c>
      <c r="J15" t="s">
        <v>182</v>
      </c>
      <c r="K15" s="7">
        <f>N15</f>
        <v>3.25</v>
      </c>
      <c r="M15" s="9" t="s">
        <v>385</v>
      </c>
      <c r="N15" s="10">
        <v>3.25</v>
      </c>
      <c r="O15" s="10">
        <v>6.5</v>
      </c>
      <c r="P15" s="10">
        <v>0.24</v>
      </c>
      <c r="R15" s="7">
        <f t="shared" si="2"/>
        <v>0.24</v>
      </c>
      <c r="S15" s="7">
        <f t="shared" si="1"/>
        <v>0.24</v>
      </c>
    </row>
    <row r="16" spans="1:19" x14ac:dyDescent="0.35">
      <c r="A16" t="s">
        <v>681</v>
      </c>
      <c r="B16" s="18">
        <f t="shared" si="4"/>
        <v>2</v>
      </c>
      <c r="C16" s="7">
        <f t="shared" si="5"/>
        <v>2</v>
      </c>
      <c r="E16" t="s">
        <v>676</v>
      </c>
      <c r="F16" s="68">
        <v>0.5</v>
      </c>
      <c r="G16" s="68">
        <v>0.5</v>
      </c>
      <c r="J16" t="s">
        <v>681</v>
      </c>
      <c r="K16" s="7">
        <f>N16</f>
        <v>2</v>
      </c>
      <c r="M16" s="9" t="s">
        <v>386</v>
      </c>
      <c r="N16" s="10">
        <v>2</v>
      </c>
      <c r="O16" s="10">
        <v>4</v>
      </c>
      <c r="P16" s="10">
        <v>0.24</v>
      </c>
      <c r="R16" s="7">
        <f t="shared" si="2"/>
        <v>0.24</v>
      </c>
      <c r="S16" s="7">
        <f t="shared" si="1"/>
        <v>0.24</v>
      </c>
    </row>
    <row r="17" spans="1:19" x14ac:dyDescent="0.35">
      <c r="A17" t="s">
        <v>289</v>
      </c>
      <c r="B17" s="18">
        <f t="shared" si="4"/>
        <v>3.65</v>
      </c>
      <c r="C17" s="7">
        <f t="shared" si="5"/>
        <v>3.65</v>
      </c>
      <c r="E17" t="s">
        <v>281</v>
      </c>
      <c r="F17" s="68">
        <v>0.5</v>
      </c>
      <c r="G17" s="68">
        <v>0.5</v>
      </c>
      <c r="J17" t="s">
        <v>289</v>
      </c>
      <c r="K17" s="7">
        <f>N18</f>
        <v>3.65</v>
      </c>
      <c r="M17" s="9" t="s">
        <v>387</v>
      </c>
      <c r="N17" s="10">
        <v>1.3</v>
      </c>
      <c r="O17" s="10">
        <v>2.6</v>
      </c>
      <c r="P17" s="10">
        <v>0.24</v>
      </c>
      <c r="R17" s="7">
        <f>P20</f>
        <v>0.2</v>
      </c>
      <c r="S17" s="7">
        <f t="shared" si="1"/>
        <v>0.2</v>
      </c>
    </row>
    <row r="18" spans="1:19" x14ac:dyDescent="0.35">
      <c r="A18" t="s">
        <v>183</v>
      </c>
      <c r="B18" s="18">
        <f t="shared" si="4"/>
        <v>2.5</v>
      </c>
      <c r="C18" s="7">
        <f t="shared" si="5"/>
        <v>2.5</v>
      </c>
      <c r="E18" t="s">
        <v>151</v>
      </c>
      <c r="F18" s="68">
        <v>0.5</v>
      </c>
      <c r="G18" s="68">
        <v>0.5</v>
      </c>
      <c r="J18" t="s">
        <v>183</v>
      </c>
      <c r="K18" s="7">
        <f>N20</f>
        <v>2.5</v>
      </c>
      <c r="M18" s="9" t="s">
        <v>388</v>
      </c>
      <c r="N18" s="10">
        <v>3.65</v>
      </c>
      <c r="O18" s="10">
        <v>7.3</v>
      </c>
      <c r="P18" s="10">
        <v>0.24</v>
      </c>
      <c r="R18" s="28">
        <f>P21</f>
        <v>0.2</v>
      </c>
      <c r="S18" s="28">
        <f t="shared" si="1"/>
        <v>0.2</v>
      </c>
    </row>
    <row r="19" spans="1:19" x14ac:dyDescent="0.35">
      <c r="A19" s="26" t="s">
        <v>184</v>
      </c>
      <c r="B19" s="45">
        <f t="shared" si="4"/>
        <v>1.25</v>
      </c>
      <c r="C19" s="28">
        <f t="shared" si="5"/>
        <v>1.25</v>
      </c>
      <c r="E19" s="26" t="s">
        <v>152</v>
      </c>
      <c r="F19" s="68">
        <v>0.5</v>
      </c>
      <c r="G19" s="68">
        <v>0.5</v>
      </c>
      <c r="J19" t="s">
        <v>184</v>
      </c>
      <c r="K19" s="7">
        <f>N21</f>
        <v>1.25</v>
      </c>
      <c r="M19" s="9" t="s">
        <v>389</v>
      </c>
      <c r="N19" s="10">
        <v>6.45</v>
      </c>
      <c r="O19" s="10">
        <v>12.9</v>
      </c>
      <c r="P19" s="10">
        <v>0.24</v>
      </c>
      <c r="R19" s="7">
        <f>P23</f>
        <v>0.2</v>
      </c>
      <c r="S19" s="7">
        <f t="shared" si="1"/>
        <v>0.2</v>
      </c>
    </row>
    <row r="20" spans="1:19" x14ac:dyDescent="0.35">
      <c r="A20" t="s">
        <v>682</v>
      </c>
      <c r="B20" s="18">
        <f t="shared" si="4"/>
        <v>5.2</v>
      </c>
      <c r="C20" s="7">
        <f t="shared" si="5"/>
        <v>5.2</v>
      </c>
      <c r="E20" t="s">
        <v>714</v>
      </c>
      <c r="F20" s="68">
        <v>0.5</v>
      </c>
      <c r="G20" s="68">
        <v>0.5</v>
      </c>
      <c r="J20" t="s">
        <v>682</v>
      </c>
      <c r="K20" s="7">
        <f>N23</f>
        <v>5.2</v>
      </c>
      <c r="M20" s="9" t="s">
        <v>3</v>
      </c>
      <c r="N20" s="10">
        <v>2.5</v>
      </c>
      <c r="O20" s="10">
        <v>5</v>
      </c>
      <c r="P20" s="10">
        <v>0.2</v>
      </c>
      <c r="R20" s="28">
        <f>R19</f>
        <v>0.2</v>
      </c>
      <c r="S20" s="28">
        <f t="shared" si="1"/>
        <v>0.2</v>
      </c>
    </row>
    <row r="21" spans="1:19" x14ac:dyDescent="0.35">
      <c r="A21" t="s">
        <v>683</v>
      </c>
      <c r="B21" s="18">
        <f t="shared" si="4"/>
        <v>0.9</v>
      </c>
      <c r="C21" s="7">
        <f t="shared" si="5"/>
        <v>0.9</v>
      </c>
      <c r="E21" s="26" t="s">
        <v>677</v>
      </c>
      <c r="F21" s="68">
        <v>0.5</v>
      </c>
      <c r="G21" s="68">
        <v>0.5</v>
      </c>
      <c r="J21" t="s">
        <v>683</v>
      </c>
      <c r="K21" s="7">
        <f>N25</f>
        <v>0.9</v>
      </c>
      <c r="M21" s="9" t="s">
        <v>12</v>
      </c>
      <c r="N21" s="10">
        <v>1.25</v>
      </c>
      <c r="O21" s="10">
        <v>2.5</v>
      </c>
      <c r="P21" s="10">
        <v>0.2</v>
      </c>
    </row>
    <row r="22" spans="1:19" x14ac:dyDescent="0.35">
      <c r="A22" t="s">
        <v>186</v>
      </c>
      <c r="B22" s="18">
        <f t="shared" si="4"/>
        <v>2.6</v>
      </c>
      <c r="C22" s="7">
        <f t="shared" si="5"/>
        <v>2.6</v>
      </c>
      <c r="E22" t="s">
        <v>154</v>
      </c>
      <c r="F22" s="7">
        <f>P26</f>
        <v>1.1200000000000001</v>
      </c>
      <c r="G22" s="7">
        <f t="shared" ref="G22:G53" si="6">F22</f>
        <v>1.1200000000000001</v>
      </c>
      <c r="J22" t="s">
        <v>186</v>
      </c>
      <c r="K22" s="7">
        <f>N30</f>
        <v>2.6</v>
      </c>
      <c r="M22" s="9" t="s">
        <v>390</v>
      </c>
      <c r="N22" s="10">
        <v>3.05</v>
      </c>
      <c r="O22" s="10">
        <v>6.1</v>
      </c>
      <c r="P22" s="10">
        <v>0.2</v>
      </c>
    </row>
    <row r="23" spans="1:19" x14ac:dyDescent="0.35">
      <c r="A23" t="s">
        <v>293</v>
      </c>
      <c r="B23" s="18">
        <f t="shared" si="4"/>
        <v>3.3</v>
      </c>
      <c r="C23" s="7">
        <f t="shared" si="5"/>
        <v>3.3</v>
      </c>
      <c r="E23" t="s">
        <v>287</v>
      </c>
      <c r="F23" s="7">
        <f>F22</f>
        <v>1.1200000000000001</v>
      </c>
      <c r="G23" s="7">
        <f t="shared" si="6"/>
        <v>1.1200000000000001</v>
      </c>
      <c r="J23" t="s">
        <v>293</v>
      </c>
      <c r="K23" s="7">
        <f>N28</f>
        <v>3.3</v>
      </c>
      <c r="M23" s="9" t="s">
        <v>391</v>
      </c>
      <c r="N23" s="10">
        <v>5.2</v>
      </c>
      <c r="O23" s="10">
        <v>10.4</v>
      </c>
      <c r="P23" s="10">
        <v>0.2</v>
      </c>
    </row>
    <row r="24" spans="1:19" x14ac:dyDescent="0.35">
      <c r="A24" t="s">
        <v>292</v>
      </c>
      <c r="B24" s="18">
        <f t="shared" si="4"/>
        <v>3.65</v>
      </c>
      <c r="C24" s="7">
        <f t="shared" si="5"/>
        <v>3.65</v>
      </c>
      <c r="E24" t="s">
        <v>286</v>
      </c>
      <c r="F24" s="7">
        <f t="shared" ref="F24:F29" si="7">F23</f>
        <v>1.1200000000000001</v>
      </c>
      <c r="G24" s="7">
        <f t="shared" si="6"/>
        <v>1.1200000000000001</v>
      </c>
      <c r="J24" t="s">
        <v>292</v>
      </c>
      <c r="K24" s="7">
        <f>N29</f>
        <v>3.65</v>
      </c>
      <c r="M24" s="9" t="s">
        <v>392</v>
      </c>
      <c r="N24" s="10">
        <v>17.2</v>
      </c>
      <c r="O24" s="10">
        <v>34.4</v>
      </c>
      <c r="P24" s="10">
        <v>0.2</v>
      </c>
    </row>
    <row r="25" spans="1:19" x14ac:dyDescent="0.35">
      <c r="A25" t="s">
        <v>185</v>
      </c>
      <c r="B25" s="18">
        <f t="shared" si="4"/>
        <v>3.85</v>
      </c>
      <c r="C25" s="7">
        <f t="shared" si="5"/>
        <v>3.85</v>
      </c>
      <c r="E25" t="s">
        <v>153</v>
      </c>
      <c r="F25" s="7">
        <f t="shared" si="7"/>
        <v>1.1200000000000001</v>
      </c>
      <c r="G25" s="7">
        <f t="shared" si="6"/>
        <v>1.1200000000000001</v>
      </c>
      <c r="J25" t="s">
        <v>185</v>
      </c>
      <c r="K25" s="7">
        <f>N26</f>
        <v>3.85</v>
      </c>
      <c r="M25" s="9" t="s">
        <v>393</v>
      </c>
      <c r="N25" s="10">
        <v>0.9</v>
      </c>
      <c r="O25" s="10">
        <v>1.8</v>
      </c>
      <c r="P25" s="10">
        <v>0.2</v>
      </c>
    </row>
    <row r="26" spans="1:19" x14ac:dyDescent="0.35">
      <c r="A26" t="s">
        <v>290</v>
      </c>
      <c r="B26" s="18">
        <f t="shared" si="4"/>
        <v>4.4000000000000004</v>
      </c>
      <c r="C26" s="7">
        <f t="shared" si="5"/>
        <v>4.4000000000000004</v>
      </c>
      <c r="E26" t="s">
        <v>284</v>
      </c>
      <c r="F26" s="7">
        <f t="shared" si="7"/>
        <v>1.1200000000000001</v>
      </c>
      <c r="G26" s="7">
        <f t="shared" si="6"/>
        <v>1.1200000000000001</v>
      </c>
      <c r="J26" t="s">
        <v>290</v>
      </c>
      <c r="K26" s="7">
        <f>N27</f>
        <v>4.4000000000000004</v>
      </c>
      <c r="M26" s="9" t="s">
        <v>394</v>
      </c>
      <c r="N26" s="10">
        <v>3.85</v>
      </c>
      <c r="O26" s="10">
        <v>7.7</v>
      </c>
      <c r="P26" s="10">
        <v>1.1200000000000001</v>
      </c>
    </row>
    <row r="27" spans="1:19" x14ac:dyDescent="0.35">
      <c r="A27" t="s">
        <v>291</v>
      </c>
      <c r="B27" s="18">
        <f t="shared" si="4"/>
        <v>3.3</v>
      </c>
      <c r="C27" s="7">
        <f t="shared" si="5"/>
        <v>3.3</v>
      </c>
      <c r="E27" t="s">
        <v>285</v>
      </c>
      <c r="F27" s="7">
        <f t="shared" si="7"/>
        <v>1.1200000000000001</v>
      </c>
      <c r="G27" s="7">
        <f t="shared" si="6"/>
        <v>1.1200000000000001</v>
      </c>
      <c r="J27" t="s">
        <v>291</v>
      </c>
      <c r="K27" s="7">
        <f>N28</f>
        <v>3.3</v>
      </c>
      <c r="M27" s="9" t="s">
        <v>395</v>
      </c>
      <c r="N27" s="10">
        <v>4.4000000000000004</v>
      </c>
      <c r="O27" s="10">
        <v>8.8000000000000007</v>
      </c>
      <c r="P27" s="10">
        <v>1.1200000000000001</v>
      </c>
    </row>
    <row r="28" spans="1:19" x14ac:dyDescent="0.35">
      <c r="A28" t="s">
        <v>684</v>
      </c>
      <c r="B28" s="18">
        <f t="shared" si="4"/>
        <v>2</v>
      </c>
      <c r="C28" s="7">
        <f t="shared" si="5"/>
        <v>2</v>
      </c>
      <c r="E28" t="s">
        <v>678</v>
      </c>
      <c r="F28" s="7">
        <f t="shared" si="7"/>
        <v>1.1200000000000001</v>
      </c>
      <c r="G28" s="7">
        <f t="shared" si="6"/>
        <v>1.1200000000000001</v>
      </c>
      <c r="J28" t="s">
        <v>684</v>
      </c>
      <c r="K28" s="7">
        <f>N32</f>
        <v>2</v>
      </c>
      <c r="M28" s="9" t="s">
        <v>396</v>
      </c>
      <c r="N28" s="10">
        <v>3.3</v>
      </c>
      <c r="O28" s="10">
        <v>6.6</v>
      </c>
      <c r="P28" s="10">
        <v>1.1200000000000001</v>
      </c>
    </row>
    <row r="29" spans="1:19" x14ac:dyDescent="0.35">
      <c r="A29" s="26" t="s">
        <v>685</v>
      </c>
      <c r="B29" s="45">
        <f t="shared" si="4"/>
        <v>3.75</v>
      </c>
      <c r="C29" s="28">
        <f t="shared" si="5"/>
        <v>3.75</v>
      </c>
      <c r="E29" s="26" t="s">
        <v>679</v>
      </c>
      <c r="F29" s="28">
        <f t="shared" si="7"/>
        <v>1.1200000000000001</v>
      </c>
      <c r="G29" s="28">
        <f t="shared" si="6"/>
        <v>1.1200000000000001</v>
      </c>
      <c r="J29" t="s">
        <v>685</v>
      </c>
      <c r="K29" s="7">
        <f>N34</f>
        <v>3.75</v>
      </c>
      <c r="M29" s="9" t="s">
        <v>397</v>
      </c>
      <c r="N29" s="10">
        <v>3.65</v>
      </c>
      <c r="O29" s="10">
        <v>7.3</v>
      </c>
      <c r="P29" s="10">
        <v>1.1200000000000001</v>
      </c>
    </row>
    <row r="30" spans="1:19" x14ac:dyDescent="0.35">
      <c r="A30" s="150" t="s">
        <v>187</v>
      </c>
      <c r="B30" s="151">
        <v>0.5</v>
      </c>
      <c r="C30" s="151">
        <f t="shared" ref="C30:C38" si="8">K30</f>
        <v>3.75</v>
      </c>
      <c r="E30" t="s">
        <v>155</v>
      </c>
      <c r="F30" s="7">
        <f>P34</f>
        <v>1.26</v>
      </c>
      <c r="G30" s="7">
        <f t="shared" si="6"/>
        <v>1.26</v>
      </c>
      <c r="J30" t="s">
        <v>187</v>
      </c>
      <c r="K30" s="7">
        <f>N34</f>
        <v>3.75</v>
      </c>
      <c r="M30" s="9" t="s">
        <v>398</v>
      </c>
      <c r="N30" s="10">
        <v>2.6</v>
      </c>
      <c r="O30" s="10">
        <v>5.2</v>
      </c>
      <c r="P30" s="10">
        <v>1.1200000000000001</v>
      </c>
    </row>
    <row r="31" spans="1:19" x14ac:dyDescent="0.35">
      <c r="A31" s="150" t="s">
        <v>188</v>
      </c>
      <c r="B31" s="151">
        <v>0.5</v>
      </c>
      <c r="C31" s="151">
        <f t="shared" si="8"/>
        <v>3.4</v>
      </c>
      <c r="E31" t="s">
        <v>156</v>
      </c>
      <c r="F31" s="7">
        <f>P37</f>
        <v>1.26</v>
      </c>
      <c r="G31" s="7">
        <f t="shared" si="6"/>
        <v>1.26</v>
      </c>
      <c r="J31" t="s">
        <v>188</v>
      </c>
      <c r="K31" s="7">
        <f>N37</f>
        <v>3.4</v>
      </c>
      <c r="M31" s="9" t="s">
        <v>399</v>
      </c>
      <c r="N31" s="10">
        <v>2.7</v>
      </c>
      <c r="O31" s="10">
        <v>5.4</v>
      </c>
      <c r="P31" s="10">
        <v>1.1200000000000001</v>
      </c>
    </row>
    <row r="32" spans="1:19" x14ac:dyDescent="0.35">
      <c r="A32" s="150" t="s">
        <v>189</v>
      </c>
      <c r="B32" s="151">
        <v>0.5</v>
      </c>
      <c r="C32" s="151">
        <f t="shared" si="8"/>
        <v>2.1</v>
      </c>
      <c r="E32" t="s">
        <v>288</v>
      </c>
      <c r="F32" s="7">
        <f>P39</f>
        <v>1.26</v>
      </c>
      <c r="G32" s="7">
        <f t="shared" si="6"/>
        <v>1.26</v>
      </c>
      <c r="J32" t="s">
        <v>189</v>
      </c>
      <c r="K32" s="7">
        <f>N39</f>
        <v>2.1</v>
      </c>
      <c r="M32" s="9" t="s">
        <v>400</v>
      </c>
      <c r="N32" s="10">
        <v>2</v>
      </c>
      <c r="O32" s="10">
        <v>4</v>
      </c>
      <c r="P32" s="10">
        <v>1.1200000000000001</v>
      </c>
    </row>
    <row r="33" spans="1:16" x14ac:dyDescent="0.35">
      <c r="A33" s="150" t="s">
        <v>190</v>
      </c>
      <c r="B33" s="151">
        <v>0.5</v>
      </c>
      <c r="C33" s="151">
        <f t="shared" si="8"/>
        <v>3.3</v>
      </c>
      <c r="E33" t="s">
        <v>157</v>
      </c>
      <c r="F33" s="7">
        <f>P40</f>
        <v>1.26</v>
      </c>
      <c r="G33" s="7">
        <f t="shared" si="6"/>
        <v>1.26</v>
      </c>
      <c r="J33" t="s">
        <v>190</v>
      </c>
      <c r="K33" s="7">
        <f>N40</f>
        <v>3.3</v>
      </c>
      <c r="M33" s="9" t="s">
        <v>401</v>
      </c>
      <c r="N33" s="10">
        <v>1.1499999999999999</v>
      </c>
      <c r="O33" s="10">
        <v>2.2999999999999998</v>
      </c>
      <c r="P33" s="10">
        <v>1.1200000000000001</v>
      </c>
    </row>
    <row r="34" spans="1:16" x14ac:dyDescent="0.35">
      <c r="A34" s="150" t="s">
        <v>191</v>
      </c>
      <c r="B34" s="151">
        <v>0.5</v>
      </c>
      <c r="C34" s="151">
        <f t="shared" si="8"/>
        <v>3.3</v>
      </c>
      <c r="E34" t="s">
        <v>158</v>
      </c>
      <c r="F34" s="7">
        <f>F33</f>
        <v>1.26</v>
      </c>
      <c r="G34" s="7">
        <f t="shared" si="6"/>
        <v>1.26</v>
      </c>
      <c r="J34" t="s">
        <v>191</v>
      </c>
      <c r="K34" s="7">
        <f>N40</f>
        <v>3.3</v>
      </c>
      <c r="M34" s="9" t="s">
        <v>4</v>
      </c>
      <c r="N34" s="10">
        <v>3.75</v>
      </c>
      <c r="O34" s="10">
        <v>7.5</v>
      </c>
      <c r="P34" s="10">
        <v>1.26</v>
      </c>
    </row>
    <row r="35" spans="1:16" x14ac:dyDescent="0.35">
      <c r="A35" s="150" t="s">
        <v>192</v>
      </c>
      <c r="B35" s="151">
        <v>0.5</v>
      </c>
      <c r="C35" s="151">
        <f t="shared" si="8"/>
        <v>2.9</v>
      </c>
      <c r="E35" t="s">
        <v>159</v>
      </c>
      <c r="F35" s="7">
        <f t="shared" ref="F35:F40" si="9">F34</f>
        <v>1.26</v>
      </c>
      <c r="G35" s="7">
        <f t="shared" si="6"/>
        <v>1.26</v>
      </c>
      <c r="J35" t="s">
        <v>192</v>
      </c>
      <c r="K35" s="7">
        <f>N41</f>
        <v>2.9</v>
      </c>
      <c r="M35" s="9" t="s">
        <v>402</v>
      </c>
      <c r="N35" s="10">
        <v>3.7</v>
      </c>
      <c r="O35" s="10">
        <v>7.4</v>
      </c>
      <c r="P35" s="10">
        <v>1.26</v>
      </c>
    </row>
    <row r="36" spans="1:16" x14ac:dyDescent="0.35">
      <c r="A36" s="150" t="s">
        <v>193</v>
      </c>
      <c r="B36" s="151">
        <v>0.5</v>
      </c>
      <c r="C36" s="151">
        <f t="shared" si="8"/>
        <v>2.95</v>
      </c>
      <c r="E36" t="s">
        <v>160</v>
      </c>
      <c r="F36" s="7">
        <f t="shared" si="9"/>
        <v>1.26</v>
      </c>
      <c r="G36" s="7">
        <f t="shared" si="6"/>
        <v>1.26</v>
      </c>
      <c r="J36" t="s">
        <v>193</v>
      </c>
      <c r="K36" s="7">
        <f>N42</f>
        <v>2.95</v>
      </c>
      <c r="M36" s="9" t="s">
        <v>403</v>
      </c>
      <c r="N36" s="10">
        <v>4.05</v>
      </c>
      <c r="O36" s="10">
        <v>8.1</v>
      </c>
      <c r="P36" s="10">
        <v>1.26</v>
      </c>
    </row>
    <row r="37" spans="1:16" x14ac:dyDescent="0.35">
      <c r="A37" s="150" t="s">
        <v>194</v>
      </c>
      <c r="B37" s="151">
        <v>0.5</v>
      </c>
      <c r="C37" s="151">
        <f t="shared" si="8"/>
        <v>4.4000000000000004</v>
      </c>
      <c r="E37" t="s">
        <v>161</v>
      </c>
      <c r="F37" s="7">
        <f t="shared" si="9"/>
        <v>1.26</v>
      </c>
      <c r="G37" s="7">
        <f t="shared" si="6"/>
        <v>1.26</v>
      </c>
      <c r="J37" t="s">
        <v>194</v>
      </c>
      <c r="K37" s="7">
        <f>N47</f>
        <v>4.4000000000000004</v>
      </c>
      <c r="M37" s="9" t="s">
        <v>404</v>
      </c>
      <c r="N37" s="10">
        <v>3.4</v>
      </c>
      <c r="O37" s="10">
        <v>6.8</v>
      </c>
      <c r="P37" s="10">
        <v>1.26</v>
      </c>
    </row>
    <row r="38" spans="1:16" x14ac:dyDescent="0.35">
      <c r="A38" s="150" t="s">
        <v>195</v>
      </c>
      <c r="B38" s="151">
        <v>0.5</v>
      </c>
      <c r="C38" s="151">
        <f t="shared" si="8"/>
        <v>3.75</v>
      </c>
      <c r="E38" s="26" t="s">
        <v>162</v>
      </c>
      <c r="F38" s="28">
        <f t="shared" si="9"/>
        <v>1.26</v>
      </c>
      <c r="G38" s="28">
        <f t="shared" si="6"/>
        <v>1.26</v>
      </c>
      <c r="J38" t="s">
        <v>195</v>
      </c>
      <c r="K38" s="7">
        <f>N49</f>
        <v>3.75</v>
      </c>
      <c r="M38" s="9" t="s">
        <v>405</v>
      </c>
      <c r="N38" s="10">
        <v>2.95</v>
      </c>
      <c r="O38" s="10">
        <v>5.9</v>
      </c>
      <c r="P38" s="10">
        <v>1.26</v>
      </c>
    </row>
    <row r="39" spans="1:16" x14ac:dyDescent="0.35">
      <c r="A39" t="s">
        <v>196</v>
      </c>
      <c r="B39" s="18">
        <f t="shared" ref="B39:B53" si="10">K39</f>
        <v>2.8</v>
      </c>
      <c r="C39" s="7">
        <f t="shared" ref="C39:C53" si="11">B39</f>
        <v>2.8</v>
      </c>
      <c r="E39" t="s">
        <v>163</v>
      </c>
      <c r="F39" s="7">
        <f>F38</f>
        <v>1.26</v>
      </c>
      <c r="G39" s="7">
        <f t="shared" si="6"/>
        <v>1.26</v>
      </c>
      <c r="J39" t="s">
        <v>196</v>
      </c>
      <c r="K39" s="7">
        <f>N50</f>
        <v>2.8</v>
      </c>
      <c r="M39" s="9" t="s">
        <v>406</v>
      </c>
      <c r="N39" s="10">
        <v>2.1</v>
      </c>
      <c r="O39" s="10">
        <v>4.2</v>
      </c>
      <c r="P39" s="10">
        <v>1.26</v>
      </c>
    </row>
    <row r="40" spans="1:16" x14ac:dyDescent="0.35">
      <c r="A40" s="26" t="s">
        <v>197</v>
      </c>
      <c r="B40" s="45">
        <f t="shared" si="10"/>
        <v>2.8</v>
      </c>
      <c r="C40" s="28">
        <f t="shared" si="11"/>
        <v>2.8</v>
      </c>
      <c r="E40" t="s">
        <v>164</v>
      </c>
      <c r="F40" s="7">
        <f t="shared" si="9"/>
        <v>1.26</v>
      </c>
      <c r="G40" s="7">
        <f t="shared" si="6"/>
        <v>1.26</v>
      </c>
      <c r="J40" t="s">
        <v>197</v>
      </c>
      <c r="K40" s="7">
        <f>N52</f>
        <v>2.8</v>
      </c>
      <c r="M40" s="9" t="s">
        <v>407</v>
      </c>
      <c r="N40" s="10">
        <v>3.3</v>
      </c>
      <c r="O40" s="10">
        <v>6.6</v>
      </c>
      <c r="P40" s="10">
        <v>1.26</v>
      </c>
    </row>
    <row r="41" spans="1:16" x14ac:dyDescent="0.35">
      <c r="A41" s="68" t="s">
        <v>198</v>
      </c>
      <c r="B41" s="152">
        <f t="shared" si="10"/>
        <v>0.5</v>
      </c>
      <c r="C41" s="153">
        <f t="shared" si="11"/>
        <v>0.5</v>
      </c>
      <c r="E41" s="26" t="s">
        <v>165</v>
      </c>
      <c r="F41" s="28">
        <f>P54</f>
        <v>1.68</v>
      </c>
      <c r="G41" s="28">
        <f t="shared" si="6"/>
        <v>1.68</v>
      </c>
      <c r="J41" t="s">
        <v>198</v>
      </c>
      <c r="K41" s="7">
        <v>0.5</v>
      </c>
      <c r="M41" s="9" t="s">
        <v>408</v>
      </c>
      <c r="N41" s="10">
        <v>2.9</v>
      </c>
      <c r="O41" s="10">
        <v>5.8</v>
      </c>
      <c r="P41" s="10">
        <v>1.26</v>
      </c>
    </row>
    <row r="42" spans="1:16" x14ac:dyDescent="0.35">
      <c r="A42" s="68" t="s">
        <v>199</v>
      </c>
      <c r="B42" s="152">
        <f t="shared" si="10"/>
        <v>0.5</v>
      </c>
      <c r="C42" s="153">
        <f t="shared" si="11"/>
        <v>0.5</v>
      </c>
      <c r="E42" t="s">
        <v>166</v>
      </c>
      <c r="F42" s="7">
        <f>F41</f>
        <v>1.68</v>
      </c>
      <c r="G42" s="7">
        <f t="shared" si="6"/>
        <v>1.68</v>
      </c>
      <c r="J42" t="s">
        <v>199</v>
      </c>
      <c r="K42" s="7">
        <v>0.5</v>
      </c>
      <c r="M42" s="9" t="s">
        <v>409</v>
      </c>
      <c r="N42" s="10">
        <v>2.95</v>
      </c>
      <c r="O42" s="10">
        <v>5.9</v>
      </c>
      <c r="P42" s="10">
        <v>1.26</v>
      </c>
    </row>
    <row r="43" spans="1:16" x14ac:dyDescent="0.35">
      <c r="A43" s="68" t="s">
        <v>200</v>
      </c>
      <c r="B43" s="152">
        <f t="shared" si="10"/>
        <v>0.5</v>
      </c>
      <c r="C43" s="153">
        <f t="shared" si="11"/>
        <v>0.5</v>
      </c>
      <c r="E43" t="s">
        <v>167</v>
      </c>
      <c r="F43" s="7">
        <f>F42</f>
        <v>1.68</v>
      </c>
      <c r="G43" s="7">
        <f t="shared" si="6"/>
        <v>1.68</v>
      </c>
      <c r="J43" t="s">
        <v>200</v>
      </c>
      <c r="K43" s="7">
        <v>0.5</v>
      </c>
      <c r="M43" s="9" t="s">
        <v>410</v>
      </c>
      <c r="N43" s="10">
        <v>4.2</v>
      </c>
      <c r="O43" s="10">
        <v>8.4</v>
      </c>
      <c r="P43" s="10">
        <v>1.26</v>
      </c>
    </row>
    <row r="44" spans="1:16" x14ac:dyDescent="0.35">
      <c r="A44" s="68" t="s">
        <v>201</v>
      </c>
      <c r="B44" s="152">
        <f t="shared" si="10"/>
        <v>0.5</v>
      </c>
      <c r="C44" s="153">
        <f t="shared" si="11"/>
        <v>0.5</v>
      </c>
      <c r="E44" t="s">
        <v>168</v>
      </c>
      <c r="F44" s="7">
        <f>P62</f>
        <v>1.26</v>
      </c>
      <c r="G44" s="7">
        <f t="shared" si="6"/>
        <v>1.26</v>
      </c>
      <c r="J44" t="s">
        <v>201</v>
      </c>
      <c r="K44" s="7">
        <v>0.5</v>
      </c>
      <c r="M44" s="9" t="s">
        <v>411</v>
      </c>
      <c r="N44" s="10">
        <v>3.75</v>
      </c>
      <c r="O44" s="10">
        <v>7.5</v>
      </c>
      <c r="P44" s="10">
        <v>1.26</v>
      </c>
    </row>
    <row r="45" spans="1:16" x14ac:dyDescent="0.35">
      <c r="A45" s="68" t="s">
        <v>549</v>
      </c>
      <c r="B45" s="152">
        <f t="shared" si="10"/>
        <v>0.5</v>
      </c>
      <c r="C45" s="153">
        <f t="shared" si="11"/>
        <v>0.5</v>
      </c>
      <c r="E45" t="s">
        <v>548</v>
      </c>
      <c r="F45" s="7">
        <f>F44</f>
        <v>1.26</v>
      </c>
      <c r="G45" s="7">
        <f t="shared" si="6"/>
        <v>1.26</v>
      </c>
      <c r="J45" t="s">
        <v>549</v>
      </c>
      <c r="K45" s="7">
        <v>0.5</v>
      </c>
      <c r="M45" s="9" t="s">
        <v>412</v>
      </c>
      <c r="N45" s="10">
        <v>2.8</v>
      </c>
      <c r="O45" s="10">
        <v>5.6</v>
      </c>
      <c r="P45" s="10">
        <v>1.26</v>
      </c>
    </row>
    <row r="46" spans="1:16" x14ac:dyDescent="0.35">
      <c r="A46" s="68" t="s">
        <v>202</v>
      </c>
      <c r="B46" s="152">
        <f t="shared" si="10"/>
        <v>0.5</v>
      </c>
      <c r="C46" s="153">
        <f t="shared" si="11"/>
        <v>0.5</v>
      </c>
      <c r="E46" t="s">
        <v>169</v>
      </c>
      <c r="F46" s="7">
        <f t="shared" ref="F46:F53" si="12">F45</f>
        <v>1.26</v>
      </c>
      <c r="G46" s="7">
        <f t="shared" si="6"/>
        <v>1.26</v>
      </c>
      <c r="J46" t="s">
        <v>202</v>
      </c>
      <c r="K46" s="7">
        <v>0.5</v>
      </c>
      <c r="M46" s="9" t="s">
        <v>413</v>
      </c>
      <c r="N46" s="10">
        <v>4.3</v>
      </c>
      <c r="O46" s="10">
        <v>8.6</v>
      </c>
      <c r="P46" s="10">
        <v>1.26</v>
      </c>
    </row>
    <row r="47" spans="1:16" x14ac:dyDescent="0.35">
      <c r="A47" s="68" t="s">
        <v>203</v>
      </c>
      <c r="B47" s="152">
        <f t="shared" si="10"/>
        <v>0.5</v>
      </c>
      <c r="C47" s="153">
        <f t="shared" si="11"/>
        <v>0.5</v>
      </c>
      <c r="E47" t="s">
        <v>170</v>
      </c>
      <c r="F47" s="7">
        <f t="shared" si="12"/>
        <v>1.26</v>
      </c>
      <c r="G47" s="7">
        <f t="shared" si="6"/>
        <v>1.26</v>
      </c>
      <c r="J47" t="s">
        <v>203</v>
      </c>
      <c r="K47" s="7">
        <v>0.5</v>
      </c>
      <c r="M47" s="9" t="s">
        <v>414</v>
      </c>
      <c r="N47" s="10">
        <v>4.4000000000000004</v>
      </c>
      <c r="O47" s="10">
        <v>8.8000000000000007</v>
      </c>
      <c r="P47" s="10">
        <v>1.26</v>
      </c>
    </row>
    <row r="48" spans="1:16" x14ac:dyDescent="0.35">
      <c r="A48" s="68" t="s">
        <v>204</v>
      </c>
      <c r="B48" s="152">
        <f t="shared" si="10"/>
        <v>0.5</v>
      </c>
      <c r="C48" s="153">
        <f t="shared" si="11"/>
        <v>0.5</v>
      </c>
      <c r="E48" t="s">
        <v>171</v>
      </c>
      <c r="F48" s="7">
        <f t="shared" si="12"/>
        <v>1.26</v>
      </c>
      <c r="G48" s="7">
        <f t="shared" si="6"/>
        <v>1.26</v>
      </c>
      <c r="J48" t="s">
        <v>204</v>
      </c>
      <c r="K48" s="7">
        <v>0.5</v>
      </c>
      <c r="M48" s="9" t="s">
        <v>415</v>
      </c>
      <c r="N48" s="10">
        <v>4.05</v>
      </c>
      <c r="O48" s="10">
        <v>8.1</v>
      </c>
      <c r="P48" s="10">
        <v>1.26</v>
      </c>
    </row>
    <row r="49" spans="1:16" x14ac:dyDescent="0.35">
      <c r="A49" s="68" t="s">
        <v>205</v>
      </c>
      <c r="B49" s="152">
        <f t="shared" si="10"/>
        <v>0.5</v>
      </c>
      <c r="C49" s="153">
        <f t="shared" si="11"/>
        <v>0.5</v>
      </c>
      <c r="E49" t="s">
        <v>172</v>
      </c>
      <c r="F49" s="7">
        <f t="shared" si="12"/>
        <v>1.26</v>
      </c>
      <c r="G49" s="7">
        <f t="shared" si="6"/>
        <v>1.26</v>
      </c>
      <c r="J49" t="s">
        <v>205</v>
      </c>
      <c r="K49" s="7">
        <v>0.5</v>
      </c>
      <c r="M49" s="9" t="s">
        <v>416</v>
      </c>
      <c r="N49" s="10">
        <v>3.75</v>
      </c>
      <c r="O49" s="10">
        <v>7.5</v>
      </c>
      <c r="P49" s="10">
        <v>1.26</v>
      </c>
    </row>
    <row r="50" spans="1:16" x14ac:dyDescent="0.35">
      <c r="A50" s="68" t="s">
        <v>206</v>
      </c>
      <c r="B50" s="152">
        <f t="shared" si="10"/>
        <v>0.5</v>
      </c>
      <c r="C50" s="153">
        <f t="shared" si="11"/>
        <v>0.5</v>
      </c>
      <c r="E50" t="s">
        <v>173</v>
      </c>
      <c r="F50" s="7">
        <f t="shared" si="12"/>
        <v>1.26</v>
      </c>
      <c r="G50" s="7">
        <f t="shared" si="6"/>
        <v>1.26</v>
      </c>
      <c r="J50" t="s">
        <v>206</v>
      </c>
      <c r="K50" s="7">
        <v>0.5</v>
      </c>
      <c r="M50" s="9" t="s">
        <v>417</v>
      </c>
      <c r="N50" s="10">
        <v>2.8</v>
      </c>
      <c r="O50" s="10">
        <v>5.6</v>
      </c>
      <c r="P50" s="10">
        <v>1.26</v>
      </c>
    </row>
    <row r="51" spans="1:16" x14ac:dyDescent="0.35">
      <c r="A51" s="68" t="s">
        <v>207</v>
      </c>
      <c r="B51" s="152">
        <f t="shared" si="10"/>
        <v>0.5</v>
      </c>
      <c r="C51" s="153">
        <f t="shared" si="11"/>
        <v>0.5</v>
      </c>
      <c r="E51" t="s">
        <v>174</v>
      </c>
      <c r="F51" s="7">
        <f t="shared" si="12"/>
        <v>1.26</v>
      </c>
      <c r="G51" s="7">
        <f t="shared" si="6"/>
        <v>1.26</v>
      </c>
      <c r="J51" t="s">
        <v>207</v>
      </c>
      <c r="K51" s="7">
        <v>0.5</v>
      </c>
      <c r="M51" s="9" t="s">
        <v>418</v>
      </c>
      <c r="N51" s="10">
        <v>2.8</v>
      </c>
      <c r="O51" s="10">
        <v>5.6</v>
      </c>
      <c r="P51" s="10">
        <v>1.26</v>
      </c>
    </row>
    <row r="52" spans="1:16" x14ac:dyDescent="0.35">
      <c r="A52" s="68" t="s">
        <v>208</v>
      </c>
      <c r="B52" s="152">
        <f t="shared" si="10"/>
        <v>0.5</v>
      </c>
      <c r="C52" s="153">
        <f t="shared" si="11"/>
        <v>0.5</v>
      </c>
      <c r="E52" t="s">
        <v>175</v>
      </c>
      <c r="F52" s="7">
        <f t="shared" si="12"/>
        <v>1.26</v>
      </c>
      <c r="G52" s="7">
        <f t="shared" si="6"/>
        <v>1.26</v>
      </c>
      <c r="J52" t="s">
        <v>208</v>
      </c>
      <c r="K52" s="7">
        <v>0.5</v>
      </c>
      <c r="M52" s="9" t="s">
        <v>419</v>
      </c>
      <c r="N52" s="10">
        <v>2.8</v>
      </c>
      <c r="O52" s="10">
        <v>5.6</v>
      </c>
      <c r="P52" s="10">
        <v>1.26</v>
      </c>
    </row>
    <row r="53" spans="1:16" x14ac:dyDescent="0.35">
      <c r="A53" s="68" t="s">
        <v>209</v>
      </c>
      <c r="B53" s="152">
        <f t="shared" si="10"/>
        <v>0.5</v>
      </c>
      <c r="C53" s="153">
        <f t="shared" si="11"/>
        <v>0.5</v>
      </c>
      <c r="E53" t="s">
        <v>176</v>
      </c>
      <c r="F53" s="7">
        <f t="shared" si="12"/>
        <v>1.26</v>
      </c>
      <c r="G53" s="7">
        <f t="shared" si="6"/>
        <v>1.26</v>
      </c>
      <c r="J53" t="s">
        <v>209</v>
      </c>
      <c r="K53" s="7">
        <v>0.5</v>
      </c>
      <c r="M53" s="9" t="s">
        <v>6</v>
      </c>
      <c r="N53" s="10">
        <v>1.9</v>
      </c>
      <c r="O53" s="10">
        <v>3.8</v>
      </c>
      <c r="P53" s="10">
        <v>1.68</v>
      </c>
    </row>
    <row r="54" spans="1:16" x14ac:dyDescent="0.35">
      <c r="M54" s="9" t="s">
        <v>420</v>
      </c>
      <c r="N54" s="10">
        <v>1.9</v>
      </c>
      <c r="O54" s="10">
        <v>3.8</v>
      </c>
      <c r="P54" s="10">
        <v>1.68</v>
      </c>
    </row>
    <row r="55" spans="1:16" x14ac:dyDescent="0.35">
      <c r="M55" s="9" t="s">
        <v>421</v>
      </c>
      <c r="N55" s="10">
        <v>1.9</v>
      </c>
      <c r="O55" s="10">
        <v>3.8</v>
      </c>
      <c r="P55" s="10">
        <v>1.68</v>
      </c>
    </row>
    <row r="56" spans="1:16" x14ac:dyDescent="0.35">
      <c r="M56" s="9" t="s">
        <v>422</v>
      </c>
      <c r="N56" s="10">
        <v>1.9</v>
      </c>
      <c r="O56" s="10">
        <v>3.8</v>
      </c>
      <c r="P56" s="10">
        <v>1.68</v>
      </c>
    </row>
    <row r="57" spans="1:16" x14ac:dyDescent="0.35">
      <c r="M57" s="9" t="s">
        <v>423</v>
      </c>
      <c r="N57" s="10">
        <v>1.9</v>
      </c>
      <c r="O57" s="10">
        <v>3.8</v>
      </c>
      <c r="P57" s="10">
        <v>1.68</v>
      </c>
    </row>
    <row r="58" spans="1:16" x14ac:dyDescent="0.35">
      <c r="M58" s="9" t="s">
        <v>424</v>
      </c>
      <c r="N58" s="10">
        <v>1.9</v>
      </c>
      <c r="O58" s="10">
        <v>3.8</v>
      </c>
      <c r="P58" s="10">
        <v>1.26</v>
      </c>
    </row>
    <row r="59" spans="1:16" x14ac:dyDescent="0.35">
      <c r="M59" s="9" t="s">
        <v>425</v>
      </c>
      <c r="N59" s="10">
        <v>1.9</v>
      </c>
      <c r="O59" s="10">
        <v>3.8</v>
      </c>
      <c r="P59" s="10">
        <v>1.26</v>
      </c>
    </row>
    <row r="60" spans="1:16" x14ac:dyDescent="0.35">
      <c r="M60" s="9" t="s">
        <v>426</v>
      </c>
      <c r="N60" s="10">
        <v>1.9</v>
      </c>
      <c r="O60" s="10">
        <v>3.8</v>
      </c>
      <c r="P60" s="10">
        <v>1.26</v>
      </c>
    </row>
    <row r="61" spans="1:16" x14ac:dyDescent="0.35">
      <c r="M61" s="9" t="s">
        <v>427</v>
      </c>
      <c r="N61" s="10">
        <v>1.9</v>
      </c>
      <c r="O61" s="10">
        <v>3.8</v>
      </c>
      <c r="P61" s="10">
        <v>1.26</v>
      </c>
    </row>
    <row r="62" spans="1:16" x14ac:dyDescent="0.35">
      <c r="M62" s="9" t="s">
        <v>428</v>
      </c>
      <c r="N62" s="10">
        <v>1.9</v>
      </c>
      <c r="O62" s="10">
        <v>3.8</v>
      </c>
      <c r="P62" s="10">
        <v>1.26</v>
      </c>
    </row>
    <row r="63" spans="1:16" x14ac:dyDescent="0.35">
      <c r="M63" s="9" t="s">
        <v>429</v>
      </c>
      <c r="N63" s="10">
        <v>1.9</v>
      </c>
      <c r="O63" s="10">
        <v>3.8</v>
      </c>
      <c r="P63" s="10">
        <v>1.26</v>
      </c>
    </row>
    <row r="64" spans="1:16" x14ac:dyDescent="0.35">
      <c r="M64" s="9" t="s">
        <v>430</v>
      </c>
      <c r="N64" s="10">
        <v>1.9</v>
      </c>
      <c r="O64" s="10">
        <v>3.8</v>
      </c>
      <c r="P64" s="10">
        <v>1.26</v>
      </c>
    </row>
    <row r="98" spans="6:7" x14ac:dyDescent="0.35">
      <c r="F98" s="7"/>
      <c r="G98" s="7"/>
    </row>
    <row r="99" spans="6:7" x14ac:dyDescent="0.35">
      <c r="F99" s="7"/>
      <c r="G99" s="7"/>
    </row>
    <row r="100" spans="6:7" x14ac:dyDescent="0.35">
      <c r="F100" s="7"/>
      <c r="G100" s="7"/>
    </row>
    <row r="101" spans="6:7" x14ac:dyDescent="0.35">
      <c r="F101" s="7"/>
      <c r="G101" s="7"/>
    </row>
    <row r="102" spans="6:7" x14ac:dyDescent="0.35">
      <c r="F102" s="7"/>
      <c r="G102" s="7"/>
    </row>
    <row r="103" spans="6:7" x14ac:dyDescent="0.35">
      <c r="F103" s="7"/>
      <c r="G103" s="7"/>
    </row>
    <row r="104" spans="6:7" x14ac:dyDescent="0.35">
      <c r="F104" s="7"/>
      <c r="G104" s="7"/>
    </row>
    <row r="105" spans="6:7" x14ac:dyDescent="0.35">
      <c r="F105" s="7"/>
      <c r="G105" s="7"/>
    </row>
    <row r="106" spans="6:7" x14ac:dyDescent="0.35">
      <c r="F106" s="7"/>
      <c r="G106" s="7"/>
    </row>
    <row r="107" spans="6:7" x14ac:dyDescent="0.35">
      <c r="F107" s="7"/>
      <c r="G107" s="7"/>
    </row>
    <row r="108" spans="6:7" x14ac:dyDescent="0.35">
      <c r="F108" s="7"/>
      <c r="G108" s="7"/>
    </row>
    <row r="109" spans="6:7" x14ac:dyDescent="0.35">
      <c r="F109" s="7"/>
      <c r="G109" s="7"/>
    </row>
    <row r="110" spans="6:7" x14ac:dyDescent="0.35">
      <c r="F110" s="7"/>
      <c r="G110" s="7"/>
    </row>
    <row r="111" spans="6:7" x14ac:dyDescent="0.35">
      <c r="F111" s="7"/>
      <c r="G111" s="7"/>
    </row>
    <row r="112" spans="6:7" x14ac:dyDescent="0.35">
      <c r="F112" s="7"/>
      <c r="G112" s="7"/>
    </row>
    <row r="113" spans="6:7" x14ac:dyDescent="0.35">
      <c r="F113" s="7"/>
      <c r="G113" s="7"/>
    </row>
    <row r="114" spans="6:7" x14ac:dyDescent="0.35">
      <c r="F114" s="7"/>
      <c r="G114" s="7"/>
    </row>
    <row r="115" spans="6:7" x14ac:dyDescent="0.35">
      <c r="F115" s="7"/>
      <c r="G115" s="7"/>
    </row>
    <row r="116" spans="6:7" x14ac:dyDescent="0.35">
      <c r="F116" s="7"/>
      <c r="G116" s="7"/>
    </row>
    <row r="117" spans="6:7" x14ac:dyDescent="0.35">
      <c r="F117" s="7"/>
      <c r="G117" s="7"/>
    </row>
    <row r="118" spans="6:7" x14ac:dyDescent="0.35">
      <c r="F118" s="7"/>
      <c r="G118" s="7"/>
    </row>
    <row r="119" spans="6:7" x14ac:dyDescent="0.35">
      <c r="F119" s="7"/>
      <c r="G119" s="7"/>
    </row>
    <row r="120" spans="6:7" x14ac:dyDescent="0.35">
      <c r="F120" s="7"/>
      <c r="G120" s="7"/>
    </row>
    <row r="121" spans="6:7" x14ac:dyDescent="0.35">
      <c r="F121" s="7"/>
      <c r="G121" s="7"/>
    </row>
    <row r="122" spans="6:7" x14ac:dyDescent="0.35">
      <c r="F122" s="7"/>
      <c r="G122" s="7"/>
    </row>
    <row r="123" spans="6:7" x14ac:dyDescent="0.35">
      <c r="F123" s="7"/>
      <c r="G123" s="7"/>
    </row>
    <row r="124" spans="6:7" x14ac:dyDescent="0.35">
      <c r="F124" s="7"/>
      <c r="G124" s="7"/>
    </row>
    <row r="125" spans="6:7" x14ac:dyDescent="0.35">
      <c r="F125" s="7"/>
      <c r="G125" s="7"/>
    </row>
    <row r="126" spans="6:7" x14ac:dyDescent="0.35">
      <c r="F126" s="7"/>
      <c r="G126" s="7"/>
    </row>
    <row r="127" spans="6:7" x14ac:dyDescent="0.35">
      <c r="F127" s="7"/>
      <c r="G127" s="7"/>
    </row>
    <row r="128" spans="6:7" x14ac:dyDescent="0.35">
      <c r="F128" s="7"/>
      <c r="G128" s="7"/>
    </row>
    <row r="129" spans="6:7" x14ac:dyDescent="0.35">
      <c r="F129" s="7"/>
      <c r="G129" s="7"/>
    </row>
    <row r="130" spans="6:7" x14ac:dyDescent="0.35">
      <c r="F130" s="7"/>
      <c r="G130" s="7"/>
    </row>
    <row r="131" spans="6:7" x14ac:dyDescent="0.35">
      <c r="F131" s="7"/>
      <c r="G131" s="7"/>
    </row>
    <row r="132" spans="6:7" x14ac:dyDescent="0.35">
      <c r="F132" s="7"/>
      <c r="G132" s="7"/>
    </row>
    <row r="133" spans="6:7" x14ac:dyDescent="0.35">
      <c r="F133" s="7"/>
      <c r="G133" s="7"/>
    </row>
    <row r="134" spans="6:7" x14ac:dyDescent="0.35">
      <c r="F134" s="7"/>
      <c r="G134" s="7"/>
    </row>
    <row r="135" spans="6:7" x14ac:dyDescent="0.35">
      <c r="F135" s="7"/>
      <c r="G135" s="7"/>
    </row>
    <row r="136" spans="6:7" x14ac:dyDescent="0.35">
      <c r="F136" s="7"/>
      <c r="G136" s="7"/>
    </row>
    <row r="137" spans="6:7" x14ac:dyDescent="0.35">
      <c r="F137" s="7"/>
      <c r="G137" s="7"/>
    </row>
    <row r="138" spans="6:7" x14ac:dyDescent="0.35">
      <c r="F138" s="7"/>
      <c r="G138" s="7"/>
    </row>
    <row r="139" spans="6:7" x14ac:dyDescent="0.35">
      <c r="F139" s="7"/>
      <c r="G139" s="7"/>
    </row>
    <row r="140" spans="6:7" x14ac:dyDescent="0.35">
      <c r="F140" s="7"/>
      <c r="G140" s="7"/>
    </row>
    <row r="141" spans="6:7" x14ac:dyDescent="0.35">
      <c r="F141" s="7"/>
      <c r="G141" s="7"/>
    </row>
    <row r="142" spans="6:7" x14ac:dyDescent="0.35">
      <c r="F142" s="7"/>
      <c r="G142" s="7"/>
    </row>
    <row r="143" spans="6:7" x14ac:dyDescent="0.35">
      <c r="F143" s="7"/>
      <c r="G143" s="7"/>
    </row>
    <row r="144" spans="6:7" x14ac:dyDescent="0.35">
      <c r="F144" s="7"/>
      <c r="G144" s="7"/>
    </row>
    <row r="145" spans="6:7" x14ac:dyDescent="0.35">
      <c r="F145" s="7"/>
      <c r="G145" s="7"/>
    </row>
    <row r="146" spans="6:7" x14ac:dyDescent="0.35">
      <c r="F146" s="7"/>
      <c r="G146" s="7"/>
    </row>
    <row r="147" spans="6:7" x14ac:dyDescent="0.35">
      <c r="F147" s="7"/>
      <c r="G147" s="7"/>
    </row>
    <row r="148" spans="6:7" x14ac:dyDescent="0.35">
      <c r="F148" s="7"/>
      <c r="G148" s="7"/>
    </row>
    <row r="149" spans="6:7" x14ac:dyDescent="0.35">
      <c r="F149" s="7"/>
      <c r="G149" s="7"/>
    </row>
    <row r="150" spans="6:7" x14ac:dyDescent="0.35">
      <c r="F150" s="7"/>
      <c r="G150" s="7"/>
    </row>
    <row r="151" spans="6:7" x14ac:dyDescent="0.35">
      <c r="F151" s="7"/>
      <c r="G151" s="7"/>
    </row>
    <row r="152" spans="6:7" x14ac:dyDescent="0.35">
      <c r="F152" s="7"/>
      <c r="G152" s="7"/>
    </row>
    <row r="153" spans="6:7" x14ac:dyDescent="0.35">
      <c r="F153" s="7"/>
      <c r="G153" s="7"/>
    </row>
    <row r="154" spans="6:7" x14ac:dyDescent="0.35">
      <c r="F154" s="7"/>
      <c r="G154" s="7"/>
    </row>
    <row r="155" spans="6:7" x14ac:dyDescent="0.35">
      <c r="F155" s="7"/>
      <c r="G155" s="7"/>
    </row>
    <row r="156" spans="6:7" x14ac:dyDescent="0.35">
      <c r="F156" s="7"/>
      <c r="G156" s="7"/>
    </row>
    <row r="157" spans="6:7" x14ac:dyDescent="0.35">
      <c r="F157" s="7"/>
      <c r="G157" s="7"/>
    </row>
    <row r="158" spans="6:7" x14ac:dyDescent="0.35">
      <c r="F158" s="7"/>
      <c r="G158" s="7"/>
    </row>
    <row r="159" spans="6:7" x14ac:dyDescent="0.35">
      <c r="F159" s="7"/>
      <c r="G159" s="7"/>
    </row>
    <row r="160" spans="6:7" x14ac:dyDescent="0.35">
      <c r="F160" s="7"/>
      <c r="G160" s="7"/>
    </row>
    <row r="161" spans="6:7" x14ac:dyDescent="0.35">
      <c r="F161" s="7"/>
      <c r="G161" s="7"/>
    </row>
    <row r="162" spans="6:7" x14ac:dyDescent="0.35">
      <c r="F162" s="7"/>
      <c r="G162" s="7"/>
    </row>
    <row r="163" spans="6:7" x14ac:dyDescent="0.35">
      <c r="F163" s="7"/>
      <c r="G163" s="7"/>
    </row>
    <row r="164" spans="6:7" x14ac:dyDescent="0.35">
      <c r="F164" s="7"/>
      <c r="G164" s="7"/>
    </row>
    <row r="165" spans="6:7" x14ac:dyDescent="0.35">
      <c r="F165" s="7"/>
      <c r="G165" s="7"/>
    </row>
    <row r="166" spans="6:7" x14ac:dyDescent="0.35">
      <c r="F166" s="7"/>
      <c r="G166" s="7"/>
    </row>
    <row r="167" spans="6:7" x14ac:dyDescent="0.35">
      <c r="F167" s="7"/>
      <c r="G167" s="7"/>
    </row>
    <row r="168" spans="6:7" x14ac:dyDescent="0.35">
      <c r="F168" s="7"/>
      <c r="G168" s="7"/>
    </row>
    <row r="169" spans="6:7" x14ac:dyDescent="0.35">
      <c r="F169" s="7"/>
      <c r="G169" s="7"/>
    </row>
    <row r="170" spans="6:7" x14ac:dyDescent="0.35">
      <c r="F170" s="7"/>
      <c r="G170" s="7"/>
    </row>
    <row r="171" spans="6:7" x14ac:dyDescent="0.35">
      <c r="F171" s="7"/>
      <c r="G171" s="7"/>
    </row>
    <row r="172" spans="6:7" x14ac:dyDescent="0.35">
      <c r="F172" s="7"/>
      <c r="G172" s="7"/>
    </row>
    <row r="173" spans="6:7" x14ac:dyDescent="0.35">
      <c r="F173" s="7"/>
      <c r="G173" s="7"/>
    </row>
    <row r="174" spans="6:7" x14ac:dyDescent="0.35">
      <c r="F174" s="7"/>
      <c r="G174" s="7"/>
    </row>
    <row r="175" spans="6:7" x14ac:dyDescent="0.35">
      <c r="F175" s="7"/>
      <c r="G175" s="7"/>
    </row>
    <row r="176" spans="6:7" x14ac:dyDescent="0.35">
      <c r="F176" s="7"/>
      <c r="G176" s="7"/>
    </row>
    <row r="177" spans="6:7" x14ac:dyDescent="0.35">
      <c r="F177" s="7"/>
      <c r="G177" s="7"/>
    </row>
    <row r="178" spans="6:7" x14ac:dyDescent="0.35">
      <c r="F178" s="7"/>
      <c r="G178" s="7"/>
    </row>
    <row r="179" spans="6:7" x14ac:dyDescent="0.35">
      <c r="F179" s="7"/>
      <c r="G179" s="7"/>
    </row>
    <row r="180" spans="6:7" x14ac:dyDescent="0.35">
      <c r="F180" s="7"/>
      <c r="G180" s="7"/>
    </row>
    <row r="181" spans="6:7" x14ac:dyDescent="0.35">
      <c r="F181" s="7"/>
      <c r="G181" s="7"/>
    </row>
    <row r="182" spans="6:7" x14ac:dyDescent="0.35">
      <c r="F182" s="7"/>
      <c r="G182" s="7"/>
    </row>
    <row r="183" spans="6:7" x14ac:dyDescent="0.35">
      <c r="F183" s="7"/>
      <c r="G183" s="7"/>
    </row>
    <row r="184" spans="6:7" x14ac:dyDescent="0.35">
      <c r="F184" s="7"/>
      <c r="G184" s="7"/>
    </row>
    <row r="185" spans="6:7" x14ac:dyDescent="0.35">
      <c r="F185" s="7"/>
      <c r="G185" s="7"/>
    </row>
    <row r="186" spans="6:7" x14ac:dyDescent="0.35">
      <c r="F186" s="7"/>
      <c r="G186" s="7"/>
    </row>
    <row r="187" spans="6:7" x14ac:dyDescent="0.35">
      <c r="F187" s="7"/>
      <c r="G187" s="7"/>
    </row>
    <row r="188" spans="6:7" x14ac:dyDescent="0.35">
      <c r="F188" s="7"/>
      <c r="G188" s="7"/>
    </row>
    <row r="189" spans="6:7" x14ac:dyDescent="0.35">
      <c r="F189" s="7"/>
      <c r="G189" s="7"/>
    </row>
    <row r="190" spans="6:7" x14ac:dyDescent="0.35">
      <c r="F190" s="7"/>
      <c r="G190" s="7"/>
    </row>
    <row r="191" spans="6:7" x14ac:dyDescent="0.35">
      <c r="F191" s="7"/>
      <c r="G191" s="7"/>
    </row>
    <row r="192" spans="6:7" x14ac:dyDescent="0.35">
      <c r="F192" s="7"/>
      <c r="G192" s="7"/>
    </row>
    <row r="193" spans="6:7" x14ac:dyDescent="0.35">
      <c r="F193" s="7"/>
      <c r="G193" s="7"/>
    </row>
    <row r="194" spans="6:7" x14ac:dyDescent="0.35">
      <c r="F194" s="7"/>
      <c r="G194" s="7"/>
    </row>
    <row r="195" spans="6:7" x14ac:dyDescent="0.35">
      <c r="F195" s="7"/>
      <c r="G195" s="7"/>
    </row>
    <row r="196" spans="6:7" x14ac:dyDescent="0.35">
      <c r="F196" s="7"/>
      <c r="G196" s="7"/>
    </row>
    <row r="197" spans="6:7" x14ac:dyDescent="0.35">
      <c r="F197" s="7"/>
      <c r="G197" s="7"/>
    </row>
    <row r="198" spans="6:7" x14ac:dyDescent="0.35">
      <c r="F198" s="7"/>
      <c r="G198" s="7"/>
    </row>
    <row r="199" spans="6:7" x14ac:dyDescent="0.35">
      <c r="F199" s="7"/>
      <c r="G199" s="7"/>
    </row>
    <row r="200" spans="6:7" x14ac:dyDescent="0.35">
      <c r="F200" s="7"/>
      <c r="G200" s="7"/>
    </row>
    <row r="201" spans="6:7" x14ac:dyDescent="0.35">
      <c r="F201" s="7"/>
      <c r="G201" s="7"/>
    </row>
    <row r="202" spans="6:7" x14ac:dyDescent="0.35">
      <c r="F202" s="7"/>
      <c r="G202" s="7"/>
    </row>
    <row r="203" spans="6:7" x14ac:dyDescent="0.35">
      <c r="F203" s="7"/>
      <c r="G203" s="7"/>
    </row>
    <row r="204" spans="6:7" x14ac:dyDescent="0.35">
      <c r="F204" s="7"/>
      <c r="G204" s="7"/>
    </row>
    <row r="205" spans="6:7" x14ac:dyDescent="0.35">
      <c r="F205" s="7"/>
      <c r="G205" s="7"/>
    </row>
    <row r="206" spans="6:7" x14ac:dyDescent="0.35">
      <c r="F206" s="7"/>
      <c r="G206" s="7"/>
    </row>
    <row r="207" spans="6:7" x14ac:dyDescent="0.35">
      <c r="F207" s="7"/>
      <c r="G207" s="7"/>
    </row>
    <row r="208" spans="6:7" x14ac:dyDescent="0.35">
      <c r="F208" s="7"/>
      <c r="G208" s="7"/>
    </row>
    <row r="209" spans="6:7" x14ac:dyDescent="0.35">
      <c r="F209" s="7"/>
      <c r="G209" s="7"/>
    </row>
    <row r="210" spans="6:7" x14ac:dyDescent="0.35">
      <c r="F210" s="7"/>
      <c r="G210" s="7"/>
    </row>
    <row r="211" spans="6:7" x14ac:dyDescent="0.35">
      <c r="F211" s="7"/>
      <c r="G211" s="7"/>
    </row>
    <row r="212" spans="6:7" x14ac:dyDescent="0.35">
      <c r="F212" s="7"/>
      <c r="G212" s="7"/>
    </row>
    <row r="213" spans="6:7" x14ac:dyDescent="0.35">
      <c r="F213" s="7"/>
      <c r="G213" s="7"/>
    </row>
    <row r="214" spans="6:7" x14ac:dyDescent="0.35">
      <c r="F214" s="7"/>
      <c r="G214" s="7"/>
    </row>
    <row r="215" spans="6:7" x14ac:dyDescent="0.35">
      <c r="F215" s="7"/>
      <c r="G215" s="7"/>
    </row>
    <row r="216" spans="6:7" x14ac:dyDescent="0.35">
      <c r="F216" s="7"/>
      <c r="G216" s="7"/>
    </row>
    <row r="217" spans="6:7" x14ac:dyDescent="0.35">
      <c r="F217" s="7"/>
      <c r="G217" s="7"/>
    </row>
    <row r="218" spans="6:7" x14ac:dyDescent="0.35">
      <c r="F218" s="7"/>
      <c r="G218" s="7"/>
    </row>
    <row r="219" spans="6:7" x14ac:dyDescent="0.35">
      <c r="F219" s="7"/>
      <c r="G219" s="7"/>
    </row>
    <row r="220" spans="6:7" x14ac:dyDescent="0.35">
      <c r="F220" s="7"/>
      <c r="G220" s="7"/>
    </row>
    <row r="221" spans="6:7" x14ac:dyDescent="0.35">
      <c r="F221" s="7"/>
      <c r="G221" s="7"/>
    </row>
    <row r="222" spans="6:7" x14ac:dyDescent="0.35">
      <c r="F222" s="7"/>
      <c r="G222" s="7"/>
    </row>
    <row r="223" spans="6:7" x14ac:dyDescent="0.35">
      <c r="F223" s="7"/>
      <c r="G223" s="7"/>
    </row>
    <row r="224" spans="6:7" x14ac:dyDescent="0.35">
      <c r="F224" s="7"/>
      <c r="G224" s="7"/>
    </row>
    <row r="225" spans="6:7" x14ac:dyDescent="0.35">
      <c r="F225" s="7"/>
      <c r="G225" s="7"/>
    </row>
    <row r="226" spans="6:7" x14ac:dyDescent="0.35">
      <c r="F226" s="7"/>
      <c r="G226" s="7"/>
    </row>
    <row r="227" spans="6:7" x14ac:dyDescent="0.35">
      <c r="F227" s="7"/>
      <c r="G227" s="7"/>
    </row>
    <row r="228" spans="6:7" x14ac:dyDescent="0.35">
      <c r="F228" s="7"/>
      <c r="G228" s="7"/>
    </row>
    <row r="229" spans="6:7" x14ac:dyDescent="0.35">
      <c r="F229" s="7"/>
      <c r="G229" s="7"/>
    </row>
    <row r="230" spans="6:7" x14ac:dyDescent="0.35">
      <c r="F230" s="7"/>
      <c r="G230" s="7"/>
    </row>
    <row r="231" spans="6:7" x14ac:dyDescent="0.35">
      <c r="F231" s="7"/>
      <c r="G231" s="7"/>
    </row>
    <row r="232" spans="6:7" x14ac:dyDescent="0.35">
      <c r="F232" s="7"/>
      <c r="G232" s="7"/>
    </row>
    <row r="233" spans="6:7" x14ac:dyDescent="0.35">
      <c r="F233" s="7"/>
      <c r="G233" s="7"/>
    </row>
    <row r="234" spans="6:7" x14ac:dyDescent="0.35">
      <c r="F234" s="7"/>
      <c r="G234" s="7"/>
    </row>
    <row r="235" spans="6:7" x14ac:dyDescent="0.35">
      <c r="F235" s="7"/>
      <c r="G235" s="7"/>
    </row>
    <row r="236" spans="6:7" x14ac:dyDescent="0.35">
      <c r="F236" s="7"/>
      <c r="G236" s="7"/>
    </row>
    <row r="237" spans="6:7" x14ac:dyDescent="0.35">
      <c r="F237" s="7"/>
      <c r="G237" s="7"/>
    </row>
    <row r="238" spans="6:7" x14ac:dyDescent="0.35">
      <c r="F238" s="7"/>
      <c r="G238" s="7"/>
    </row>
    <row r="239" spans="6:7" x14ac:dyDescent="0.35">
      <c r="F239" s="7"/>
      <c r="G239" s="7"/>
    </row>
    <row r="240" spans="6:7" x14ac:dyDescent="0.35">
      <c r="F240" s="7"/>
      <c r="G240" s="7"/>
    </row>
    <row r="241" spans="6:7" x14ac:dyDescent="0.35">
      <c r="F241" s="7"/>
      <c r="G241" s="7"/>
    </row>
    <row r="242" spans="6:7" x14ac:dyDescent="0.35">
      <c r="F242" s="7"/>
      <c r="G242" s="7"/>
    </row>
    <row r="243" spans="6:7" x14ac:dyDescent="0.35">
      <c r="F243" s="7"/>
      <c r="G243" s="7"/>
    </row>
    <row r="244" spans="6:7" x14ac:dyDescent="0.35">
      <c r="F244" s="7"/>
      <c r="G244" s="7"/>
    </row>
    <row r="245" spans="6:7" x14ac:dyDescent="0.35">
      <c r="F245" s="7"/>
      <c r="G245" s="7"/>
    </row>
    <row r="246" spans="6:7" x14ac:dyDescent="0.35">
      <c r="F246" s="7"/>
      <c r="G246" s="7"/>
    </row>
    <row r="247" spans="6:7" x14ac:dyDescent="0.35">
      <c r="F247" s="7"/>
      <c r="G247" s="7"/>
    </row>
    <row r="248" spans="6:7" x14ac:dyDescent="0.35">
      <c r="F248" s="7"/>
      <c r="G248" s="7"/>
    </row>
    <row r="249" spans="6:7" x14ac:dyDescent="0.35">
      <c r="F249" s="7"/>
      <c r="G249" s="7"/>
    </row>
    <row r="250" spans="6:7" x14ac:dyDescent="0.35">
      <c r="F250" s="7"/>
      <c r="G250" s="7"/>
    </row>
    <row r="251" spans="6:7" x14ac:dyDescent="0.35">
      <c r="F251" s="7"/>
      <c r="G251" s="7"/>
    </row>
    <row r="252" spans="6:7" x14ac:dyDescent="0.35">
      <c r="F252" s="7"/>
      <c r="G252" s="7"/>
    </row>
    <row r="253" spans="6:7" x14ac:dyDescent="0.35">
      <c r="F253" s="7"/>
      <c r="G253" s="7"/>
    </row>
    <row r="254" spans="6:7" x14ac:dyDescent="0.35">
      <c r="F254" s="7"/>
      <c r="G254" s="7"/>
    </row>
    <row r="255" spans="6:7" x14ac:dyDescent="0.35">
      <c r="F255" s="7"/>
      <c r="G255" s="7"/>
    </row>
    <row r="256" spans="6:7" x14ac:dyDescent="0.35">
      <c r="F256" s="7"/>
      <c r="G256" s="7"/>
    </row>
    <row r="257" spans="6:7" x14ac:dyDescent="0.35">
      <c r="F257" s="7"/>
      <c r="G257" s="7"/>
    </row>
    <row r="258" spans="6:7" x14ac:dyDescent="0.35">
      <c r="F258" s="7"/>
      <c r="G258" s="7"/>
    </row>
    <row r="259" spans="6:7" x14ac:dyDescent="0.35">
      <c r="F259" s="7"/>
      <c r="G259" s="7"/>
    </row>
    <row r="260" spans="6:7" x14ac:dyDescent="0.35">
      <c r="F260" s="7"/>
      <c r="G260" s="7"/>
    </row>
    <row r="261" spans="6:7" x14ac:dyDescent="0.35">
      <c r="F261" s="7"/>
      <c r="G261" s="7"/>
    </row>
    <row r="262" spans="6:7" x14ac:dyDescent="0.35">
      <c r="F262" s="7"/>
      <c r="G262" s="7"/>
    </row>
    <row r="263" spans="6:7" x14ac:dyDescent="0.35">
      <c r="F263" s="7"/>
      <c r="G263" s="7"/>
    </row>
    <row r="264" spans="6:7" x14ac:dyDescent="0.35">
      <c r="F264" s="7"/>
      <c r="G264" s="7"/>
    </row>
    <row r="265" spans="6:7" x14ac:dyDescent="0.35">
      <c r="F265" s="7"/>
      <c r="G265" s="7"/>
    </row>
    <row r="266" spans="6:7" x14ac:dyDescent="0.35">
      <c r="F266" s="7"/>
      <c r="G266" s="7"/>
    </row>
    <row r="267" spans="6:7" x14ac:dyDescent="0.35">
      <c r="F267" s="7"/>
      <c r="G267" s="7"/>
    </row>
    <row r="268" spans="6:7" x14ac:dyDescent="0.35">
      <c r="F268" s="7"/>
      <c r="G268" s="7"/>
    </row>
    <row r="269" spans="6:7" x14ac:dyDescent="0.35">
      <c r="F269" s="7"/>
      <c r="G269" s="7"/>
    </row>
    <row r="270" spans="6:7" x14ac:dyDescent="0.35">
      <c r="F270" s="7"/>
      <c r="G270" s="7"/>
    </row>
    <row r="271" spans="6:7" x14ac:dyDescent="0.35">
      <c r="F271" s="7"/>
      <c r="G271" s="7"/>
    </row>
    <row r="272" spans="6:7" x14ac:dyDescent="0.35">
      <c r="F272" s="7"/>
      <c r="G272" s="7"/>
    </row>
    <row r="273" spans="6:7" x14ac:dyDescent="0.35">
      <c r="F273" s="7"/>
      <c r="G273" s="7"/>
    </row>
    <row r="274" spans="6:7" x14ac:dyDescent="0.35">
      <c r="F274" s="7"/>
      <c r="G274" s="7"/>
    </row>
    <row r="275" spans="6:7" x14ac:dyDescent="0.35">
      <c r="F275" s="7"/>
      <c r="G275" s="7"/>
    </row>
    <row r="276" spans="6:7" x14ac:dyDescent="0.35">
      <c r="F276" s="7"/>
      <c r="G276" s="7"/>
    </row>
    <row r="277" spans="6:7" x14ac:dyDescent="0.35">
      <c r="F277" s="7"/>
      <c r="G277" s="7"/>
    </row>
    <row r="278" spans="6:7" x14ac:dyDescent="0.35">
      <c r="F278" s="7"/>
      <c r="G278" s="7"/>
    </row>
    <row r="279" spans="6:7" x14ac:dyDescent="0.35">
      <c r="F279" s="7"/>
      <c r="G279" s="7"/>
    </row>
    <row r="280" spans="6:7" x14ac:dyDescent="0.35">
      <c r="F280" s="7"/>
      <c r="G280" s="7"/>
    </row>
    <row r="281" spans="6:7" x14ac:dyDescent="0.35">
      <c r="F281" s="7"/>
      <c r="G281" s="7"/>
    </row>
    <row r="282" spans="6:7" x14ac:dyDescent="0.35">
      <c r="F282" s="7"/>
      <c r="G282" s="7"/>
    </row>
    <row r="283" spans="6:7" x14ac:dyDescent="0.35">
      <c r="F283" s="7"/>
      <c r="G283" s="7"/>
    </row>
    <row r="284" spans="6:7" x14ac:dyDescent="0.35">
      <c r="F284" s="7"/>
      <c r="G284" s="7"/>
    </row>
    <row r="285" spans="6:7" x14ac:dyDescent="0.35">
      <c r="F285" s="7"/>
      <c r="G285" s="7"/>
    </row>
    <row r="286" spans="6:7" x14ac:dyDescent="0.35">
      <c r="F286" s="7"/>
      <c r="G286" s="7"/>
    </row>
    <row r="287" spans="6:7" x14ac:dyDescent="0.35">
      <c r="F287" s="7"/>
      <c r="G287" s="7"/>
    </row>
    <row r="288" spans="6:7" x14ac:dyDescent="0.35">
      <c r="F288" s="7"/>
      <c r="G288" s="7"/>
    </row>
    <row r="289" spans="6:7" x14ac:dyDescent="0.35">
      <c r="F289" s="7"/>
      <c r="G289" s="7"/>
    </row>
    <row r="290" spans="6:7" x14ac:dyDescent="0.35">
      <c r="F290" s="7"/>
      <c r="G290" s="7"/>
    </row>
    <row r="291" spans="6:7" x14ac:dyDescent="0.35">
      <c r="F291" s="7"/>
      <c r="G291" s="7"/>
    </row>
    <row r="292" spans="6:7" x14ac:dyDescent="0.35">
      <c r="F292" s="7"/>
      <c r="G292" s="7"/>
    </row>
    <row r="293" spans="6:7" x14ac:dyDescent="0.35">
      <c r="F293" s="7"/>
      <c r="G293" s="7"/>
    </row>
    <row r="294" spans="6:7" x14ac:dyDescent="0.35">
      <c r="F294" s="7"/>
      <c r="G294" s="7"/>
    </row>
    <row r="295" spans="6:7" x14ac:dyDescent="0.35">
      <c r="F295" s="7"/>
      <c r="G295" s="7"/>
    </row>
    <row r="296" spans="6:7" x14ac:dyDescent="0.35">
      <c r="F296" s="7"/>
      <c r="G296" s="7"/>
    </row>
    <row r="297" spans="6:7" x14ac:dyDescent="0.35">
      <c r="F297" s="7"/>
      <c r="G297" s="7"/>
    </row>
    <row r="298" spans="6:7" x14ac:dyDescent="0.35">
      <c r="F298" s="7"/>
      <c r="G298" s="7"/>
    </row>
    <row r="299" spans="6:7" x14ac:dyDescent="0.35">
      <c r="F299" s="7"/>
      <c r="G299" s="7"/>
    </row>
    <row r="300" spans="6:7" x14ac:dyDescent="0.35">
      <c r="F300" s="7"/>
      <c r="G300" s="7"/>
    </row>
    <row r="301" spans="6:7" x14ac:dyDescent="0.35">
      <c r="F301" s="7"/>
      <c r="G301" s="7"/>
    </row>
    <row r="302" spans="6:7" x14ac:dyDescent="0.35">
      <c r="F302" s="7"/>
      <c r="G302" s="7"/>
    </row>
    <row r="303" spans="6:7" x14ac:dyDescent="0.35">
      <c r="F303" s="7"/>
      <c r="G303" s="7"/>
    </row>
    <row r="304" spans="6:7" x14ac:dyDescent="0.35">
      <c r="F304" s="7"/>
      <c r="G304" s="7"/>
    </row>
    <row r="305" spans="6:7" x14ac:dyDescent="0.35">
      <c r="F305" s="7"/>
      <c r="G305" s="7"/>
    </row>
    <row r="306" spans="6:7" x14ac:dyDescent="0.35">
      <c r="F306" s="7"/>
      <c r="G306" s="7"/>
    </row>
    <row r="307" spans="6:7" x14ac:dyDescent="0.35">
      <c r="F307" s="7"/>
      <c r="G307" s="7"/>
    </row>
    <row r="308" spans="6:7" x14ac:dyDescent="0.35">
      <c r="F308" s="7"/>
      <c r="G308" s="7"/>
    </row>
    <row r="309" spans="6:7" x14ac:dyDescent="0.35">
      <c r="F309" s="7"/>
      <c r="G309" s="7"/>
    </row>
    <row r="310" spans="6:7" x14ac:dyDescent="0.35">
      <c r="F310" s="7"/>
      <c r="G310" s="7"/>
    </row>
    <row r="311" spans="6:7" x14ac:dyDescent="0.35">
      <c r="F311" s="7"/>
      <c r="G311" s="7"/>
    </row>
    <row r="312" spans="6:7" x14ac:dyDescent="0.35">
      <c r="F312" s="7"/>
      <c r="G312" s="7"/>
    </row>
    <row r="313" spans="6:7" x14ac:dyDescent="0.35">
      <c r="F313" s="7"/>
      <c r="G313" s="7"/>
    </row>
    <row r="314" spans="6:7" x14ac:dyDescent="0.35">
      <c r="F314" s="7"/>
      <c r="G314" s="7"/>
    </row>
    <row r="315" spans="6:7" x14ac:dyDescent="0.35">
      <c r="F315" s="7"/>
      <c r="G315" s="7"/>
    </row>
    <row r="316" spans="6:7" x14ac:dyDescent="0.35">
      <c r="F316" s="7"/>
      <c r="G316" s="7"/>
    </row>
    <row r="317" spans="6:7" x14ac:dyDescent="0.35">
      <c r="F317" s="7"/>
      <c r="G317" s="7"/>
    </row>
    <row r="318" spans="6:7" x14ac:dyDescent="0.35">
      <c r="F318" s="7"/>
      <c r="G318" s="7"/>
    </row>
    <row r="319" spans="6:7" x14ac:dyDescent="0.35">
      <c r="F319" s="7"/>
      <c r="G319" s="7"/>
    </row>
    <row r="320" spans="6:7" x14ac:dyDescent="0.35">
      <c r="F320" s="7"/>
      <c r="G320" s="7"/>
    </row>
    <row r="321" spans="6:7" x14ac:dyDescent="0.35">
      <c r="F321" s="7"/>
      <c r="G321" s="7"/>
    </row>
    <row r="322" spans="6:7" x14ac:dyDescent="0.35">
      <c r="F322" s="7"/>
      <c r="G322" s="7"/>
    </row>
    <row r="323" spans="6:7" x14ac:dyDescent="0.35">
      <c r="F323" s="7"/>
      <c r="G323" s="7"/>
    </row>
    <row r="324" spans="6:7" x14ac:dyDescent="0.35">
      <c r="F324" s="7"/>
      <c r="G324" s="7"/>
    </row>
    <row r="325" spans="6:7" x14ac:dyDescent="0.35">
      <c r="F325" s="7"/>
      <c r="G325" s="7"/>
    </row>
    <row r="326" spans="6:7" x14ac:dyDescent="0.35">
      <c r="F326" s="7"/>
      <c r="G326" s="7"/>
    </row>
    <row r="327" spans="6:7" x14ac:dyDescent="0.35">
      <c r="F327" s="7"/>
      <c r="G327" s="7"/>
    </row>
    <row r="328" spans="6:7" x14ac:dyDescent="0.35">
      <c r="F328" s="7"/>
      <c r="G328" s="7"/>
    </row>
    <row r="329" spans="6:7" x14ac:dyDescent="0.35">
      <c r="F329" s="7"/>
      <c r="G329" s="7"/>
    </row>
    <row r="330" spans="6:7" x14ac:dyDescent="0.35">
      <c r="F330" s="7"/>
      <c r="G330" s="7"/>
    </row>
    <row r="331" spans="6:7" x14ac:dyDescent="0.35">
      <c r="F331" s="7"/>
      <c r="G331" s="7"/>
    </row>
    <row r="332" spans="6:7" x14ac:dyDescent="0.35">
      <c r="F332" s="7"/>
      <c r="G332" s="7"/>
    </row>
    <row r="333" spans="6:7" x14ac:dyDescent="0.35">
      <c r="F333" s="7"/>
      <c r="G333" s="7"/>
    </row>
    <row r="334" spans="6:7" x14ac:dyDescent="0.35">
      <c r="F334" s="7"/>
      <c r="G334" s="7"/>
    </row>
    <row r="335" spans="6:7" x14ac:dyDescent="0.35">
      <c r="F335" s="7"/>
      <c r="G335" s="7"/>
    </row>
    <row r="336" spans="6:7" x14ac:dyDescent="0.35">
      <c r="F336" s="7"/>
      <c r="G336" s="7"/>
    </row>
    <row r="337" spans="6:7" x14ac:dyDescent="0.35">
      <c r="F337" s="7"/>
      <c r="G337" s="7"/>
    </row>
    <row r="338" spans="6:7" x14ac:dyDescent="0.35">
      <c r="F338" s="7"/>
      <c r="G338" s="7"/>
    </row>
    <row r="339" spans="6:7" x14ac:dyDescent="0.35">
      <c r="F339" s="7"/>
      <c r="G339" s="7"/>
    </row>
    <row r="340" spans="6:7" x14ac:dyDescent="0.35">
      <c r="F340" s="7"/>
      <c r="G340" s="7"/>
    </row>
    <row r="341" spans="6:7" x14ac:dyDescent="0.35">
      <c r="F341" s="7"/>
      <c r="G341" s="7"/>
    </row>
    <row r="342" spans="6:7" x14ac:dyDescent="0.35">
      <c r="F342" s="7"/>
      <c r="G342" s="7"/>
    </row>
    <row r="343" spans="6:7" x14ac:dyDescent="0.35">
      <c r="F343" s="7"/>
      <c r="G343" s="7"/>
    </row>
    <row r="344" spans="6:7" x14ac:dyDescent="0.35">
      <c r="F344" s="7"/>
      <c r="G344" s="7"/>
    </row>
    <row r="345" spans="6:7" x14ac:dyDescent="0.35">
      <c r="F345" s="7"/>
      <c r="G345" s="7"/>
    </row>
    <row r="346" spans="6:7" x14ac:dyDescent="0.35">
      <c r="F346" s="7"/>
      <c r="G346" s="7"/>
    </row>
    <row r="347" spans="6:7" x14ac:dyDescent="0.35">
      <c r="F347" s="7"/>
      <c r="G347" s="7"/>
    </row>
    <row r="348" spans="6:7" x14ac:dyDescent="0.35">
      <c r="F348" s="7"/>
      <c r="G348" s="7"/>
    </row>
    <row r="349" spans="6:7" x14ac:dyDescent="0.35">
      <c r="F349" s="7"/>
      <c r="G349" s="7"/>
    </row>
    <row r="350" spans="6:7" x14ac:dyDescent="0.35">
      <c r="F350" s="7"/>
      <c r="G350" s="7"/>
    </row>
    <row r="351" spans="6:7" x14ac:dyDescent="0.35">
      <c r="F351" s="7"/>
      <c r="G351" s="7"/>
    </row>
    <row r="352" spans="6:7" x14ac:dyDescent="0.35">
      <c r="F352" s="7"/>
      <c r="G352" s="7"/>
    </row>
    <row r="353" spans="6:7" x14ac:dyDescent="0.35">
      <c r="F353" s="7"/>
      <c r="G353" s="7"/>
    </row>
    <row r="354" spans="6:7" x14ac:dyDescent="0.35">
      <c r="F354" s="7"/>
      <c r="G354" s="7"/>
    </row>
    <row r="355" spans="6:7" x14ac:dyDescent="0.35">
      <c r="F355" s="7"/>
      <c r="G355" s="7"/>
    </row>
    <row r="356" spans="6:7" x14ac:dyDescent="0.35">
      <c r="F356" s="7"/>
      <c r="G356" s="7"/>
    </row>
    <row r="357" spans="6:7" x14ac:dyDescent="0.35">
      <c r="F357" s="7"/>
      <c r="G357" s="7"/>
    </row>
    <row r="358" spans="6:7" x14ac:dyDescent="0.35">
      <c r="F358" s="7"/>
      <c r="G358" s="7"/>
    </row>
    <row r="359" spans="6:7" x14ac:dyDescent="0.35">
      <c r="F359" s="7"/>
      <c r="G359" s="7"/>
    </row>
    <row r="360" spans="6:7" x14ac:dyDescent="0.35">
      <c r="F360" s="7"/>
      <c r="G360" s="7"/>
    </row>
    <row r="361" spans="6:7" x14ac:dyDescent="0.35">
      <c r="F361" s="7"/>
      <c r="G361" s="7"/>
    </row>
    <row r="362" spans="6:7" x14ac:dyDescent="0.35">
      <c r="F362" s="7"/>
      <c r="G362" s="7"/>
    </row>
    <row r="363" spans="6:7" x14ac:dyDescent="0.35">
      <c r="F363" s="7"/>
      <c r="G363" s="7"/>
    </row>
    <row r="364" spans="6:7" x14ac:dyDescent="0.35">
      <c r="F364" s="7"/>
      <c r="G364" s="7"/>
    </row>
    <row r="365" spans="6:7" x14ac:dyDescent="0.35">
      <c r="F365" s="7"/>
      <c r="G365" s="7"/>
    </row>
    <row r="366" spans="6:7" x14ac:dyDescent="0.35">
      <c r="F366" s="7"/>
      <c r="G366" s="7"/>
    </row>
    <row r="367" spans="6:7" x14ac:dyDescent="0.35">
      <c r="F367" s="7"/>
      <c r="G367" s="7"/>
    </row>
    <row r="368" spans="6:7" x14ac:dyDescent="0.35">
      <c r="F368" s="7"/>
      <c r="G368" s="7"/>
    </row>
    <row r="369" spans="6:7" x14ac:dyDescent="0.35">
      <c r="F369" s="7"/>
      <c r="G369" s="7"/>
    </row>
    <row r="370" spans="6:7" x14ac:dyDescent="0.35">
      <c r="F370" s="7"/>
      <c r="G370" s="7"/>
    </row>
    <row r="371" spans="6:7" x14ac:dyDescent="0.35">
      <c r="F371" s="7"/>
      <c r="G371" s="7"/>
    </row>
    <row r="372" spans="6:7" x14ac:dyDescent="0.35">
      <c r="F372" s="7"/>
      <c r="G372" s="7"/>
    </row>
    <row r="373" spans="6:7" x14ac:dyDescent="0.35">
      <c r="F373" s="7"/>
      <c r="G373" s="7"/>
    </row>
    <row r="374" spans="6:7" x14ac:dyDescent="0.35">
      <c r="F374" s="7"/>
      <c r="G374" s="7"/>
    </row>
    <row r="375" spans="6:7" x14ac:dyDescent="0.35">
      <c r="F375" s="7"/>
      <c r="G375" s="7"/>
    </row>
    <row r="376" spans="6:7" x14ac:dyDescent="0.35">
      <c r="F376" s="7"/>
      <c r="G376" s="7"/>
    </row>
    <row r="377" spans="6:7" x14ac:dyDescent="0.35">
      <c r="F377" s="7"/>
      <c r="G377" s="7"/>
    </row>
    <row r="378" spans="6:7" x14ac:dyDescent="0.35">
      <c r="F378" s="7"/>
      <c r="G378" s="7"/>
    </row>
    <row r="379" spans="6:7" x14ac:dyDescent="0.35">
      <c r="F379" s="7"/>
      <c r="G379" s="7"/>
    </row>
    <row r="380" spans="6:7" x14ac:dyDescent="0.35">
      <c r="F380" s="7"/>
      <c r="G380" s="7"/>
    </row>
    <row r="381" spans="6:7" x14ac:dyDescent="0.35">
      <c r="F381" s="7"/>
      <c r="G381" s="7"/>
    </row>
    <row r="382" spans="6:7" x14ac:dyDescent="0.35">
      <c r="F382" s="7"/>
      <c r="G382" s="7"/>
    </row>
    <row r="383" spans="6:7" x14ac:dyDescent="0.35">
      <c r="F383" s="7"/>
      <c r="G383" s="7"/>
    </row>
    <row r="384" spans="6:7" x14ac:dyDescent="0.35">
      <c r="F384" s="7"/>
      <c r="G384" s="7"/>
    </row>
    <row r="385" spans="6:7" x14ac:dyDescent="0.35">
      <c r="F385" s="7"/>
      <c r="G385" s="7"/>
    </row>
    <row r="386" spans="6:7" x14ac:dyDescent="0.35">
      <c r="F386" s="7"/>
      <c r="G386" s="7"/>
    </row>
    <row r="387" spans="6:7" x14ac:dyDescent="0.35">
      <c r="F387" s="7"/>
      <c r="G387" s="7"/>
    </row>
    <row r="388" spans="6:7" x14ac:dyDescent="0.35">
      <c r="F388" s="7"/>
      <c r="G388" s="7"/>
    </row>
    <row r="389" spans="6:7" x14ac:dyDescent="0.35">
      <c r="F389" s="7"/>
      <c r="G389" s="7"/>
    </row>
    <row r="390" spans="6:7" x14ac:dyDescent="0.35">
      <c r="F390" s="7"/>
      <c r="G390" s="7"/>
    </row>
    <row r="391" spans="6:7" x14ac:dyDescent="0.35">
      <c r="F391" s="7"/>
      <c r="G391" s="7"/>
    </row>
    <row r="392" spans="6:7" x14ac:dyDescent="0.35">
      <c r="F392" s="7"/>
      <c r="G392" s="7"/>
    </row>
    <row r="393" spans="6:7" x14ac:dyDescent="0.35">
      <c r="F393" s="7"/>
      <c r="G393" s="7"/>
    </row>
    <row r="394" spans="6:7" x14ac:dyDescent="0.35">
      <c r="F394" s="7"/>
      <c r="G394" s="7"/>
    </row>
    <row r="395" spans="6:7" x14ac:dyDescent="0.35">
      <c r="F395" s="7"/>
      <c r="G395" s="7"/>
    </row>
    <row r="396" spans="6:7" x14ac:dyDescent="0.35">
      <c r="F396" s="7"/>
      <c r="G396" s="7"/>
    </row>
    <row r="397" spans="6:7" x14ac:dyDescent="0.35">
      <c r="F397" s="7"/>
      <c r="G397" s="7"/>
    </row>
    <row r="398" spans="6:7" x14ac:dyDescent="0.35">
      <c r="F398" s="7"/>
      <c r="G398" s="7"/>
    </row>
    <row r="399" spans="6:7" x14ac:dyDescent="0.35">
      <c r="F399" s="7"/>
      <c r="G399" s="7"/>
    </row>
    <row r="400" spans="6:7" x14ac:dyDescent="0.35">
      <c r="F400" s="7"/>
      <c r="G400" s="7"/>
    </row>
    <row r="401" spans="6:7" x14ac:dyDescent="0.35">
      <c r="F401" s="7"/>
      <c r="G401" s="7"/>
    </row>
    <row r="402" spans="6:7" x14ac:dyDescent="0.35">
      <c r="F402" s="7"/>
      <c r="G402" s="7"/>
    </row>
    <row r="403" spans="6:7" x14ac:dyDescent="0.35">
      <c r="F403" s="7"/>
      <c r="G403" s="7"/>
    </row>
    <row r="404" spans="6:7" x14ac:dyDescent="0.35">
      <c r="F404" s="7"/>
      <c r="G404" s="7"/>
    </row>
    <row r="405" spans="6:7" x14ac:dyDescent="0.35">
      <c r="F405" s="7"/>
      <c r="G405" s="7"/>
    </row>
    <row r="406" spans="6:7" x14ac:dyDescent="0.35">
      <c r="F406" s="7"/>
      <c r="G406" s="7"/>
    </row>
    <row r="407" spans="6:7" x14ac:dyDescent="0.35">
      <c r="F407" s="7"/>
      <c r="G407" s="7"/>
    </row>
    <row r="408" spans="6:7" x14ac:dyDescent="0.35">
      <c r="F408" s="7"/>
      <c r="G408" s="7"/>
    </row>
    <row r="409" spans="6:7" x14ac:dyDescent="0.35">
      <c r="F409" s="7"/>
      <c r="G409" s="7"/>
    </row>
    <row r="410" spans="6:7" x14ac:dyDescent="0.35">
      <c r="F410" s="7"/>
      <c r="G410" s="7"/>
    </row>
    <row r="411" spans="6:7" x14ac:dyDescent="0.35">
      <c r="F411" s="7"/>
      <c r="G411" s="7"/>
    </row>
    <row r="412" spans="6:7" x14ac:dyDescent="0.35">
      <c r="F412" s="7"/>
      <c r="G412" s="7"/>
    </row>
    <row r="413" spans="6:7" x14ac:dyDescent="0.35">
      <c r="F413" s="7"/>
      <c r="G413" s="7"/>
    </row>
    <row r="414" spans="6:7" x14ac:dyDescent="0.35">
      <c r="F414" s="7"/>
      <c r="G414" s="7"/>
    </row>
    <row r="415" spans="6:7" x14ac:dyDescent="0.35">
      <c r="F415" s="7"/>
      <c r="G415" s="7"/>
    </row>
    <row r="416" spans="6:7" x14ac:dyDescent="0.35">
      <c r="F416" s="7"/>
      <c r="G416" s="7"/>
    </row>
    <row r="417" spans="6:7" x14ac:dyDescent="0.35">
      <c r="F417" s="7"/>
      <c r="G417" s="7"/>
    </row>
    <row r="418" spans="6:7" x14ac:dyDescent="0.35">
      <c r="F418" s="7"/>
      <c r="G418" s="7"/>
    </row>
    <row r="419" spans="6:7" x14ac:dyDescent="0.35">
      <c r="F419" s="7"/>
      <c r="G419" s="7"/>
    </row>
    <row r="420" spans="6:7" x14ac:dyDescent="0.35">
      <c r="F420" s="7"/>
      <c r="G420" s="7"/>
    </row>
    <row r="421" spans="6:7" x14ac:dyDescent="0.35">
      <c r="F421" s="7"/>
      <c r="G421" s="7"/>
    </row>
    <row r="422" spans="6:7" x14ac:dyDescent="0.35">
      <c r="F422" s="7"/>
      <c r="G422" s="7"/>
    </row>
    <row r="423" spans="6:7" x14ac:dyDescent="0.35">
      <c r="F423" s="7"/>
      <c r="G423" s="7"/>
    </row>
    <row r="424" spans="6:7" x14ac:dyDescent="0.35">
      <c r="F424" s="7"/>
      <c r="G424" s="7"/>
    </row>
    <row r="425" spans="6:7" x14ac:dyDescent="0.35">
      <c r="F425" s="7"/>
      <c r="G425" s="7"/>
    </row>
    <row r="426" spans="6:7" x14ac:dyDescent="0.35">
      <c r="F426" s="7"/>
      <c r="G426" s="7"/>
    </row>
    <row r="427" spans="6:7" x14ac:dyDescent="0.35">
      <c r="F427" s="7"/>
      <c r="G427" s="7"/>
    </row>
    <row r="428" spans="6:7" x14ac:dyDescent="0.35">
      <c r="F428" s="7"/>
      <c r="G428" s="7"/>
    </row>
    <row r="429" spans="6:7" x14ac:dyDescent="0.35">
      <c r="F429" s="7"/>
      <c r="G429" s="7"/>
    </row>
    <row r="430" spans="6:7" x14ac:dyDescent="0.35">
      <c r="F430" s="7"/>
      <c r="G430" s="7"/>
    </row>
    <row r="431" spans="6:7" x14ac:dyDescent="0.35">
      <c r="F431" s="7"/>
      <c r="G431" s="7"/>
    </row>
    <row r="432" spans="6:7" x14ac:dyDescent="0.35">
      <c r="F432" s="7"/>
      <c r="G432" s="7"/>
    </row>
    <row r="433" spans="6:7" x14ac:dyDescent="0.35">
      <c r="F433" s="7"/>
      <c r="G433" s="7"/>
    </row>
    <row r="434" spans="6:7" x14ac:dyDescent="0.35">
      <c r="F434" s="7"/>
      <c r="G434" s="7"/>
    </row>
    <row r="435" spans="6:7" x14ac:dyDescent="0.35">
      <c r="F435" s="7"/>
      <c r="G435" s="7"/>
    </row>
    <row r="436" spans="6:7" x14ac:dyDescent="0.35">
      <c r="F436" s="7"/>
      <c r="G436" s="7"/>
    </row>
    <row r="437" spans="6:7" x14ac:dyDescent="0.35">
      <c r="F437" s="7"/>
      <c r="G437" s="7"/>
    </row>
    <row r="438" spans="6:7" x14ac:dyDescent="0.35">
      <c r="F438" s="7"/>
      <c r="G438" s="7"/>
    </row>
    <row r="439" spans="6:7" x14ac:dyDescent="0.35">
      <c r="F439" s="7"/>
      <c r="G439" s="7"/>
    </row>
    <row r="440" spans="6:7" x14ac:dyDescent="0.35">
      <c r="F440" s="7"/>
      <c r="G440" s="7"/>
    </row>
    <row r="441" spans="6:7" x14ac:dyDescent="0.35">
      <c r="F441" s="7"/>
      <c r="G441" s="7"/>
    </row>
    <row r="442" spans="6:7" x14ac:dyDescent="0.35">
      <c r="F442" s="7"/>
      <c r="G442" s="7"/>
    </row>
    <row r="443" spans="6:7" x14ac:dyDescent="0.35">
      <c r="F443" s="7"/>
      <c r="G443" s="7"/>
    </row>
    <row r="444" spans="6:7" x14ac:dyDescent="0.35">
      <c r="F444" s="7"/>
      <c r="G444" s="7"/>
    </row>
    <row r="445" spans="6:7" x14ac:dyDescent="0.35">
      <c r="F445" s="7"/>
      <c r="G445" s="7"/>
    </row>
    <row r="446" spans="6:7" x14ac:dyDescent="0.35">
      <c r="F446" s="7"/>
      <c r="G446" s="7"/>
    </row>
    <row r="447" spans="6:7" x14ac:dyDescent="0.35">
      <c r="F447" s="7"/>
      <c r="G447" s="7"/>
    </row>
    <row r="448" spans="6:7" x14ac:dyDescent="0.35">
      <c r="F448" s="7"/>
      <c r="G448" s="7"/>
    </row>
    <row r="449" spans="6:7" x14ac:dyDescent="0.35">
      <c r="F449" s="7"/>
      <c r="G449" s="7"/>
    </row>
    <row r="450" spans="6:7" x14ac:dyDescent="0.35">
      <c r="F450" s="7"/>
      <c r="G450" s="7"/>
    </row>
    <row r="451" spans="6:7" x14ac:dyDescent="0.35">
      <c r="F451" s="7"/>
      <c r="G451" s="7"/>
    </row>
    <row r="452" spans="6:7" x14ac:dyDescent="0.35">
      <c r="F452" s="7"/>
      <c r="G452" s="7"/>
    </row>
    <row r="453" spans="6:7" x14ac:dyDescent="0.35">
      <c r="F453" s="7"/>
      <c r="G453" s="7"/>
    </row>
    <row r="454" spans="6:7" x14ac:dyDescent="0.35">
      <c r="F454" s="7"/>
      <c r="G454" s="7"/>
    </row>
    <row r="455" spans="6:7" x14ac:dyDescent="0.35">
      <c r="F455" s="7"/>
      <c r="G455" s="7"/>
    </row>
    <row r="456" spans="6:7" x14ac:dyDescent="0.35">
      <c r="F456" s="7"/>
      <c r="G456" s="7"/>
    </row>
    <row r="457" spans="6:7" x14ac:dyDescent="0.35">
      <c r="F457" s="7"/>
      <c r="G457" s="7"/>
    </row>
    <row r="458" spans="6:7" x14ac:dyDescent="0.35">
      <c r="F458" s="7"/>
      <c r="G458" s="7"/>
    </row>
    <row r="459" spans="6:7" x14ac:dyDescent="0.35">
      <c r="F459" s="7"/>
      <c r="G459" s="7"/>
    </row>
    <row r="460" spans="6:7" x14ac:dyDescent="0.35">
      <c r="F460" s="7"/>
      <c r="G460" s="7"/>
    </row>
    <row r="461" spans="6:7" x14ac:dyDescent="0.35">
      <c r="F461" s="7"/>
      <c r="G461" s="7"/>
    </row>
    <row r="462" spans="6:7" x14ac:dyDescent="0.35">
      <c r="F462" s="7"/>
      <c r="G462" s="7"/>
    </row>
    <row r="463" spans="6:7" x14ac:dyDescent="0.35">
      <c r="F463" s="7"/>
      <c r="G463" s="7"/>
    </row>
    <row r="464" spans="6:7" x14ac:dyDescent="0.35">
      <c r="F464" s="7"/>
      <c r="G464" s="7"/>
    </row>
    <row r="465" spans="6:7" x14ac:dyDescent="0.35">
      <c r="F465" s="7"/>
      <c r="G465" s="7"/>
    </row>
    <row r="466" spans="6:7" x14ac:dyDescent="0.35">
      <c r="F466" s="7"/>
      <c r="G466" s="7"/>
    </row>
    <row r="467" spans="6:7" x14ac:dyDescent="0.35">
      <c r="F467" s="7"/>
      <c r="G467" s="7"/>
    </row>
    <row r="468" spans="6:7" x14ac:dyDescent="0.35">
      <c r="F468" s="7"/>
      <c r="G468" s="7"/>
    </row>
    <row r="469" spans="6:7" x14ac:dyDescent="0.35">
      <c r="F469" s="7"/>
      <c r="G469" s="7"/>
    </row>
    <row r="470" spans="6:7" x14ac:dyDescent="0.35">
      <c r="F470" s="7"/>
      <c r="G470" s="7"/>
    </row>
    <row r="471" spans="6:7" x14ac:dyDescent="0.35">
      <c r="F471" s="7"/>
      <c r="G471" s="7"/>
    </row>
    <row r="472" spans="6:7" x14ac:dyDescent="0.35">
      <c r="F472" s="7"/>
      <c r="G472" s="7"/>
    </row>
    <row r="473" spans="6:7" x14ac:dyDescent="0.35">
      <c r="F473" s="7"/>
      <c r="G473" s="7"/>
    </row>
    <row r="474" spans="6:7" x14ac:dyDescent="0.35">
      <c r="F474" s="7"/>
      <c r="G474" s="7"/>
    </row>
    <row r="475" spans="6:7" x14ac:dyDescent="0.35">
      <c r="F475" s="7"/>
      <c r="G475" s="7"/>
    </row>
    <row r="476" spans="6:7" x14ac:dyDescent="0.35">
      <c r="F476" s="7"/>
      <c r="G476" s="7"/>
    </row>
    <row r="477" spans="6:7" x14ac:dyDescent="0.35">
      <c r="F477" s="7"/>
      <c r="G477" s="7"/>
    </row>
    <row r="478" spans="6:7" x14ac:dyDescent="0.35">
      <c r="F478" s="7"/>
      <c r="G478" s="7"/>
    </row>
    <row r="479" spans="6:7" x14ac:dyDescent="0.35">
      <c r="F479" s="7"/>
      <c r="G479" s="7"/>
    </row>
    <row r="480" spans="6:7" x14ac:dyDescent="0.35">
      <c r="F480" s="7"/>
      <c r="G480" s="7"/>
    </row>
    <row r="481" spans="6:7" x14ac:dyDescent="0.35">
      <c r="F481" s="7"/>
      <c r="G481" s="7"/>
    </row>
    <row r="482" spans="6:7" x14ac:dyDescent="0.35">
      <c r="F482" s="7"/>
      <c r="G482" s="7"/>
    </row>
    <row r="483" spans="6:7" x14ac:dyDescent="0.35">
      <c r="F483" s="7"/>
      <c r="G483" s="7"/>
    </row>
    <row r="484" spans="6:7" x14ac:dyDescent="0.35">
      <c r="F484" s="7"/>
      <c r="G484" s="7"/>
    </row>
    <row r="485" spans="6:7" x14ac:dyDescent="0.35">
      <c r="F485" s="7"/>
      <c r="G485" s="7"/>
    </row>
    <row r="486" spans="6:7" x14ac:dyDescent="0.35">
      <c r="F486" s="7"/>
      <c r="G486" s="7"/>
    </row>
    <row r="487" spans="6:7" x14ac:dyDescent="0.35">
      <c r="F487" s="7"/>
      <c r="G487" s="7"/>
    </row>
    <row r="488" spans="6:7" x14ac:dyDescent="0.35">
      <c r="F488" s="7"/>
      <c r="G488" s="7"/>
    </row>
    <row r="489" spans="6:7" x14ac:dyDescent="0.35">
      <c r="F489" s="7"/>
      <c r="G489" s="7"/>
    </row>
    <row r="490" spans="6:7" x14ac:dyDescent="0.35">
      <c r="F490" s="7"/>
      <c r="G490" s="7"/>
    </row>
    <row r="491" spans="6:7" x14ac:dyDescent="0.35">
      <c r="F491" s="7"/>
      <c r="G491" s="7"/>
    </row>
    <row r="492" spans="6:7" x14ac:dyDescent="0.35">
      <c r="F492" s="7"/>
      <c r="G492" s="7"/>
    </row>
    <row r="493" spans="6:7" x14ac:dyDescent="0.35">
      <c r="F493" s="7"/>
      <c r="G493" s="7"/>
    </row>
    <row r="494" spans="6:7" x14ac:dyDescent="0.35">
      <c r="F494" s="7"/>
      <c r="G494" s="7"/>
    </row>
    <row r="495" spans="6:7" x14ac:dyDescent="0.35">
      <c r="F495" s="7"/>
      <c r="G495" s="7"/>
    </row>
    <row r="496" spans="6:7" x14ac:dyDescent="0.35">
      <c r="F496" s="7"/>
      <c r="G496" s="7"/>
    </row>
    <row r="497" spans="6:7" x14ac:dyDescent="0.35">
      <c r="F497" s="7"/>
      <c r="G497" s="7"/>
    </row>
    <row r="498" spans="6:7" x14ac:dyDescent="0.35">
      <c r="F498" s="7"/>
      <c r="G498" s="7"/>
    </row>
    <row r="499" spans="6:7" x14ac:dyDescent="0.35">
      <c r="F499" s="7"/>
      <c r="G499" s="7"/>
    </row>
    <row r="500" spans="6:7" x14ac:dyDescent="0.35">
      <c r="F500" s="7"/>
      <c r="G500" s="7"/>
    </row>
    <row r="501" spans="6:7" x14ac:dyDescent="0.35">
      <c r="F501" s="7"/>
      <c r="G501" s="7"/>
    </row>
    <row r="502" spans="6:7" x14ac:dyDescent="0.35">
      <c r="F502" s="7"/>
      <c r="G502" s="7"/>
    </row>
    <row r="503" spans="6:7" x14ac:dyDescent="0.35">
      <c r="F503" s="7"/>
      <c r="G503" s="7"/>
    </row>
    <row r="504" spans="6:7" x14ac:dyDescent="0.35">
      <c r="F504" s="7"/>
      <c r="G504" s="7"/>
    </row>
    <row r="505" spans="6:7" x14ac:dyDescent="0.35">
      <c r="F505" s="7"/>
      <c r="G505" s="7"/>
    </row>
    <row r="506" spans="6:7" x14ac:dyDescent="0.35">
      <c r="F506" s="7"/>
      <c r="G506" s="7"/>
    </row>
    <row r="507" spans="6:7" x14ac:dyDescent="0.35">
      <c r="F507" s="7"/>
      <c r="G507" s="7"/>
    </row>
    <row r="508" spans="6:7" x14ac:dyDescent="0.35">
      <c r="F508" s="7"/>
      <c r="G508" s="7"/>
    </row>
    <row r="509" spans="6:7" x14ac:dyDescent="0.35">
      <c r="F509" s="7"/>
      <c r="G509" s="7"/>
    </row>
    <row r="510" spans="6:7" x14ac:dyDescent="0.35">
      <c r="F510" s="7"/>
      <c r="G510" s="7"/>
    </row>
    <row r="511" spans="6:7" x14ac:dyDescent="0.35">
      <c r="F511" s="7"/>
      <c r="G511" s="7"/>
    </row>
    <row r="512" spans="6:7" x14ac:dyDescent="0.35">
      <c r="F512" s="7"/>
      <c r="G512" s="7"/>
    </row>
    <row r="513" spans="6:7" x14ac:dyDescent="0.35">
      <c r="F513" s="7"/>
      <c r="G513" s="7"/>
    </row>
    <row r="514" spans="6:7" x14ac:dyDescent="0.35">
      <c r="F514" s="7"/>
      <c r="G514" s="7"/>
    </row>
    <row r="515" spans="6:7" x14ac:dyDescent="0.35">
      <c r="F515" s="7"/>
      <c r="G515" s="7"/>
    </row>
    <row r="516" spans="6:7" x14ac:dyDescent="0.35">
      <c r="F516" s="7"/>
      <c r="G516" s="7"/>
    </row>
    <row r="517" spans="6:7" x14ac:dyDescent="0.35">
      <c r="F517" s="7"/>
      <c r="G517" s="7"/>
    </row>
    <row r="518" spans="6:7" x14ac:dyDescent="0.35">
      <c r="F518" s="7"/>
      <c r="G518" s="7"/>
    </row>
    <row r="519" spans="6:7" x14ac:dyDescent="0.35">
      <c r="F519" s="7"/>
      <c r="G519" s="7"/>
    </row>
    <row r="520" spans="6:7" x14ac:dyDescent="0.35">
      <c r="F520" s="7"/>
      <c r="G520" s="7"/>
    </row>
    <row r="521" spans="6:7" x14ac:dyDescent="0.35">
      <c r="F521" s="7"/>
      <c r="G521" s="7"/>
    </row>
    <row r="522" spans="6:7" x14ac:dyDescent="0.35">
      <c r="F522" s="7"/>
      <c r="G522" s="7"/>
    </row>
    <row r="523" spans="6:7" x14ac:dyDescent="0.35">
      <c r="F523" s="7"/>
      <c r="G523" s="7"/>
    </row>
    <row r="524" spans="6:7" x14ac:dyDescent="0.35">
      <c r="F524" s="7"/>
      <c r="G524" s="7"/>
    </row>
    <row r="525" spans="6:7" x14ac:dyDescent="0.35">
      <c r="F525" s="7"/>
      <c r="G525" s="7"/>
    </row>
    <row r="526" spans="6:7" x14ac:dyDescent="0.35">
      <c r="F526" s="7"/>
      <c r="G526" s="7"/>
    </row>
    <row r="527" spans="6:7" x14ac:dyDescent="0.35">
      <c r="F527" s="7"/>
      <c r="G527" s="7"/>
    </row>
    <row r="528" spans="6:7" x14ac:dyDescent="0.35">
      <c r="F528" s="7"/>
      <c r="G528" s="7"/>
    </row>
    <row r="529" spans="6:7" x14ac:dyDescent="0.35">
      <c r="F529" s="7"/>
      <c r="G529" s="7"/>
    </row>
    <row r="530" spans="6:7" x14ac:dyDescent="0.35">
      <c r="F530" s="7"/>
      <c r="G530" s="7"/>
    </row>
    <row r="531" spans="6:7" x14ac:dyDescent="0.35">
      <c r="F531" s="7"/>
      <c r="G531" s="7"/>
    </row>
    <row r="532" spans="6:7" x14ac:dyDescent="0.35">
      <c r="F532" s="7"/>
      <c r="G532" s="7"/>
    </row>
    <row r="533" spans="6:7" x14ac:dyDescent="0.35">
      <c r="F533" s="7"/>
      <c r="G533" s="7"/>
    </row>
    <row r="534" spans="6:7" x14ac:dyDescent="0.35">
      <c r="F534" s="7"/>
      <c r="G534" s="7"/>
    </row>
    <row r="535" spans="6:7" x14ac:dyDescent="0.35">
      <c r="F535" s="7"/>
      <c r="G535" s="7"/>
    </row>
    <row r="536" spans="6:7" x14ac:dyDescent="0.35">
      <c r="F536" s="7"/>
      <c r="G536" s="7"/>
    </row>
    <row r="537" spans="6:7" x14ac:dyDescent="0.35">
      <c r="F537" s="7"/>
      <c r="G537" s="7"/>
    </row>
    <row r="538" spans="6:7" x14ac:dyDescent="0.35">
      <c r="F538" s="7"/>
      <c r="G538" s="7"/>
    </row>
    <row r="539" spans="6:7" x14ac:dyDescent="0.35">
      <c r="F539" s="7"/>
      <c r="G539" s="7"/>
    </row>
    <row r="540" spans="6:7" x14ac:dyDescent="0.35">
      <c r="F540" s="7"/>
      <c r="G540" s="7"/>
    </row>
    <row r="541" spans="6:7" x14ac:dyDescent="0.35">
      <c r="F541" s="7"/>
      <c r="G541" s="7"/>
    </row>
    <row r="542" spans="6:7" x14ac:dyDescent="0.35">
      <c r="F542" s="7"/>
      <c r="G542" s="7"/>
    </row>
    <row r="543" spans="6:7" x14ac:dyDescent="0.35">
      <c r="F543" s="7"/>
      <c r="G543" s="7"/>
    </row>
    <row r="544" spans="6:7" x14ac:dyDescent="0.35">
      <c r="F544" s="7"/>
      <c r="G544" s="7"/>
    </row>
    <row r="545" spans="6:7" x14ac:dyDescent="0.35">
      <c r="F545" s="7"/>
      <c r="G545" s="7"/>
    </row>
    <row r="546" spans="6:7" x14ac:dyDescent="0.35">
      <c r="F546" s="7"/>
      <c r="G546" s="7"/>
    </row>
    <row r="547" spans="6:7" x14ac:dyDescent="0.35">
      <c r="F547" s="7"/>
      <c r="G547" s="7"/>
    </row>
    <row r="548" spans="6:7" x14ac:dyDescent="0.35">
      <c r="F548" s="7"/>
      <c r="G548" s="7"/>
    </row>
    <row r="549" spans="6:7" x14ac:dyDescent="0.35">
      <c r="F549" s="7"/>
      <c r="G549" s="7"/>
    </row>
    <row r="550" spans="6:7" x14ac:dyDescent="0.35">
      <c r="F550" s="7"/>
      <c r="G550" s="7"/>
    </row>
    <row r="551" spans="6:7" x14ac:dyDescent="0.35">
      <c r="F551" s="7"/>
      <c r="G551" s="7"/>
    </row>
    <row r="552" spans="6:7" x14ac:dyDescent="0.35">
      <c r="F552" s="7"/>
      <c r="G552" s="7"/>
    </row>
    <row r="553" spans="6:7" x14ac:dyDescent="0.35">
      <c r="F553" s="7"/>
      <c r="G553" s="7"/>
    </row>
    <row r="554" spans="6:7" x14ac:dyDescent="0.35">
      <c r="F554" s="7"/>
      <c r="G554" s="7"/>
    </row>
    <row r="555" spans="6:7" x14ac:dyDescent="0.35">
      <c r="F555" s="7"/>
      <c r="G555" s="7"/>
    </row>
    <row r="556" spans="6:7" x14ac:dyDescent="0.35">
      <c r="F556" s="7"/>
      <c r="G556" s="7"/>
    </row>
    <row r="557" spans="6:7" x14ac:dyDescent="0.35">
      <c r="F557" s="7"/>
      <c r="G557" s="7"/>
    </row>
    <row r="558" spans="6:7" x14ac:dyDescent="0.35">
      <c r="F558" s="7"/>
      <c r="G558" s="7"/>
    </row>
    <row r="559" spans="6:7" x14ac:dyDescent="0.35">
      <c r="F559" s="7"/>
      <c r="G559" s="7"/>
    </row>
    <row r="560" spans="6:7" x14ac:dyDescent="0.35">
      <c r="F560" s="7"/>
      <c r="G560" s="7"/>
    </row>
    <row r="561" spans="6:7" x14ac:dyDescent="0.35">
      <c r="F561" s="7"/>
      <c r="G561" s="7"/>
    </row>
    <row r="562" spans="6:7" x14ac:dyDescent="0.35">
      <c r="F562" s="7"/>
      <c r="G562" s="7"/>
    </row>
    <row r="563" spans="6:7" x14ac:dyDescent="0.35">
      <c r="F563" s="7"/>
      <c r="G563" s="7"/>
    </row>
    <row r="564" spans="6:7" x14ac:dyDescent="0.35">
      <c r="F564" s="7"/>
      <c r="G564" s="7"/>
    </row>
    <row r="565" spans="6:7" x14ac:dyDescent="0.35">
      <c r="F565" s="7"/>
      <c r="G565" s="7"/>
    </row>
    <row r="566" spans="6:7" x14ac:dyDescent="0.35">
      <c r="F566" s="7"/>
      <c r="G566" s="7"/>
    </row>
    <row r="567" spans="6:7" x14ac:dyDescent="0.35">
      <c r="F567" s="7"/>
      <c r="G567" s="7"/>
    </row>
    <row r="568" spans="6:7" x14ac:dyDescent="0.35">
      <c r="F568" s="7"/>
      <c r="G568" s="7"/>
    </row>
    <row r="569" spans="6:7" x14ac:dyDescent="0.35">
      <c r="F569" s="7"/>
      <c r="G569" s="7"/>
    </row>
    <row r="570" spans="6:7" x14ac:dyDescent="0.35">
      <c r="F570" s="7"/>
      <c r="G570" s="7"/>
    </row>
    <row r="571" spans="6:7" x14ac:dyDescent="0.35">
      <c r="F571" s="7"/>
      <c r="G571" s="7"/>
    </row>
    <row r="572" spans="6:7" x14ac:dyDescent="0.35">
      <c r="F572" s="7"/>
      <c r="G572" s="7"/>
    </row>
    <row r="573" spans="6:7" x14ac:dyDescent="0.35">
      <c r="F573" s="7"/>
      <c r="G573" s="7"/>
    </row>
    <row r="574" spans="6:7" x14ac:dyDescent="0.35">
      <c r="F574" s="7"/>
      <c r="G574" s="7"/>
    </row>
    <row r="575" spans="6:7" x14ac:dyDescent="0.35">
      <c r="F575" s="7"/>
      <c r="G575" s="7"/>
    </row>
    <row r="576" spans="6:7" x14ac:dyDescent="0.35">
      <c r="F576" s="7"/>
      <c r="G576" s="7"/>
    </row>
    <row r="577" spans="6:7" x14ac:dyDescent="0.35">
      <c r="F577" s="7"/>
      <c r="G577" s="7"/>
    </row>
    <row r="578" spans="6:7" x14ac:dyDescent="0.35">
      <c r="F578" s="7"/>
      <c r="G578" s="7"/>
    </row>
    <row r="579" spans="6:7" x14ac:dyDescent="0.35">
      <c r="F579" s="7"/>
      <c r="G579" s="7"/>
    </row>
    <row r="580" spans="6:7" x14ac:dyDescent="0.35">
      <c r="F580" s="7"/>
      <c r="G580" s="7"/>
    </row>
    <row r="581" spans="6:7" x14ac:dyDescent="0.35">
      <c r="F581" s="7"/>
      <c r="G581" s="7"/>
    </row>
    <row r="582" spans="6:7" x14ac:dyDescent="0.35">
      <c r="F582" s="7"/>
      <c r="G582" s="7"/>
    </row>
    <row r="583" spans="6:7" x14ac:dyDescent="0.35">
      <c r="F583" s="7"/>
      <c r="G583" s="7"/>
    </row>
    <row r="584" spans="6:7" x14ac:dyDescent="0.35">
      <c r="F584" s="7"/>
      <c r="G584" s="7"/>
    </row>
    <row r="585" spans="6:7" x14ac:dyDescent="0.35">
      <c r="F585" s="7"/>
      <c r="G585" s="7"/>
    </row>
    <row r="586" spans="6:7" x14ac:dyDescent="0.35">
      <c r="F586" s="7"/>
      <c r="G586" s="7"/>
    </row>
    <row r="587" spans="6:7" x14ac:dyDescent="0.35">
      <c r="F587" s="7"/>
      <c r="G587" s="7"/>
    </row>
    <row r="588" spans="6:7" x14ac:dyDescent="0.35">
      <c r="F588" s="7"/>
      <c r="G588" s="7"/>
    </row>
    <row r="589" spans="6:7" x14ac:dyDescent="0.35">
      <c r="F589" s="7"/>
      <c r="G589" s="7"/>
    </row>
    <row r="590" spans="6:7" x14ac:dyDescent="0.35">
      <c r="F590" s="7"/>
      <c r="G590" s="7"/>
    </row>
    <row r="591" spans="6:7" x14ac:dyDescent="0.35">
      <c r="F591" s="7"/>
      <c r="G591" s="7"/>
    </row>
    <row r="592" spans="6:7" x14ac:dyDescent="0.35">
      <c r="F592" s="7"/>
      <c r="G592" s="7"/>
    </row>
    <row r="593" spans="6:7" x14ac:dyDescent="0.35">
      <c r="F593" s="7"/>
      <c r="G593" s="7"/>
    </row>
    <row r="594" spans="6:7" x14ac:dyDescent="0.35">
      <c r="F594" s="7"/>
      <c r="G594" s="7"/>
    </row>
    <row r="595" spans="6:7" x14ac:dyDescent="0.35">
      <c r="F595" s="7"/>
      <c r="G595" s="7"/>
    </row>
    <row r="596" spans="6:7" x14ac:dyDescent="0.35">
      <c r="F596" s="7"/>
      <c r="G596" s="7"/>
    </row>
    <row r="597" spans="6:7" x14ac:dyDescent="0.35">
      <c r="F597" s="7"/>
      <c r="G597" s="7"/>
    </row>
    <row r="598" spans="6:7" x14ac:dyDescent="0.35">
      <c r="F598" s="7"/>
      <c r="G598" s="7"/>
    </row>
    <row r="599" spans="6:7" x14ac:dyDescent="0.35">
      <c r="F599" s="7"/>
      <c r="G599" s="7"/>
    </row>
    <row r="600" spans="6:7" x14ac:dyDescent="0.35">
      <c r="F600" s="7"/>
      <c r="G600" s="7"/>
    </row>
    <row r="601" spans="6:7" x14ac:dyDescent="0.35">
      <c r="F601" s="7"/>
      <c r="G601" s="7"/>
    </row>
    <row r="602" spans="6:7" x14ac:dyDescent="0.35">
      <c r="F602" s="7"/>
      <c r="G602" s="7"/>
    </row>
    <row r="603" spans="6:7" x14ac:dyDescent="0.35">
      <c r="F603" s="7"/>
      <c r="G603" s="7"/>
    </row>
    <row r="604" spans="6:7" x14ac:dyDescent="0.35">
      <c r="F604" s="7"/>
      <c r="G604" s="7"/>
    </row>
    <row r="605" spans="6:7" x14ac:dyDescent="0.35">
      <c r="F605" s="7"/>
      <c r="G605" s="7"/>
    </row>
    <row r="606" spans="6:7" x14ac:dyDescent="0.35">
      <c r="F606" s="7"/>
      <c r="G606" s="7"/>
    </row>
    <row r="607" spans="6:7" x14ac:dyDescent="0.35">
      <c r="F607" s="7"/>
      <c r="G607" s="7"/>
    </row>
    <row r="608" spans="6:7" x14ac:dyDescent="0.35">
      <c r="F608" s="7"/>
      <c r="G608" s="7"/>
    </row>
    <row r="609" spans="6:7" x14ac:dyDescent="0.35">
      <c r="F609" s="7"/>
      <c r="G609" s="7"/>
    </row>
    <row r="610" spans="6:7" x14ac:dyDescent="0.35">
      <c r="F610" s="7"/>
      <c r="G610" s="7"/>
    </row>
    <row r="611" spans="6:7" x14ac:dyDescent="0.35">
      <c r="F611" s="7"/>
      <c r="G611" s="7"/>
    </row>
    <row r="612" spans="6:7" x14ac:dyDescent="0.35">
      <c r="F612" s="7"/>
      <c r="G612" s="7"/>
    </row>
    <row r="613" spans="6:7" x14ac:dyDescent="0.35">
      <c r="F613" s="7"/>
      <c r="G613" s="7"/>
    </row>
    <row r="614" spans="6:7" x14ac:dyDescent="0.35">
      <c r="F614" s="7"/>
      <c r="G614" s="7"/>
    </row>
    <row r="615" spans="6:7" x14ac:dyDescent="0.35">
      <c r="F615" s="7"/>
      <c r="G615" s="7"/>
    </row>
    <row r="616" spans="6:7" x14ac:dyDescent="0.35">
      <c r="F616" s="7"/>
      <c r="G616" s="7"/>
    </row>
    <row r="617" spans="6:7" x14ac:dyDescent="0.35">
      <c r="F617" s="7"/>
      <c r="G617" s="7"/>
    </row>
    <row r="618" spans="6:7" x14ac:dyDescent="0.35">
      <c r="F618" s="7"/>
      <c r="G618" s="7"/>
    </row>
    <row r="619" spans="6:7" x14ac:dyDescent="0.35">
      <c r="F619" s="7"/>
      <c r="G619" s="7"/>
    </row>
    <row r="620" spans="6:7" x14ac:dyDescent="0.35">
      <c r="F620" s="7"/>
      <c r="G620" s="7"/>
    </row>
    <row r="621" spans="6:7" x14ac:dyDescent="0.35">
      <c r="F621" s="7"/>
      <c r="G621" s="7"/>
    </row>
    <row r="622" spans="6:7" x14ac:dyDescent="0.35">
      <c r="F622" s="7"/>
      <c r="G622" s="7"/>
    </row>
    <row r="623" spans="6:7" x14ac:dyDescent="0.35">
      <c r="F623" s="7"/>
      <c r="G623" s="7"/>
    </row>
    <row r="624" spans="6:7" x14ac:dyDescent="0.35">
      <c r="F624" s="7"/>
      <c r="G624" s="7"/>
    </row>
    <row r="625" spans="6:7" x14ac:dyDescent="0.35">
      <c r="F625" s="7"/>
      <c r="G625" s="7"/>
    </row>
    <row r="626" spans="6:7" x14ac:dyDescent="0.35">
      <c r="F626" s="7"/>
      <c r="G626" s="7"/>
    </row>
    <row r="627" spans="6:7" x14ac:dyDescent="0.35">
      <c r="F627" s="7"/>
      <c r="G627" s="7"/>
    </row>
    <row r="628" spans="6:7" x14ac:dyDescent="0.35">
      <c r="F628" s="7"/>
      <c r="G628" s="7"/>
    </row>
    <row r="629" spans="6:7" x14ac:dyDescent="0.35">
      <c r="F629" s="7"/>
      <c r="G629" s="7"/>
    </row>
    <row r="630" spans="6:7" x14ac:dyDescent="0.35">
      <c r="F630" s="7"/>
      <c r="G630" s="7"/>
    </row>
    <row r="631" spans="6:7" x14ac:dyDescent="0.35">
      <c r="F631" s="7"/>
      <c r="G631" s="7"/>
    </row>
    <row r="632" spans="6:7" x14ac:dyDescent="0.35">
      <c r="F632" s="7"/>
      <c r="G632" s="7"/>
    </row>
    <row r="633" spans="6:7" x14ac:dyDescent="0.35">
      <c r="F633" s="7"/>
      <c r="G633" s="7"/>
    </row>
    <row r="634" spans="6:7" x14ac:dyDescent="0.35">
      <c r="F634" s="7"/>
      <c r="G634" s="7"/>
    </row>
    <row r="635" spans="6:7" x14ac:dyDescent="0.35">
      <c r="F635" s="7"/>
      <c r="G635" s="7"/>
    </row>
    <row r="636" spans="6:7" x14ac:dyDescent="0.35">
      <c r="F636" s="7"/>
      <c r="G636" s="7"/>
    </row>
    <row r="637" spans="6:7" x14ac:dyDescent="0.35">
      <c r="F637" s="7"/>
      <c r="G637" s="7"/>
    </row>
    <row r="638" spans="6:7" x14ac:dyDescent="0.35">
      <c r="F638" s="7"/>
      <c r="G638" s="7"/>
    </row>
    <row r="639" spans="6:7" x14ac:dyDescent="0.35">
      <c r="F639" s="7"/>
      <c r="G639" s="7"/>
    </row>
    <row r="640" spans="6:7" x14ac:dyDescent="0.35">
      <c r="F640" s="7"/>
      <c r="G640" s="7"/>
    </row>
    <row r="641" spans="6:7" x14ac:dyDescent="0.35">
      <c r="F641" s="7"/>
      <c r="G641" s="7"/>
    </row>
    <row r="642" spans="6:7" x14ac:dyDescent="0.35">
      <c r="F642" s="7"/>
      <c r="G642" s="7"/>
    </row>
    <row r="643" spans="6:7" x14ac:dyDescent="0.35">
      <c r="F643" s="7"/>
      <c r="G643" s="7"/>
    </row>
    <row r="644" spans="6:7" x14ac:dyDescent="0.35">
      <c r="F644" s="7"/>
      <c r="G644" s="7"/>
    </row>
    <row r="645" spans="6:7" x14ac:dyDescent="0.35">
      <c r="F645" s="7"/>
      <c r="G645" s="7"/>
    </row>
    <row r="646" spans="6:7" x14ac:dyDescent="0.35">
      <c r="F646" s="7"/>
      <c r="G646" s="7"/>
    </row>
    <row r="647" spans="6:7" x14ac:dyDescent="0.35">
      <c r="F647" s="7"/>
      <c r="G647" s="7"/>
    </row>
    <row r="648" spans="6:7" x14ac:dyDescent="0.35">
      <c r="F648" s="7"/>
      <c r="G648" s="7"/>
    </row>
    <row r="649" spans="6:7" x14ac:dyDescent="0.35">
      <c r="F649" s="7"/>
      <c r="G649" s="7"/>
    </row>
    <row r="650" spans="6:7" x14ac:dyDescent="0.35">
      <c r="F650" s="7"/>
      <c r="G650" s="7"/>
    </row>
    <row r="651" spans="6:7" x14ac:dyDescent="0.35">
      <c r="F651" s="7"/>
      <c r="G651" s="7"/>
    </row>
    <row r="652" spans="6:7" x14ac:dyDescent="0.35">
      <c r="F652" s="7"/>
      <c r="G652" s="7"/>
    </row>
    <row r="653" spans="6:7" x14ac:dyDescent="0.35">
      <c r="F653" s="7"/>
      <c r="G653" s="7"/>
    </row>
    <row r="654" spans="6:7" x14ac:dyDescent="0.35">
      <c r="F654" s="7"/>
      <c r="G654" s="7"/>
    </row>
    <row r="655" spans="6:7" x14ac:dyDescent="0.35">
      <c r="F655" s="7"/>
      <c r="G655" s="7"/>
    </row>
    <row r="656" spans="6:7" x14ac:dyDescent="0.35">
      <c r="F656" s="7"/>
      <c r="G656" s="7"/>
    </row>
    <row r="657" spans="6:7" x14ac:dyDescent="0.35">
      <c r="F657" s="7"/>
      <c r="G657" s="7"/>
    </row>
    <row r="658" spans="6:7" x14ac:dyDescent="0.35">
      <c r="F658" s="7"/>
      <c r="G658" s="7"/>
    </row>
    <row r="659" spans="6:7" x14ac:dyDescent="0.35">
      <c r="F659" s="7"/>
      <c r="G659" s="7"/>
    </row>
    <row r="660" spans="6:7" x14ac:dyDescent="0.35">
      <c r="F660" s="7"/>
      <c r="G660" s="7"/>
    </row>
    <row r="661" spans="6:7" x14ac:dyDescent="0.35">
      <c r="F661" s="7"/>
      <c r="G661" s="7"/>
    </row>
    <row r="662" spans="6:7" x14ac:dyDescent="0.35">
      <c r="F662" s="7"/>
      <c r="G662" s="7"/>
    </row>
    <row r="663" spans="6:7" x14ac:dyDescent="0.35">
      <c r="F663" s="7"/>
      <c r="G663" s="7"/>
    </row>
    <row r="664" spans="6:7" x14ac:dyDescent="0.35">
      <c r="F664" s="7"/>
      <c r="G664" s="7"/>
    </row>
    <row r="665" spans="6:7" x14ac:dyDescent="0.35">
      <c r="F665" s="7"/>
      <c r="G665" s="7"/>
    </row>
    <row r="666" spans="6:7" x14ac:dyDescent="0.35">
      <c r="F666" s="7"/>
      <c r="G666" s="7"/>
    </row>
    <row r="667" spans="6:7" x14ac:dyDescent="0.35">
      <c r="F667" s="7"/>
      <c r="G667" s="7"/>
    </row>
    <row r="668" spans="6:7" x14ac:dyDescent="0.35">
      <c r="F668" s="7"/>
      <c r="G668" s="7"/>
    </row>
    <row r="669" spans="6:7" x14ac:dyDescent="0.35">
      <c r="F669" s="7"/>
      <c r="G669" s="7"/>
    </row>
    <row r="670" spans="6:7" x14ac:dyDescent="0.35">
      <c r="F670" s="7"/>
      <c r="G670" s="7"/>
    </row>
    <row r="671" spans="6:7" x14ac:dyDescent="0.35">
      <c r="F671" s="7"/>
      <c r="G671" s="7"/>
    </row>
    <row r="672" spans="6:7" x14ac:dyDescent="0.35">
      <c r="F672" s="7"/>
      <c r="G672" s="7"/>
    </row>
    <row r="673" spans="6:7" x14ac:dyDescent="0.35">
      <c r="F673" s="7"/>
      <c r="G673" s="7"/>
    </row>
    <row r="674" spans="6:7" x14ac:dyDescent="0.35">
      <c r="F674" s="7"/>
      <c r="G674" s="7"/>
    </row>
    <row r="675" spans="6:7" x14ac:dyDescent="0.35">
      <c r="F675" s="7"/>
      <c r="G675" s="7"/>
    </row>
    <row r="676" spans="6:7" x14ac:dyDescent="0.35">
      <c r="F676" s="7"/>
      <c r="G676" s="7"/>
    </row>
    <row r="677" spans="6:7" x14ac:dyDescent="0.35">
      <c r="F677" s="7"/>
      <c r="G677" s="7"/>
    </row>
    <row r="678" spans="6:7" x14ac:dyDescent="0.35">
      <c r="F678" s="7"/>
      <c r="G678" s="7"/>
    </row>
    <row r="679" spans="6:7" x14ac:dyDescent="0.35">
      <c r="F679" s="7"/>
      <c r="G679" s="7"/>
    </row>
    <row r="680" spans="6:7" x14ac:dyDescent="0.35">
      <c r="F680" s="7"/>
      <c r="G680" s="7"/>
    </row>
    <row r="681" spans="6:7" x14ac:dyDescent="0.35">
      <c r="F681" s="7"/>
      <c r="G681" s="7"/>
    </row>
    <row r="682" spans="6:7" x14ac:dyDescent="0.35">
      <c r="F682" s="7"/>
      <c r="G682" s="7"/>
    </row>
    <row r="683" spans="6:7" x14ac:dyDescent="0.35">
      <c r="F683" s="7"/>
      <c r="G683" s="7"/>
    </row>
    <row r="684" spans="6:7" x14ac:dyDescent="0.35">
      <c r="F684" s="7"/>
      <c r="G684" s="7"/>
    </row>
    <row r="685" spans="6:7" x14ac:dyDescent="0.35">
      <c r="F685" s="7"/>
      <c r="G685" s="7"/>
    </row>
    <row r="686" spans="6:7" x14ac:dyDescent="0.35">
      <c r="F686" s="7"/>
      <c r="G686" s="7"/>
    </row>
    <row r="687" spans="6:7" x14ac:dyDescent="0.35">
      <c r="F687" s="7"/>
      <c r="G687" s="7"/>
    </row>
    <row r="688" spans="6:7" x14ac:dyDescent="0.35">
      <c r="F688" s="7"/>
      <c r="G688" s="7"/>
    </row>
    <row r="689" spans="6:7" x14ac:dyDescent="0.35">
      <c r="F689" s="7"/>
      <c r="G689" s="7"/>
    </row>
    <row r="690" spans="6:7" x14ac:dyDescent="0.35">
      <c r="F690" s="7"/>
      <c r="G690" s="7"/>
    </row>
    <row r="691" spans="6:7" x14ac:dyDescent="0.35">
      <c r="F691" s="7"/>
      <c r="G691" s="7"/>
    </row>
    <row r="692" spans="6:7" x14ac:dyDescent="0.35">
      <c r="F692" s="7"/>
      <c r="G692" s="7"/>
    </row>
    <row r="693" spans="6:7" x14ac:dyDescent="0.35">
      <c r="F693" s="7"/>
      <c r="G693" s="7"/>
    </row>
    <row r="694" spans="6:7" x14ac:dyDescent="0.35">
      <c r="F694" s="7"/>
      <c r="G694" s="7"/>
    </row>
    <row r="695" spans="6:7" x14ac:dyDescent="0.35">
      <c r="F695" s="7"/>
      <c r="G695" s="7"/>
    </row>
    <row r="696" spans="6:7" x14ac:dyDescent="0.35">
      <c r="F696" s="7"/>
      <c r="G696" s="7"/>
    </row>
    <row r="697" spans="6:7" x14ac:dyDescent="0.35">
      <c r="F697" s="7"/>
      <c r="G697" s="7"/>
    </row>
    <row r="698" spans="6:7" x14ac:dyDescent="0.35">
      <c r="F698" s="7"/>
      <c r="G698" s="7"/>
    </row>
    <row r="699" spans="6:7" x14ac:dyDescent="0.35">
      <c r="F699" s="7"/>
      <c r="G699" s="7"/>
    </row>
    <row r="700" spans="6:7" x14ac:dyDescent="0.35">
      <c r="F700" s="7"/>
      <c r="G700" s="7"/>
    </row>
    <row r="701" spans="6:7" x14ac:dyDescent="0.35">
      <c r="F701" s="7"/>
      <c r="G701" s="7"/>
    </row>
    <row r="702" spans="6:7" x14ac:dyDescent="0.35">
      <c r="F702" s="7"/>
      <c r="G702" s="7"/>
    </row>
    <row r="703" spans="6:7" x14ac:dyDescent="0.35">
      <c r="F703" s="7"/>
      <c r="G703" s="7"/>
    </row>
    <row r="704" spans="6:7" x14ac:dyDescent="0.35">
      <c r="F704" s="7"/>
      <c r="G704" s="7"/>
    </row>
    <row r="705" spans="6:7" x14ac:dyDescent="0.35">
      <c r="F705" s="7"/>
      <c r="G705" s="7"/>
    </row>
    <row r="706" spans="6:7" x14ac:dyDescent="0.35">
      <c r="F706" s="7"/>
      <c r="G706" s="7"/>
    </row>
    <row r="707" spans="6:7" x14ac:dyDescent="0.35">
      <c r="F707" s="7"/>
      <c r="G707" s="7"/>
    </row>
    <row r="708" spans="6:7" x14ac:dyDescent="0.35">
      <c r="F708" s="7"/>
      <c r="G708" s="7"/>
    </row>
    <row r="709" spans="6:7" x14ac:dyDescent="0.35">
      <c r="F709" s="7"/>
      <c r="G709" s="7"/>
    </row>
    <row r="710" spans="6:7" x14ac:dyDescent="0.35">
      <c r="F710" s="7"/>
      <c r="G710" s="7"/>
    </row>
    <row r="711" spans="6:7" x14ac:dyDescent="0.35">
      <c r="F711" s="7"/>
      <c r="G711" s="7"/>
    </row>
    <row r="712" spans="6:7" x14ac:dyDescent="0.35">
      <c r="F712" s="7"/>
      <c r="G712" s="7"/>
    </row>
    <row r="713" spans="6:7" x14ac:dyDescent="0.35">
      <c r="F713" s="7"/>
      <c r="G713" s="7"/>
    </row>
    <row r="714" spans="6:7" x14ac:dyDescent="0.35">
      <c r="F714" s="7"/>
      <c r="G714" s="7"/>
    </row>
    <row r="715" spans="6:7" x14ac:dyDescent="0.35">
      <c r="F715" s="7"/>
      <c r="G715" s="7"/>
    </row>
    <row r="716" spans="6:7" x14ac:dyDescent="0.35">
      <c r="F716" s="7"/>
      <c r="G716" s="7"/>
    </row>
    <row r="717" spans="6:7" x14ac:dyDescent="0.35">
      <c r="F717" s="7"/>
      <c r="G717" s="7"/>
    </row>
    <row r="718" spans="6:7" x14ac:dyDescent="0.35">
      <c r="F718" s="7"/>
      <c r="G718" s="7"/>
    </row>
    <row r="719" spans="6:7" x14ac:dyDescent="0.35">
      <c r="F719" s="7"/>
      <c r="G719" s="7"/>
    </row>
    <row r="720" spans="6:7" x14ac:dyDescent="0.35">
      <c r="F720" s="7"/>
      <c r="G720" s="7"/>
    </row>
    <row r="721" spans="6:7" x14ac:dyDescent="0.35">
      <c r="F721" s="7"/>
      <c r="G721" s="7"/>
    </row>
    <row r="722" spans="6:7" x14ac:dyDescent="0.35">
      <c r="F722" s="7"/>
      <c r="G722" s="7"/>
    </row>
    <row r="723" spans="6:7" x14ac:dyDescent="0.35">
      <c r="F723" s="7"/>
      <c r="G723" s="7"/>
    </row>
    <row r="724" spans="6:7" x14ac:dyDescent="0.35">
      <c r="F724" s="7"/>
      <c r="G724" s="7"/>
    </row>
    <row r="725" spans="6:7" x14ac:dyDescent="0.35">
      <c r="F725" s="7"/>
      <c r="G725" s="7"/>
    </row>
    <row r="726" spans="6:7" x14ac:dyDescent="0.35">
      <c r="F726" s="7"/>
      <c r="G726" s="7"/>
    </row>
    <row r="727" spans="6:7" x14ac:dyDescent="0.35">
      <c r="F727" s="7"/>
      <c r="G727" s="7"/>
    </row>
    <row r="728" spans="6:7" x14ac:dyDescent="0.35">
      <c r="F728" s="7"/>
      <c r="G728" s="7"/>
    </row>
    <row r="729" spans="6:7" x14ac:dyDescent="0.35">
      <c r="F729" s="7"/>
      <c r="G729" s="7"/>
    </row>
    <row r="730" spans="6:7" x14ac:dyDescent="0.35">
      <c r="F730" s="7"/>
      <c r="G730" s="7"/>
    </row>
    <row r="731" spans="6:7" x14ac:dyDescent="0.35">
      <c r="F731" s="7"/>
      <c r="G731" s="7"/>
    </row>
    <row r="732" spans="6:7" x14ac:dyDescent="0.35">
      <c r="F732" s="7"/>
      <c r="G732" s="7"/>
    </row>
    <row r="733" spans="6:7" x14ac:dyDescent="0.35">
      <c r="F733" s="7"/>
      <c r="G733" s="7"/>
    </row>
    <row r="734" spans="6:7" x14ac:dyDescent="0.35">
      <c r="F734" s="7"/>
      <c r="G734" s="7"/>
    </row>
    <row r="735" spans="6:7" x14ac:dyDescent="0.35">
      <c r="F735" s="7"/>
      <c r="G735" s="7"/>
    </row>
    <row r="736" spans="6:7" x14ac:dyDescent="0.35">
      <c r="F736" s="7"/>
      <c r="G736" s="7"/>
    </row>
    <row r="737" spans="6:7" x14ac:dyDescent="0.35">
      <c r="F737" s="7"/>
      <c r="G737" s="7"/>
    </row>
    <row r="738" spans="6:7" x14ac:dyDescent="0.35">
      <c r="F738" s="7"/>
      <c r="G738" s="7"/>
    </row>
    <row r="739" spans="6:7" x14ac:dyDescent="0.35">
      <c r="F739" s="7"/>
      <c r="G739" s="7"/>
    </row>
    <row r="740" spans="6:7" x14ac:dyDescent="0.35">
      <c r="F740" s="7"/>
      <c r="G740" s="7"/>
    </row>
    <row r="741" spans="6:7" x14ac:dyDescent="0.35">
      <c r="F741" s="7"/>
      <c r="G741" s="7"/>
    </row>
    <row r="742" spans="6:7" x14ac:dyDescent="0.35">
      <c r="F742" s="7"/>
      <c r="G742" s="7"/>
    </row>
    <row r="743" spans="6:7" x14ac:dyDescent="0.35">
      <c r="F743" s="7"/>
      <c r="G743" s="7"/>
    </row>
    <row r="744" spans="6:7" x14ac:dyDescent="0.35">
      <c r="F744" s="7"/>
      <c r="G744" s="7"/>
    </row>
    <row r="745" spans="6:7" x14ac:dyDescent="0.35">
      <c r="F745" s="7"/>
      <c r="G745" s="7"/>
    </row>
    <row r="746" spans="6:7" x14ac:dyDescent="0.35">
      <c r="F746" s="7"/>
      <c r="G746" s="7"/>
    </row>
    <row r="747" spans="6:7" x14ac:dyDescent="0.35">
      <c r="F747" s="7"/>
      <c r="G747" s="7"/>
    </row>
    <row r="748" spans="6:7" x14ac:dyDescent="0.35">
      <c r="F748" s="7"/>
      <c r="G748" s="7"/>
    </row>
    <row r="749" spans="6:7" x14ac:dyDescent="0.35">
      <c r="F749" s="7"/>
      <c r="G749" s="7"/>
    </row>
    <row r="750" spans="6:7" x14ac:dyDescent="0.35">
      <c r="F750" s="7"/>
      <c r="G750" s="7"/>
    </row>
    <row r="751" spans="6:7" x14ac:dyDescent="0.35">
      <c r="F751" s="7"/>
      <c r="G751" s="7"/>
    </row>
    <row r="752" spans="6:7" x14ac:dyDescent="0.35">
      <c r="F752" s="7"/>
      <c r="G752" s="7"/>
    </row>
    <row r="753" spans="6:7" x14ac:dyDescent="0.35">
      <c r="F753" s="7"/>
      <c r="G753" s="7"/>
    </row>
    <row r="754" spans="6:7" x14ac:dyDescent="0.35">
      <c r="F754" s="7"/>
      <c r="G754" s="7"/>
    </row>
    <row r="755" spans="6:7" x14ac:dyDescent="0.35">
      <c r="F755" s="7"/>
      <c r="G755" s="7"/>
    </row>
    <row r="756" spans="6:7" x14ac:dyDescent="0.35">
      <c r="F756" s="7"/>
      <c r="G756" s="7"/>
    </row>
    <row r="757" spans="6:7" x14ac:dyDescent="0.35">
      <c r="F757" s="7"/>
      <c r="G757" s="7"/>
    </row>
    <row r="758" spans="6:7" x14ac:dyDescent="0.35">
      <c r="F758" s="7"/>
      <c r="G758" s="7"/>
    </row>
    <row r="759" spans="6:7" x14ac:dyDescent="0.35">
      <c r="F759" s="7"/>
      <c r="G759" s="7"/>
    </row>
    <row r="760" spans="6:7" x14ac:dyDescent="0.35">
      <c r="F760" s="7"/>
      <c r="G760" s="7"/>
    </row>
    <row r="761" spans="6:7" x14ac:dyDescent="0.35">
      <c r="F761" s="7"/>
      <c r="G761" s="7"/>
    </row>
    <row r="762" spans="6:7" x14ac:dyDescent="0.35">
      <c r="F762" s="7"/>
      <c r="G762" s="7"/>
    </row>
    <row r="763" spans="6:7" x14ac:dyDescent="0.35">
      <c r="F763" s="7"/>
      <c r="G763" s="7"/>
    </row>
    <row r="764" spans="6:7" x14ac:dyDescent="0.35">
      <c r="F764" s="7"/>
      <c r="G764" s="7"/>
    </row>
    <row r="765" spans="6:7" x14ac:dyDescent="0.35">
      <c r="F765" s="7"/>
      <c r="G765" s="7"/>
    </row>
    <row r="766" spans="6:7" x14ac:dyDescent="0.35">
      <c r="F766" s="7"/>
      <c r="G766" s="7"/>
    </row>
    <row r="767" spans="6:7" x14ac:dyDescent="0.35">
      <c r="F767" s="7"/>
      <c r="G767" s="7"/>
    </row>
    <row r="768" spans="6:7" x14ac:dyDescent="0.35">
      <c r="F768" s="7"/>
      <c r="G768" s="7"/>
    </row>
    <row r="769" spans="6:7" x14ac:dyDescent="0.35">
      <c r="F769" s="7"/>
      <c r="G769" s="7"/>
    </row>
    <row r="770" spans="6:7" x14ac:dyDescent="0.35">
      <c r="F770" s="7"/>
      <c r="G770" s="7"/>
    </row>
    <row r="771" spans="6:7" x14ac:dyDescent="0.35">
      <c r="F771" s="7"/>
      <c r="G771" s="7"/>
    </row>
    <row r="772" spans="6:7" x14ac:dyDescent="0.35">
      <c r="F772" s="7"/>
      <c r="G772" s="7"/>
    </row>
    <row r="773" spans="6:7" x14ac:dyDescent="0.35">
      <c r="F773" s="7"/>
      <c r="G773" s="7"/>
    </row>
    <row r="774" spans="6:7" x14ac:dyDescent="0.35">
      <c r="F774" s="7"/>
      <c r="G774" s="7"/>
    </row>
    <row r="775" spans="6:7" x14ac:dyDescent="0.35">
      <c r="F775" s="7"/>
      <c r="G775" s="7"/>
    </row>
    <row r="776" spans="6:7" x14ac:dyDescent="0.35">
      <c r="F776" s="7"/>
      <c r="G776" s="7"/>
    </row>
    <row r="777" spans="6:7" x14ac:dyDescent="0.35">
      <c r="F777" s="7"/>
      <c r="G777" s="7"/>
    </row>
    <row r="778" spans="6:7" x14ac:dyDescent="0.35">
      <c r="F778" s="7"/>
      <c r="G778" s="7"/>
    </row>
    <row r="779" spans="6:7" x14ac:dyDescent="0.35">
      <c r="F779" s="7"/>
      <c r="G779" s="7"/>
    </row>
    <row r="780" spans="6:7" x14ac:dyDescent="0.35">
      <c r="F780" s="7"/>
      <c r="G780" s="7"/>
    </row>
    <row r="781" spans="6:7" x14ac:dyDescent="0.35">
      <c r="F781" s="7"/>
      <c r="G78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L44"/>
  <sheetViews>
    <sheetView showZeros="0" zoomScale="85" zoomScaleNormal="85" workbookViewId="0">
      <pane ySplit="8" topLeftCell="A9" activePane="bottomLeft" state="frozen"/>
      <selection activeCell="D7" sqref="D7:E19"/>
      <selection pane="bottomLeft" activeCell="I1" sqref="I1:L1048576"/>
    </sheetView>
  </sheetViews>
  <sheetFormatPr defaultRowHeight="14.5" x14ac:dyDescent="0.35"/>
  <sheetData>
    <row r="1" spans="1:12" ht="18.5" x14ac:dyDescent="0.45">
      <c r="A1" s="5" t="s">
        <v>437</v>
      </c>
      <c r="I1" s="5" t="s">
        <v>437</v>
      </c>
    </row>
    <row r="2" spans="1:12" x14ac:dyDescent="0.35">
      <c r="A2" s="3" t="s">
        <v>364</v>
      </c>
      <c r="B2" s="4" t="s">
        <v>438</v>
      </c>
      <c r="I2" s="3" t="s">
        <v>364</v>
      </c>
      <c r="J2" s="4" t="s">
        <v>438</v>
      </c>
    </row>
    <row r="4" spans="1:12" x14ac:dyDescent="0.35">
      <c r="B4" s="19" t="s">
        <v>540</v>
      </c>
      <c r="C4" s="19" t="s">
        <v>540</v>
      </c>
      <c r="J4" s="19" t="s">
        <v>540</v>
      </c>
      <c r="K4" s="19" t="s">
        <v>540</v>
      </c>
    </row>
    <row r="5" spans="1:12" x14ac:dyDescent="0.35">
      <c r="A5" s="1"/>
      <c r="B5" s="1" t="s">
        <v>534</v>
      </c>
      <c r="C5" s="1" t="s">
        <v>535</v>
      </c>
      <c r="D5" s="1" t="s">
        <v>536</v>
      </c>
      <c r="I5" s="1"/>
      <c r="J5" s="1" t="s">
        <v>534</v>
      </c>
      <c r="K5" s="1" t="s">
        <v>535</v>
      </c>
      <c r="L5" s="1" t="s">
        <v>536</v>
      </c>
    </row>
    <row r="6" spans="1:12" x14ac:dyDescent="0.35">
      <c r="A6" s="1"/>
      <c r="B6" t="s">
        <v>538</v>
      </c>
      <c r="C6" t="s">
        <v>539</v>
      </c>
      <c r="D6" t="s">
        <v>537</v>
      </c>
      <c r="I6" s="1"/>
      <c r="J6" t="s">
        <v>538</v>
      </c>
      <c r="K6" t="s">
        <v>539</v>
      </c>
      <c r="L6" t="s">
        <v>537</v>
      </c>
    </row>
    <row r="7" spans="1:12" x14ac:dyDescent="0.35">
      <c r="B7" s="25" t="s">
        <v>591</v>
      </c>
      <c r="C7" s="25" t="s">
        <v>591</v>
      </c>
      <c r="D7" s="25" t="s">
        <v>591</v>
      </c>
      <c r="J7" s="25" t="s">
        <v>591</v>
      </c>
      <c r="K7" s="25" t="s">
        <v>591</v>
      </c>
      <c r="L7" s="25" t="s">
        <v>591</v>
      </c>
    </row>
    <row r="8" spans="1:12" x14ac:dyDescent="0.35">
      <c r="B8" s="25" t="s">
        <v>434</v>
      </c>
      <c r="C8" s="25" t="s">
        <v>435</v>
      </c>
      <c r="D8" s="25" t="s">
        <v>436</v>
      </c>
      <c r="J8" s="25" t="s">
        <v>434</v>
      </c>
      <c r="K8" s="25" t="s">
        <v>435</v>
      </c>
      <c r="L8" s="25" t="s">
        <v>436</v>
      </c>
    </row>
    <row r="9" spans="1:12" x14ac:dyDescent="0.35">
      <c r="A9" t="s">
        <v>675</v>
      </c>
      <c r="B9" s="20">
        <f>SUM(J9:J13)</f>
        <v>3703.1479999999997</v>
      </c>
      <c r="C9" s="20">
        <f>SUM(K9:K13)</f>
        <v>1976.0540000000001</v>
      </c>
      <c r="D9" s="7">
        <f t="shared" ref="D9:D18" si="0">IF(C9&gt;0,B9/C9,0)</f>
        <v>1.8740115401704607</v>
      </c>
      <c r="I9" t="s">
        <v>135</v>
      </c>
      <c r="J9" s="20">
        <v>3391.924</v>
      </c>
      <c r="K9" s="20">
        <v>1732.5160000000001</v>
      </c>
      <c r="L9" s="7">
        <v>1.957802409905594</v>
      </c>
    </row>
    <row r="10" spans="1:12" x14ac:dyDescent="0.35">
      <c r="A10" t="s">
        <v>138</v>
      </c>
      <c r="B10" s="20">
        <f>J14</f>
        <v>690.77700000000004</v>
      </c>
      <c r="C10" s="20">
        <f>K14</f>
        <v>735.41599999999994</v>
      </c>
      <c r="D10" s="7">
        <f t="shared" si="0"/>
        <v>0.93930102146268246</v>
      </c>
      <c r="I10" t="s">
        <v>275</v>
      </c>
      <c r="J10" s="20">
        <v>177.93</v>
      </c>
      <c r="K10" s="20">
        <v>172.249</v>
      </c>
      <c r="L10" s="7">
        <v>1.0329813235490481</v>
      </c>
    </row>
    <row r="11" spans="1:12" x14ac:dyDescent="0.35">
      <c r="A11" t="s">
        <v>140</v>
      </c>
      <c r="B11" s="20">
        <f>SUM(J15:J16)</f>
        <v>576.45799999999997</v>
      </c>
      <c r="C11" s="20">
        <f>SUM(K15:K16)</f>
        <v>611.68000000000006</v>
      </c>
      <c r="D11" s="7">
        <f t="shared" si="0"/>
        <v>0.94241760397593499</v>
      </c>
      <c r="I11" t="s">
        <v>136</v>
      </c>
      <c r="J11" s="20">
        <v>132.72800000000001</v>
      </c>
      <c r="K11" s="20">
        <v>70.572999999999993</v>
      </c>
      <c r="L11" s="7">
        <v>1.8807192552392562</v>
      </c>
    </row>
    <row r="12" spans="1:12" x14ac:dyDescent="0.35">
      <c r="A12" t="s">
        <v>142</v>
      </c>
      <c r="B12" s="20">
        <f>SUM(J17:J20)</f>
        <v>13190.652</v>
      </c>
      <c r="C12" s="20">
        <f>SUM(K17:K20)</f>
        <v>602.947</v>
      </c>
      <c r="D12" s="7">
        <f t="shared" si="0"/>
        <v>21.876967627337063</v>
      </c>
      <c r="I12" t="s">
        <v>276</v>
      </c>
      <c r="J12" s="20">
        <v>0.56599999999999995</v>
      </c>
      <c r="K12" s="20">
        <v>0.71599999999999997</v>
      </c>
      <c r="L12" s="7">
        <v>0.7905027932960893</v>
      </c>
    </row>
    <row r="13" spans="1:12" x14ac:dyDescent="0.35">
      <c r="A13" t="s">
        <v>143</v>
      </c>
      <c r="B13" s="20">
        <f>SUM(J21:J22)</f>
        <v>1664.9150000000002</v>
      </c>
      <c r="C13" s="20">
        <f>SUM(K21:K22)</f>
        <v>140.922</v>
      </c>
      <c r="D13" s="7">
        <f t="shared" si="0"/>
        <v>11.814443450987072</v>
      </c>
      <c r="I13" t="s">
        <v>137</v>
      </c>
      <c r="J13" s="20">
        <v>0</v>
      </c>
      <c r="K13" s="20">
        <v>0</v>
      </c>
      <c r="L13" s="7">
        <v>0</v>
      </c>
    </row>
    <row r="14" spans="1:12" x14ac:dyDescent="0.35">
      <c r="A14" t="s">
        <v>147</v>
      </c>
      <c r="B14" s="20">
        <f>SUM(J26:J29)</f>
        <v>3250.7739999999999</v>
      </c>
      <c r="C14" s="20">
        <f>SUM(K26:K29)</f>
        <v>268.87321812895101</v>
      </c>
      <c r="D14" s="7">
        <f t="shared" si="0"/>
        <v>12.090359994281528</v>
      </c>
      <c r="I14" t="s">
        <v>138</v>
      </c>
      <c r="J14" s="20">
        <v>690.77700000000004</v>
      </c>
      <c r="K14" s="20">
        <v>735.41599999999994</v>
      </c>
      <c r="L14" s="7">
        <v>0.93930102146268246</v>
      </c>
    </row>
    <row r="15" spans="1:12" x14ac:dyDescent="0.35">
      <c r="A15" s="32" t="s">
        <v>724</v>
      </c>
      <c r="B15" s="11">
        <f>SUM(J23,J30:J32)</f>
        <v>2940.1210000000001</v>
      </c>
      <c r="C15" s="11">
        <f>SUM(K23,K30:K32)</f>
        <v>50.005000000000003</v>
      </c>
      <c r="D15" s="7">
        <f t="shared" si="0"/>
        <v>58.796540345965404</v>
      </c>
      <c r="I15" t="s">
        <v>139</v>
      </c>
      <c r="J15" s="20">
        <v>350</v>
      </c>
      <c r="K15" s="20">
        <v>400</v>
      </c>
      <c r="L15" s="7">
        <v>0.875</v>
      </c>
    </row>
    <row r="16" spans="1:12" x14ac:dyDescent="0.35">
      <c r="A16" t="s">
        <v>148</v>
      </c>
      <c r="B16" s="20">
        <f>SUM(J24:J25,J33:J35)</f>
        <v>122.21299999999999</v>
      </c>
      <c r="C16" s="20">
        <f>SUM(K24:K25,K33:K35)</f>
        <v>178.65200000000002</v>
      </c>
      <c r="D16" s="7">
        <f t="shared" si="0"/>
        <v>0.68408414123547445</v>
      </c>
      <c r="I16" t="s">
        <v>140</v>
      </c>
      <c r="J16" s="20">
        <v>226.458</v>
      </c>
      <c r="K16" s="20">
        <v>211.68</v>
      </c>
      <c r="L16" s="7">
        <v>1.0698129251700679</v>
      </c>
    </row>
    <row r="17" spans="1:12" x14ac:dyDescent="0.35">
      <c r="A17" t="s">
        <v>676</v>
      </c>
      <c r="B17" s="20">
        <f>SUM(J36,J38:J41)</f>
        <v>504.21900000000005</v>
      </c>
      <c r="C17" s="20">
        <f>SUM(K36,K38:K41)</f>
        <v>4198.8236999999999</v>
      </c>
      <c r="D17" s="7">
        <f t="shared" si="0"/>
        <v>0.12008577545182478</v>
      </c>
      <c r="I17" t="s">
        <v>141</v>
      </c>
      <c r="J17" s="20">
        <v>5708.0320000000002</v>
      </c>
      <c r="K17" s="20">
        <v>242.45400000000001</v>
      </c>
      <c r="L17" s="7">
        <v>23.542742128403738</v>
      </c>
    </row>
    <row r="18" spans="1:12" x14ac:dyDescent="0.35">
      <c r="A18" t="s">
        <v>281</v>
      </c>
      <c r="B18" s="20">
        <f>J37</f>
        <v>202.965</v>
      </c>
      <c r="C18" s="20">
        <f>K37</f>
        <v>287.42304100000001</v>
      </c>
      <c r="D18" s="7">
        <f t="shared" si="0"/>
        <v>0.70615424321531683</v>
      </c>
      <c r="I18" t="s">
        <v>542</v>
      </c>
      <c r="J18" s="20">
        <v>1113.077</v>
      </c>
      <c r="K18" s="20">
        <v>70.31</v>
      </c>
      <c r="L18" s="7">
        <v>15.830991324135969</v>
      </c>
    </row>
    <row r="19" spans="1:12" x14ac:dyDescent="0.35">
      <c r="B19" s="20"/>
      <c r="C19" s="20"/>
      <c r="D19" s="7"/>
      <c r="I19" t="s">
        <v>543</v>
      </c>
      <c r="J19" s="20">
        <v>6369.5429999999997</v>
      </c>
      <c r="K19" s="20">
        <v>290.18299999999999</v>
      </c>
      <c r="L19" s="7">
        <v>21.950090115547773</v>
      </c>
    </row>
    <row r="20" spans="1:12" x14ac:dyDescent="0.35">
      <c r="B20" s="20"/>
      <c r="C20" s="20"/>
      <c r="D20" s="7"/>
      <c r="I20" t="s">
        <v>142</v>
      </c>
      <c r="J20" s="20">
        <v>0</v>
      </c>
      <c r="K20" s="20">
        <v>0</v>
      </c>
      <c r="L20" s="7">
        <v>0</v>
      </c>
    </row>
    <row r="21" spans="1:12" x14ac:dyDescent="0.35">
      <c r="B21" s="20"/>
      <c r="C21" s="20"/>
      <c r="D21" s="7"/>
      <c r="I21" t="s">
        <v>544</v>
      </c>
      <c r="J21" s="20">
        <v>1217.6860000000001</v>
      </c>
      <c r="K21" s="20">
        <v>56.54</v>
      </c>
      <c r="L21" s="7">
        <v>21.536717368234882</v>
      </c>
    </row>
    <row r="22" spans="1:12" x14ac:dyDescent="0.35">
      <c r="B22" s="20"/>
      <c r="C22" s="20"/>
      <c r="D22" s="7"/>
      <c r="I22" t="s">
        <v>143</v>
      </c>
      <c r="J22" s="20">
        <v>447.22899999999998</v>
      </c>
      <c r="K22" s="20">
        <v>84.381999999999991</v>
      </c>
      <c r="L22" s="7">
        <v>5.3000521438221426</v>
      </c>
    </row>
    <row r="23" spans="1:12" x14ac:dyDescent="0.35">
      <c r="B23" s="20"/>
      <c r="C23" s="20"/>
      <c r="D23" s="7"/>
      <c r="I23" t="s">
        <v>144</v>
      </c>
      <c r="J23" s="20">
        <v>2881</v>
      </c>
      <c r="K23" s="20">
        <v>26.774999999999999</v>
      </c>
      <c r="L23" s="7">
        <v>107.60037348272643</v>
      </c>
    </row>
    <row r="24" spans="1:12" x14ac:dyDescent="0.35">
      <c r="B24" s="20"/>
      <c r="C24" s="20"/>
      <c r="D24" s="7"/>
      <c r="I24" t="s">
        <v>145</v>
      </c>
      <c r="J24" s="20">
        <v>100.327</v>
      </c>
      <c r="K24" s="20">
        <v>94.915000000000006</v>
      </c>
      <c r="L24" s="7">
        <v>1.0570194384449243</v>
      </c>
    </row>
    <row r="25" spans="1:12" x14ac:dyDescent="0.35">
      <c r="B25" s="20"/>
      <c r="C25" s="20"/>
      <c r="D25" s="7"/>
      <c r="I25" t="s">
        <v>146</v>
      </c>
      <c r="J25" s="20">
        <v>19.667000000000002</v>
      </c>
      <c r="K25" s="20">
        <v>80.593000000000004</v>
      </c>
      <c r="L25" s="7">
        <v>0.24402863772287917</v>
      </c>
    </row>
    <row r="26" spans="1:12" x14ac:dyDescent="0.35">
      <c r="B26" s="20"/>
      <c r="C26" s="20"/>
      <c r="D26" s="7"/>
      <c r="I26" t="s">
        <v>545</v>
      </c>
      <c r="J26" s="20">
        <v>4.9400000000000004</v>
      </c>
      <c r="K26" s="20">
        <v>4.8049999999999997</v>
      </c>
      <c r="L26" s="7">
        <v>1.0280957336108223</v>
      </c>
    </row>
    <row r="27" spans="1:12" x14ac:dyDescent="0.35">
      <c r="B27" s="20"/>
      <c r="C27" s="20"/>
      <c r="D27" s="7"/>
      <c r="I27" t="s">
        <v>546</v>
      </c>
      <c r="J27" s="20">
        <v>404.91699999999997</v>
      </c>
      <c r="K27" s="20">
        <v>39.15821812895102</v>
      </c>
      <c r="L27" s="7">
        <v>10.340536912751679</v>
      </c>
    </row>
    <row r="28" spans="1:12" x14ac:dyDescent="0.35">
      <c r="B28" s="20"/>
      <c r="C28" s="20"/>
      <c r="D28" s="7"/>
      <c r="I28" t="s">
        <v>592</v>
      </c>
      <c r="J28" s="20">
        <v>385.185</v>
      </c>
      <c r="K28" s="20">
        <v>37.25</v>
      </c>
      <c r="L28" s="7">
        <v>10.340536912751677</v>
      </c>
    </row>
    <row r="29" spans="1:12" x14ac:dyDescent="0.35">
      <c r="B29" s="20"/>
      <c r="C29" s="20"/>
      <c r="D29" s="7"/>
      <c r="I29" t="s">
        <v>147</v>
      </c>
      <c r="J29" s="20">
        <v>2455.732</v>
      </c>
      <c r="K29" s="20">
        <v>187.66</v>
      </c>
      <c r="L29" s="7">
        <v>13.086070553127998</v>
      </c>
    </row>
    <row r="30" spans="1:12" x14ac:dyDescent="0.35">
      <c r="B30" s="20"/>
      <c r="C30" s="20"/>
      <c r="D30" s="7"/>
      <c r="I30" t="s">
        <v>279</v>
      </c>
      <c r="J30" s="20">
        <v>48.121000000000002</v>
      </c>
      <c r="K30" s="20">
        <v>18.145</v>
      </c>
      <c r="L30" s="7">
        <v>2.6520253513364564</v>
      </c>
    </row>
    <row r="31" spans="1:12" x14ac:dyDescent="0.35">
      <c r="B31" s="20"/>
      <c r="C31" s="20"/>
      <c r="D31" s="7"/>
      <c r="I31" t="s">
        <v>278</v>
      </c>
      <c r="J31" s="20">
        <v>11</v>
      </c>
      <c r="K31" s="20">
        <v>5.085</v>
      </c>
      <c r="L31" s="7">
        <v>2.1632251720747298</v>
      </c>
    </row>
    <row r="32" spans="1:12" x14ac:dyDescent="0.35">
      <c r="B32" s="20"/>
      <c r="C32" s="20"/>
      <c r="D32" s="7"/>
      <c r="I32" t="s">
        <v>277</v>
      </c>
      <c r="J32" s="20">
        <v>0</v>
      </c>
      <c r="K32" s="20">
        <v>0</v>
      </c>
      <c r="L32" s="7">
        <v>0</v>
      </c>
    </row>
    <row r="33" spans="1:12" x14ac:dyDescent="0.35">
      <c r="B33" s="20"/>
      <c r="C33" s="20"/>
      <c r="D33" s="7"/>
      <c r="I33" t="s">
        <v>280</v>
      </c>
      <c r="J33" s="20">
        <v>0</v>
      </c>
      <c r="K33" s="20">
        <v>0</v>
      </c>
      <c r="L33" s="7">
        <v>0</v>
      </c>
    </row>
    <row r="34" spans="1:12" x14ac:dyDescent="0.35">
      <c r="B34" s="20"/>
      <c r="C34" s="20"/>
      <c r="D34" s="7"/>
      <c r="I34" t="s">
        <v>551</v>
      </c>
      <c r="J34" s="20">
        <v>0</v>
      </c>
      <c r="K34" s="20">
        <v>0</v>
      </c>
      <c r="L34" s="7">
        <v>0</v>
      </c>
    </row>
    <row r="35" spans="1:12" x14ac:dyDescent="0.35">
      <c r="A35" s="26"/>
      <c r="B35" s="27"/>
      <c r="C35" s="27"/>
      <c r="D35" s="28"/>
      <c r="I35" s="26" t="s">
        <v>148</v>
      </c>
      <c r="J35" s="27">
        <v>2.2190000000000003</v>
      </c>
      <c r="K35" s="27">
        <v>3.1440000000000001</v>
      </c>
      <c r="L35" s="28">
        <v>0.70578880407124689</v>
      </c>
    </row>
    <row r="36" spans="1:12" x14ac:dyDescent="0.35">
      <c r="B36" s="20"/>
      <c r="C36" s="20"/>
      <c r="D36" s="7"/>
      <c r="I36" t="s">
        <v>149</v>
      </c>
      <c r="J36" s="20">
        <v>55.158000000000001</v>
      </c>
      <c r="K36" s="20">
        <v>356.8236</v>
      </c>
      <c r="L36" s="7">
        <v>0.15458058267446437</v>
      </c>
    </row>
    <row r="37" spans="1:12" x14ac:dyDescent="0.35">
      <c r="B37" s="20"/>
      <c r="C37" s="20"/>
      <c r="D37" s="7"/>
      <c r="I37" t="s">
        <v>281</v>
      </c>
      <c r="J37" s="20">
        <v>202.965</v>
      </c>
      <c r="K37" s="20">
        <v>287.42304100000001</v>
      </c>
      <c r="L37" s="7">
        <v>0.70615424321531683</v>
      </c>
    </row>
    <row r="38" spans="1:12" x14ac:dyDescent="0.35">
      <c r="B38" s="20"/>
      <c r="C38" s="20"/>
      <c r="D38" s="7"/>
      <c r="I38" t="s">
        <v>150</v>
      </c>
      <c r="J38" s="20">
        <v>105.248</v>
      </c>
      <c r="K38" s="20">
        <v>415.77</v>
      </c>
      <c r="L38" s="7">
        <v>0.2531399571878683</v>
      </c>
    </row>
    <row r="39" spans="1:12" x14ac:dyDescent="0.35">
      <c r="B39" s="20"/>
      <c r="C39" s="20"/>
      <c r="D39" s="7"/>
      <c r="I39" t="s">
        <v>547</v>
      </c>
      <c r="J39" s="20">
        <v>22.908000000000001</v>
      </c>
      <c r="K39" s="20">
        <v>51.78</v>
      </c>
      <c r="L39" s="7">
        <v>0.44241019698725376</v>
      </c>
    </row>
    <row r="40" spans="1:12" x14ac:dyDescent="0.35">
      <c r="B40" s="20"/>
      <c r="C40" s="20"/>
      <c r="D40" s="7"/>
      <c r="I40" t="s">
        <v>282</v>
      </c>
      <c r="J40" s="20">
        <v>50.904999999999994</v>
      </c>
      <c r="K40" s="20">
        <v>658.00810000000013</v>
      </c>
      <c r="L40" s="7">
        <v>7.7362269552608831E-2</v>
      </c>
    </row>
    <row r="41" spans="1:12" x14ac:dyDescent="0.35">
      <c r="B41" s="20"/>
      <c r="C41" s="20"/>
      <c r="D41" s="7"/>
      <c r="I41" t="s">
        <v>283</v>
      </c>
      <c r="J41" s="20">
        <v>270</v>
      </c>
      <c r="K41" s="20">
        <v>2716.442</v>
      </c>
      <c r="L41" s="7">
        <v>9.9394722950094272E-2</v>
      </c>
    </row>
    <row r="42" spans="1:12" x14ac:dyDescent="0.35">
      <c r="B42" s="20"/>
      <c r="J42" s="20"/>
    </row>
    <row r="43" spans="1:12" x14ac:dyDescent="0.35">
      <c r="B43" s="20"/>
      <c r="J43" s="20"/>
    </row>
    <row r="44" spans="1:12" x14ac:dyDescent="0.35">
      <c r="B44" s="20"/>
      <c r="J44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499984740745262"/>
  </sheetPr>
  <dimension ref="A1:BU85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Q20" sqref="Q20"/>
    </sheetView>
  </sheetViews>
  <sheetFormatPr defaultRowHeight="14.5" x14ac:dyDescent="0.35"/>
  <sheetData>
    <row r="1" spans="1:73" ht="18.5" x14ac:dyDescent="0.45">
      <c r="A1" s="5" t="s">
        <v>439</v>
      </c>
    </row>
    <row r="2" spans="1:73" x14ac:dyDescent="0.35">
      <c r="A2" s="3" t="s">
        <v>364</v>
      </c>
      <c r="B2" s="4" t="s">
        <v>462</v>
      </c>
    </row>
    <row r="4" spans="1:73" x14ac:dyDescent="0.35">
      <c r="C4" s="19" t="s">
        <v>540</v>
      </c>
      <c r="H4" s="19" t="s">
        <v>540</v>
      </c>
      <c r="I4" s="19" t="s">
        <v>540</v>
      </c>
      <c r="J4" s="19" t="s">
        <v>540</v>
      </c>
      <c r="K4" s="19" t="s">
        <v>540</v>
      </c>
      <c r="L4" s="19"/>
      <c r="M4" s="19"/>
      <c r="O4" s="19" t="s">
        <v>540</v>
      </c>
      <c r="P4" s="19" t="s">
        <v>540</v>
      </c>
      <c r="Q4" s="19" t="s">
        <v>540</v>
      </c>
      <c r="R4" s="19" t="s">
        <v>540</v>
      </c>
      <c r="S4" s="19" t="s">
        <v>540</v>
      </c>
      <c r="T4" s="19" t="s">
        <v>540</v>
      </c>
      <c r="U4" s="19" t="s">
        <v>540</v>
      </c>
      <c r="V4" s="19" t="s">
        <v>540</v>
      </c>
    </row>
    <row r="5" spans="1:73" x14ac:dyDescent="0.35">
      <c r="A5" s="1" t="s">
        <v>440</v>
      </c>
      <c r="C5" s="1" t="s">
        <v>441</v>
      </c>
      <c r="G5" s="1" t="s">
        <v>460</v>
      </c>
      <c r="N5" s="1" t="s">
        <v>460</v>
      </c>
    </row>
    <row r="6" spans="1:73" x14ac:dyDescent="0.35">
      <c r="A6" t="s">
        <v>359</v>
      </c>
      <c r="C6" t="s">
        <v>359</v>
      </c>
      <c r="D6" t="s">
        <v>250</v>
      </c>
      <c r="G6" s="20"/>
      <c r="H6" s="20" t="s">
        <v>552</v>
      </c>
      <c r="I6" s="20" t="s">
        <v>553</v>
      </c>
      <c r="J6" s="20" t="s">
        <v>554</v>
      </c>
      <c r="K6" s="20" t="s">
        <v>555</v>
      </c>
      <c r="L6" s="20"/>
      <c r="M6" s="20"/>
      <c r="N6" s="20"/>
      <c r="O6" s="20" t="s">
        <v>294</v>
      </c>
      <c r="P6" s="20" t="s">
        <v>210</v>
      </c>
      <c r="Q6" s="20" t="s">
        <v>211</v>
      </c>
      <c r="R6" s="20" t="s">
        <v>212</v>
      </c>
      <c r="S6" s="20" t="s">
        <v>295</v>
      </c>
      <c r="T6" s="20" t="s">
        <v>213</v>
      </c>
      <c r="U6" s="20" t="s">
        <v>214</v>
      </c>
      <c r="V6" s="20" t="s">
        <v>215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 x14ac:dyDescent="0.35">
      <c r="A7" t="s">
        <v>442</v>
      </c>
      <c r="C7" s="17" t="s">
        <v>504</v>
      </c>
      <c r="D7" t="s">
        <v>675</v>
      </c>
      <c r="G7" t="s">
        <v>442</v>
      </c>
      <c r="H7" s="20">
        <f>O7</f>
        <v>527.80163392832719</v>
      </c>
      <c r="I7" s="20">
        <f t="shared" ref="I7:I41" si="0">P7</f>
        <v>922.36662880062204</v>
      </c>
      <c r="J7" s="20">
        <f t="shared" ref="J7:J41" si="1">Q7</f>
        <v>1557.9343347407635</v>
      </c>
      <c r="K7" s="20">
        <f t="shared" ref="K7:K41" si="2">R7</f>
        <v>2874.2261720824445</v>
      </c>
      <c r="L7" s="20"/>
      <c r="M7" s="20"/>
      <c r="N7" t="s">
        <v>442</v>
      </c>
      <c r="O7" s="20">
        <v>527.80163392832719</v>
      </c>
      <c r="P7" s="20">
        <v>922.36662880062204</v>
      </c>
      <c r="Q7" s="20">
        <v>1557.9343347407635</v>
      </c>
      <c r="R7" s="20">
        <v>2874.2261720824445</v>
      </c>
      <c r="S7" s="20">
        <v>527.80163392832719</v>
      </c>
      <c r="T7" s="20">
        <v>922.36662880062204</v>
      </c>
      <c r="U7" s="20">
        <v>1557.9343347407635</v>
      </c>
      <c r="V7" s="20">
        <v>2874.2261720824445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 x14ac:dyDescent="0.35">
      <c r="A8" t="s">
        <v>504</v>
      </c>
      <c r="C8" s="17" t="s">
        <v>506</v>
      </c>
      <c r="D8" t="s">
        <v>138</v>
      </c>
      <c r="G8" t="s">
        <v>504</v>
      </c>
      <c r="H8" s="20">
        <f t="shared" ref="H8:H41" si="3">O8</f>
        <v>527.80163392832719</v>
      </c>
      <c r="I8" s="20">
        <f t="shared" si="0"/>
        <v>922.36662880062204</v>
      </c>
      <c r="J8" s="20">
        <f t="shared" si="1"/>
        <v>1557.9343347407635</v>
      </c>
      <c r="K8" s="20">
        <f t="shared" si="2"/>
        <v>2874.2261720824445</v>
      </c>
      <c r="L8" s="20"/>
      <c r="M8" s="20"/>
      <c r="N8" t="s">
        <v>504</v>
      </c>
      <c r="O8" s="20">
        <v>527.80163392832719</v>
      </c>
      <c r="P8" s="20">
        <v>922.36662880062204</v>
      </c>
      <c r="Q8" s="20">
        <v>1557.9343347407635</v>
      </c>
      <c r="R8" s="20">
        <v>2874.2261720824445</v>
      </c>
      <c r="S8" s="20">
        <v>527.80163392832719</v>
      </c>
      <c r="T8" s="20">
        <v>922.36662880062204</v>
      </c>
      <c r="U8" s="20">
        <v>1557.9343347407635</v>
      </c>
      <c r="V8" s="20">
        <v>2874.2261720824445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 x14ac:dyDescent="0.35">
      <c r="A9" t="s">
        <v>506</v>
      </c>
      <c r="C9" s="17" t="s">
        <v>507</v>
      </c>
      <c r="D9" t="s">
        <v>140</v>
      </c>
      <c r="G9" t="s">
        <v>506</v>
      </c>
      <c r="H9" s="20">
        <f t="shared" si="3"/>
        <v>527.80163392832719</v>
      </c>
      <c r="I9" s="20">
        <f t="shared" si="0"/>
        <v>922.36662880062204</v>
      </c>
      <c r="J9" s="20">
        <f t="shared" si="1"/>
        <v>1557.9343347407635</v>
      </c>
      <c r="K9" s="20">
        <f t="shared" si="2"/>
        <v>2874.2261720824445</v>
      </c>
      <c r="L9" s="20"/>
      <c r="M9" s="20"/>
      <c r="N9" t="s">
        <v>506</v>
      </c>
      <c r="O9" s="20">
        <v>527.80163392832719</v>
      </c>
      <c r="P9" s="20">
        <v>922.36662880062204</v>
      </c>
      <c r="Q9" s="20">
        <v>1557.9343347407635</v>
      </c>
      <c r="R9" s="20">
        <v>2874.2261720824445</v>
      </c>
      <c r="S9" s="20">
        <v>527.80163392832719</v>
      </c>
      <c r="T9" s="20">
        <v>922.36662880062204</v>
      </c>
      <c r="U9" s="20">
        <v>1557.9343347407635</v>
      </c>
      <c r="V9" s="20">
        <v>2874.2261720824445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 x14ac:dyDescent="0.35">
      <c r="A10" t="s">
        <v>507</v>
      </c>
      <c r="C10" s="17" t="s">
        <v>505</v>
      </c>
      <c r="D10" t="s">
        <v>142</v>
      </c>
      <c r="G10" t="s">
        <v>507</v>
      </c>
      <c r="H10" s="20">
        <f t="shared" si="3"/>
        <v>527.80163392832719</v>
      </c>
      <c r="I10" s="20">
        <f t="shared" si="0"/>
        <v>922.36662880062204</v>
      </c>
      <c r="J10" s="20">
        <f t="shared" si="1"/>
        <v>1557.9343347407635</v>
      </c>
      <c r="K10" s="20">
        <f t="shared" si="2"/>
        <v>2874.2261720824445</v>
      </c>
      <c r="L10" s="20"/>
      <c r="M10" s="20"/>
      <c r="N10" t="s">
        <v>507</v>
      </c>
      <c r="O10" s="20">
        <v>527.80163392832719</v>
      </c>
      <c r="P10" s="20">
        <v>922.36662880062204</v>
      </c>
      <c r="Q10" s="20">
        <v>1557.9343347407635</v>
      </c>
      <c r="R10" s="20">
        <v>2874.2261720824445</v>
      </c>
      <c r="S10" s="20">
        <v>527.80163392832719</v>
      </c>
      <c r="T10" s="20">
        <v>922.36662880062204</v>
      </c>
      <c r="U10" s="20">
        <v>1557.9343347407635</v>
      </c>
      <c r="V10" s="20">
        <v>2874.2261720824445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 x14ac:dyDescent="0.35">
      <c r="A11" t="s">
        <v>505</v>
      </c>
      <c r="C11" s="17" t="s">
        <v>508</v>
      </c>
      <c r="D11" t="s">
        <v>143</v>
      </c>
      <c r="G11" t="s">
        <v>505</v>
      </c>
      <c r="H11" s="20">
        <f t="shared" si="3"/>
        <v>527.80163392832719</v>
      </c>
      <c r="I11" s="20">
        <f t="shared" si="0"/>
        <v>922.36662880062204</v>
      </c>
      <c r="J11" s="20">
        <f t="shared" si="1"/>
        <v>1557.9343347407635</v>
      </c>
      <c r="K11" s="20">
        <f t="shared" si="2"/>
        <v>2874.2261720824445</v>
      </c>
      <c r="L11" s="20"/>
      <c r="M11" s="20"/>
      <c r="N11" t="s">
        <v>505</v>
      </c>
      <c r="O11" s="20">
        <v>527.80163392832719</v>
      </c>
      <c r="P11" s="20">
        <v>922.36662880062204</v>
      </c>
      <c r="Q11" s="20">
        <v>1557.9343347407635</v>
      </c>
      <c r="R11" s="20">
        <v>2874.2261720824445</v>
      </c>
      <c r="S11" s="20">
        <v>527.80163392832719</v>
      </c>
      <c r="T11" s="20">
        <v>922.36662880062204</v>
      </c>
      <c r="U11" s="20">
        <v>1557.9343347407635</v>
      </c>
      <c r="V11" s="20">
        <v>2874.2261720824445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 x14ac:dyDescent="0.35">
      <c r="A12" t="s">
        <v>508</v>
      </c>
      <c r="C12" s="17" t="s">
        <v>509</v>
      </c>
      <c r="D12" t="s">
        <v>147</v>
      </c>
      <c r="G12" t="s">
        <v>508</v>
      </c>
      <c r="H12" s="20">
        <f t="shared" si="3"/>
        <v>527.80163392832719</v>
      </c>
      <c r="I12" s="20">
        <f t="shared" si="0"/>
        <v>922.36662880062204</v>
      </c>
      <c r="J12" s="20">
        <f t="shared" si="1"/>
        <v>1557.9343347407635</v>
      </c>
      <c r="K12" s="20">
        <f t="shared" si="2"/>
        <v>2874.2261720824445</v>
      </c>
      <c r="L12" s="20"/>
      <c r="M12" s="20"/>
      <c r="N12" t="s">
        <v>508</v>
      </c>
      <c r="O12" s="20">
        <v>527.80163392832719</v>
      </c>
      <c r="P12" s="20">
        <v>922.36662880062204</v>
      </c>
      <c r="Q12" s="20">
        <v>1557.9343347407635</v>
      </c>
      <c r="R12" s="20">
        <v>2874.2261720824445</v>
      </c>
      <c r="S12" s="20">
        <v>527.80163392832719</v>
      </c>
      <c r="T12" s="20">
        <v>922.36662880062204</v>
      </c>
      <c r="U12" s="20">
        <v>1557.9343347407635</v>
      </c>
      <c r="V12" s="20">
        <v>2874.2261720824445</v>
      </c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 x14ac:dyDescent="0.35">
      <c r="A13" t="s">
        <v>509</v>
      </c>
      <c r="C13" s="17" t="s">
        <v>510</v>
      </c>
      <c r="D13" s="32" t="s">
        <v>724</v>
      </c>
      <c r="G13" t="s">
        <v>509</v>
      </c>
      <c r="H13" s="20">
        <f t="shared" si="3"/>
        <v>527.80163392832719</v>
      </c>
      <c r="I13" s="20">
        <f t="shared" si="0"/>
        <v>922.36662880062204</v>
      </c>
      <c r="J13" s="20">
        <f t="shared" si="1"/>
        <v>1557.9343347407635</v>
      </c>
      <c r="K13" s="20">
        <f t="shared" si="2"/>
        <v>2874.2261720824445</v>
      </c>
      <c r="L13" s="20"/>
      <c r="M13" s="20"/>
      <c r="N13" t="s">
        <v>509</v>
      </c>
      <c r="O13" s="20">
        <v>527.80163392832719</v>
      </c>
      <c r="P13" s="20">
        <v>922.36662880062204</v>
      </c>
      <c r="Q13" s="20">
        <v>1557.9343347407635</v>
      </c>
      <c r="R13" s="20">
        <v>2874.2261720824445</v>
      </c>
      <c r="S13" s="20">
        <v>527.80163392832719</v>
      </c>
      <c r="T13" s="20">
        <v>922.36662880062204</v>
      </c>
      <c r="U13" s="20">
        <v>1557.9343347407635</v>
      </c>
      <c r="V13" s="20">
        <v>2874.2261720824445</v>
      </c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 x14ac:dyDescent="0.35">
      <c r="A14" t="s">
        <v>510</v>
      </c>
      <c r="C14" s="17" t="s">
        <v>510</v>
      </c>
      <c r="D14" t="s">
        <v>148</v>
      </c>
      <c r="G14" t="s">
        <v>510</v>
      </c>
      <c r="H14" s="20">
        <f t="shared" si="3"/>
        <v>527.80163392832719</v>
      </c>
      <c r="I14" s="20">
        <f t="shared" si="0"/>
        <v>922.36662880062204</v>
      </c>
      <c r="J14" s="20">
        <f t="shared" si="1"/>
        <v>1557.9343347407635</v>
      </c>
      <c r="K14" s="20">
        <f t="shared" si="2"/>
        <v>2874.2261720824445</v>
      </c>
      <c r="L14" s="20"/>
      <c r="M14" s="20"/>
      <c r="N14" t="s">
        <v>510</v>
      </c>
      <c r="O14" s="20">
        <v>527.80163392832719</v>
      </c>
      <c r="P14" s="20">
        <v>922.36662880062204</v>
      </c>
      <c r="Q14" s="20">
        <v>1557.9343347407635</v>
      </c>
      <c r="R14" s="20">
        <v>2874.2261720824445</v>
      </c>
      <c r="S14" s="20">
        <v>527.80163392832719</v>
      </c>
      <c r="T14" s="20">
        <v>922.36662880062204</v>
      </c>
      <c r="U14" s="20">
        <v>1557.9343347407635</v>
      </c>
      <c r="V14" s="20">
        <v>2874.2261720824445</v>
      </c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 x14ac:dyDescent="0.35">
      <c r="A15" t="s">
        <v>511</v>
      </c>
      <c r="C15" s="17" t="s">
        <v>443</v>
      </c>
      <c r="D15" t="s">
        <v>676</v>
      </c>
      <c r="G15" t="s">
        <v>511</v>
      </c>
      <c r="H15" s="20">
        <f t="shared" si="3"/>
        <v>527.80163392832719</v>
      </c>
      <c r="I15" s="20">
        <f t="shared" si="0"/>
        <v>922.36662880062204</v>
      </c>
      <c r="J15" s="20">
        <f t="shared" si="1"/>
        <v>1557.9343347407635</v>
      </c>
      <c r="K15" s="20">
        <f t="shared" si="2"/>
        <v>2874.2261720824445</v>
      </c>
      <c r="L15" s="20"/>
      <c r="M15" s="20"/>
      <c r="N15" t="s">
        <v>511</v>
      </c>
      <c r="O15" s="20">
        <v>527.80163392832719</v>
      </c>
      <c r="P15" s="20">
        <v>922.36662880062204</v>
      </c>
      <c r="Q15" s="20">
        <v>1557.9343347407635</v>
      </c>
      <c r="R15" s="20">
        <v>2874.2261720824445</v>
      </c>
      <c r="S15" s="20">
        <v>527.80163392832719</v>
      </c>
      <c r="T15" s="20">
        <v>922.36662880062204</v>
      </c>
      <c r="U15" s="20">
        <v>1557.9343347407635</v>
      </c>
      <c r="V15" s="20">
        <v>2874.2261720824445</v>
      </c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 x14ac:dyDescent="0.35">
      <c r="A16" t="s">
        <v>443</v>
      </c>
      <c r="C16" s="17" t="s">
        <v>443</v>
      </c>
      <c r="D16" t="s">
        <v>281</v>
      </c>
      <c r="G16" t="s">
        <v>443</v>
      </c>
      <c r="H16" s="20">
        <f t="shared" si="3"/>
        <v>527.80163392832719</v>
      </c>
      <c r="I16" s="20">
        <f t="shared" si="0"/>
        <v>922.36662880062204</v>
      </c>
      <c r="J16" s="20">
        <f t="shared" si="1"/>
        <v>1557.9343347407635</v>
      </c>
      <c r="K16" s="20">
        <f t="shared" si="2"/>
        <v>2874.2261720824445</v>
      </c>
      <c r="L16" s="20"/>
      <c r="M16" s="20"/>
      <c r="N16" t="s">
        <v>443</v>
      </c>
      <c r="O16" s="20">
        <v>527.80163392832719</v>
      </c>
      <c r="P16" s="20">
        <v>922.36662880062204</v>
      </c>
      <c r="Q16" s="20">
        <v>1557.9343347407635</v>
      </c>
      <c r="R16" s="20">
        <v>2874.2261720824445</v>
      </c>
      <c r="S16" s="20">
        <v>527.80163392832719</v>
      </c>
      <c r="T16" s="20">
        <v>922.36662880062204</v>
      </c>
      <c r="U16" s="20">
        <v>1557.9343347407635</v>
      </c>
      <c r="V16" s="20">
        <v>2874.2261720824445</v>
      </c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 x14ac:dyDescent="0.35">
      <c r="A17" t="s">
        <v>444</v>
      </c>
      <c r="C17" s="17" t="s">
        <v>512</v>
      </c>
      <c r="D17" t="s">
        <v>151</v>
      </c>
      <c r="G17" t="s">
        <v>444</v>
      </c>
      <c r="H17" s="20">
        <f t="shared" si="3"/>
        <v>527.80163392832719</v>
      </c>
      <c r="I17" s="20">
        <f t="shared" si="0"/>
        <v>922.36662880062204</v>
      </c>
      <c r="J17" s="20">
        <f t="shared" si="1"/>
        <v>1557.9343347407635</v>
      </c>
      <c r="K17" s="20">
        <f t="shared" si="2"/>
        <v>2874.2261720824445</v>
      </c>
      <c r="L17" s="20"/>
      <c r="M17" s="20"/>
      <c r="N17" t="s">
        <v>444</v>
      </c>
      <c r="O17" s="20">
        <v>527.80163392832719</v>
      </c>
      <c r="P17" s="20">
        <v>922.36662880062204</v>
      </c>
      <c r="Q17" s="20">
        <v>1557.9343347407635</v>
      </c>
      <c r="R17" s="20">
        <v>2874.2261720824445</v>
      </c>
      <c r="S17" s="20">
        <v>527.80163392832719</v>
      </c>
      <c r="T17" s="20">
        <v>922.36662880062204</v>
      </c>
      <c r="U17" s="20">
        <v>1557.9343347407635</v>
      </c>
      <c r="V17" s="20">
        <v>2874.2261720824445</v>
      </c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 x14ac:dyDescent="0.35">
      <c r="A18" t="s">
        <v>512</v>
      </c>
      <c r="C18" s="17" t="s">
        <v>513</v>
      </c>
      <c r="D18" t="s">
        <v>152</v>
      </c>
      <c r="G18" t="s">
        <v>512</v>
      </c>
      <c r="H18" s="20">
        <f t="shared" si="3"/>
        <v>527.80163392832719</v>
      </c>
      <c r="I18" s="20">
        <f t="shared" si="0"/>
        <v>922.36662880062204</v>
      </c>
      <c r="J18" s="20">
        <f t="shared" si="1"/>
        <v>1557.9343347407635</v>
      </c>
      <c r="K18" s="20">
        <f t="shared" si="2"/>
        <v>2874.2261720824445</v>
      </c>
      <c r="L18" s="20"/>
      <c r="M18" s="20"/>
      <c r="N18" t="s">
        <v>512</v>
      </c>
      <c r="O18" s="20">
        <v>527.80163392832719</v>
      </c>
      <c r="P18" s="20">
        <v>922.36662880062204</v>
      </c>
      <c r="Q18" s="20">
        <v>1557.9343347407635</v>
      </c>
      <c r="R18" s="20">
        <v>2874.2261720824445</v>
      </c>
      <c r="S18" s="20">
        <v>527.80163392832719</v>
      </c>
      <c r="T18" s="20">
        <v>922.36662880062204</v>
      </c>
      <c r="U18" s="20">
        <v>1557.9343347407635</v>
      </c>
      <c r="V18" s="20">
        <v>2874.2261720824445</v>
      </c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 x14ac:dyDescent="0.35">
      <c r="A19" t="s">
        <v>513</v>
      </c>
      <c r="C19" s="17" t="s">
        <v>445</v>
      </c>
      <c r="D19" t="s">
        <v>714</v>
      </c>
      <c r="G19" t="s">
        <v>513</v>
      </c>
      <c r="H19" s="20">
        <f t="shared" si="3"/>
        <v>527.80163392832719</v>
      </c>
      <c r="I19" s="20">
        <f t="shared" si="0"/>
        <v>922.36662880062204</v>
      </c>
      <c r="J19" s="20">
        <f t="shared" si="1"/>
        <v>1557.9343347407635</v>
      </c>
      <c r="K19" s="20">
        <f t="shared" si="2"/>
        <v>2874.2261720824445</v>
      </c>
      <c r="L19" s="20"/>
      <c r="M19" s="20"/>
      <c r="N19" t="s">
        <v>513</v>
      </c>
      <c r="O19" s="20">
        <v>527.80163392832719</v>
      </c>
      <c r="P19" s="20">
        <v>922.36662880062204</v>
      </c>
      <c r="Q19" s="20">
        <v>1557.9343347407635</v>
      </c>
      <c r="R19" s="20">
        <v>2874.2261720824445</v>
      </c>
      <c r="S19" s="20">
        <v>527.80163392832719</v>
      </c>
      <c r="T19" s="20">
        <v>922.36662880062204</v>
      </c>
      <c r="U19" s="20">
        <v>1557.9343347407635</v>
      </c>
      <c r="V19" s="20">
        <v>2874.2261720824445</v>
      </c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 x14ac:dyDescent="0.35">
      <c r="A20" t="s">
        <v>445</v>
      </c>
      <c r="C20" s="17" t="s">
        <v>445</v>
      </c>
      <c r="D20" t="s">
        <v>677</v>
      </c>
      <c r="G20" t="s">
        <v>445</v>
      </c>
      <c r="H20" s="20">
        <f t="shared" si="3"/>
        <v>5622.8682618654057</v>
      </c>
      <c r="I20" s="20">
        <f t="shared" si="0"/>
        <v>11231.993380047456</v>
      </c>
      <c r="J20" s="20">
        <f t="shared" si="1"/>
        <v>17384.225729733676</v>
      </c>
      <c r="K20" s="20">
        <f t="shared" si="2"/>
        <v>34090.686150222915</v>
      </c>
      <c r="L20" s="20"/>
      <c r="M20" s="20"/>
      <c r="N20" t="s">
        <v>445</v>
      </c>
      <c r="O20" s="20">
        <v>5622.8682618654057</v>
      </c>
      <c r="P20" s="20">
        <v>11231.993380047456</v>
      </c>
      <c r="Q20" s="20">
        <v>17384.225729733676</v>
      </c>
      <c r="R20" s="20">
        <v>34090.686150222915</v>
      </c>
      <c r="S20" s="20">
        <v>5622.8682618654057</v>
      </c>
      <c r="T20" s="20">
        <v>11231.993380047456</v>
      </c>
      <c r="U20" s="20">
        <v>17384.225729733676</v>
      </c>
      <c r="V20" s="20">
        <v>34090.686150222915</v>
      </c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 x14ac:dyDescent="0.35">
      <c r="A21" t="s">
        <v>446</v>
      </c>
      <c r="C21" s="17" t="s">
        <v>446</v>
      </c>
      <c r="D21" t="s">
        <v>153</v>
      </c>
      <c r="G21" t="s">
        <v>446</v>
      </c>
      <c r="H21" s="20">
        <f t="shared" si="3"/>
        <v>6549.2705174991688</v>
      </c>
      <c r="I21" s="20">
        <f t="shared" si="0"/>
        <v>7133.0100991961144</v>
      </c>
      <c r="J21" s="20">
        <f t="shared" si="1"/>
        <v>13363.536770967929</v>
      </c>
      <c r="K21" s="20">
        <f t="shared" si="2"/>
        <v>15070.051501621983</v>
      </c>
      <c r="L21" s="20"/>
      <c r="M21" s="20"/>
      <c r="N21" t="s">
        <v>446</v>
      </c>
      <c r="O21" s="20">
        <v>6549.2705174991688</v>
      </c>
      <c r="P21" s="20">
        <v>7133.0100991961144</v>
      </c>
      <c r="Q21" s="20">
        <v>13363.536770967929</v>
      </c>
      <c r="R21" s="20">
        <v>15070.051501621983</v>
      </c>
      <c r="S21" s="20">
        <v>6549.2705174991688</v>
      </c>
      <c r="T21" s="20">
        <v>7133.0100991961144</v>
      </c>
      <c r="U21" s="20">
        <v>13363.536770967929</v>
      </c>
      <c r="V21" s="20">
        <v>15070.051501621983</v>
      </c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 x14ac:dyDescent="0.35">
      <c r="A22" t="s">
        <v>515</v>
      </c>
      <c r="C22" s="17" t="s">
        <v>446</v>
      </c>
      <c r="D22" t="s">
        <v>284</v>
      </c>
      <c r="G22" t="s">
        <v>515</v>
      </c>
      <c r="H22" s="20">
        <f t="shared" si="3"/>
        <v>6549.2705174991688</v>
      </c>
      <c r="I22" s="20">
        <f t="shared" si="0"/>
        <v>7133.0100991961144</v>
      </c>
      <c r="J22" s="20">
        <f t="shared" si="1"/>
        <v>13363.536770967929</v>
      </c>
      <c r="K22" s="20">
        <f t="shared" si="2"/>
        <v>15070.051501621983</v>
      </c>
      <c r="L22" s="20"/>
      <c r="M22" s="20"/>
      <c r="N22" t="s">
        <v>515</v>
      </c>
      <c r="O22" s="20">
        <v>6549.2705174991688</v>
      </c>
      <c r="P22" s="20">
        <v>7133.0100991961144</v>
      </c>
      <c r="Q22" s="20">
        <v>13363.536770967929</v>
      </c>
      <c r="R22" s="20">
        <v>15070.051501621983</v>
      </c>
      <c r="S22" s="20">
        <v>6549.2705174991688</v>
      </c>
      <c r="T22" s="20">
        <v>7133.0100991961144</v>
      </c>
      <c r="U22" s="20">
        <v>13363.536770967929</v>
      </c>
      <c r="V22" s="20">
        <v>15070.051501621983</v>
      </c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 x14ac:dyDescent="0.35">
      <c r="A23" t="s">
        <v>516</v>
      </c>
      <c r="C23" s="17" t="s">
        <v>446</v>
      </c>
      <c r="D23" t="s">
        <v>286</v>
      </c>
      <c r="G23" t="s">
        <v>516</v>
      </c>
      <c r="H23" s="20">
        <f t="shared" si="3"/>
        <v>6549.2705174991688</v>
      </c>
      <c r="I23" s="20">
        <f t="shared" si="0"/>
        <v>7133.0100991961144</v>
      </c>
      <c r="J23" s="20">
        <f t="shared" si="1"/>
        <v>13363.536770967929</v>
      </c>
      <c r="K23" s="20">
        <f t="shared" si="2"/>
        <v>15070.051501621983</v>
      </c>
      <c r="L23" s="20"/>
      <c r="M23" s="20"/>
      <c r="N23" t="s">
        <v>516</v>
      </c>
      <c r="O23" s="20">
        <v>6549.2705174991688</v>
      </c>
      <c r="P23" s="20">
        <v>7133.0100991961144</v>
      </c>
      <c r="Q23" s="20">
        <v>13363.536770967929</v>
      </c>
      <c r="R23" s="20">
        <v>15070.051501621983</v>
      </c>
      <c r="S23" s="20">
        <v>6549.2705174991688</v>
      </c>
      <c r="T23" s="20">
        <v>7133.0100991961144</v>
      </c>
      <c r="U23" s="20">
        <v>13363.536770967929</v>
      </c>
      <c r="V23" s="20">
        <v>15070.051501621983</v>
      </c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 x14ac:dyDescent="0.35">
      <c r="A24" t="s">
        <v>447</v>
      </c>
      <c r="C24" s="17" t="s">
        <v>446</v>
      </c>
      <c r="D24" t="s">
        <v>287</v>
      </c>
      <c r="G24" t="s">
        <v>447</v>
      </c>
      <c r="H24" s="20">
        <f t="shared" si="3"/>
        <v>6549.2705174991688</v>
      </c>
      <c r="I24" s="20">
        <f t="shared" si="0"/>
        <v>7133.0100991961144</v>
      </c>
      <c r="J24" s="20">
        <f t="shared" si="1"/>
        <v>13363.536770967929</v>
      </c>
      <c r="K24" s="20">
        <f t="shared" si="2"/>
        <v>15070.051501621983</v>
      </c>
      <c r="L24" s="20"/>
      <c r="M24" s="20"/>
      <c r="N24" t="s">
        <v>447</v>
      </c>
      <c r="O24" s="20">
        <v>6549.2705174991688</v>
      </c>
      <c r="P24" s="20">
        <v>7133.0100991961144</v>
      </c>
      <c r="Q24" s="20">
        <v>13363.536770967929</v>
      </c>
      <c r="R24" s="20">
        <v>15070.051501621983</v>
      </c>
      <c r="S24" s="20">
        <v>6549.2705174991688</v>
      </c>
      <c r="T24" s="20">
        <v>7133.0100991961144</v>
      </c>
      <c r="U24" s="20">
        <v>13363.536770967929</v>
      </c>
      <c r="V24" s="20">
        <v>15070.051501621983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 x14ac:dyDescent="0.35">
      <c r="A25" t="s">
        <v>448</v>
      </c>
      <c r="C25" s="17" t="s">
        <v>446</v>
      </c>
      <c r="D25" t="s">
        <v>285</v>
      </c>
      <c r="G25" t="s">
        <v>448</v>
      </c>
      <c r="H25" s="20">
        <f t="shared" si="3"/>
        <v>6549.2705174991688</v>
      </c>
      <c r="I25" s="20">
        <f t="shared" si="0"/>
        <v>7133.0100991961144</v>
      </c>
      <c r="J25" s="20">
        <f t="shared" si="1"/>
        <v>13363.536770967929</v>
      </c>
      <c r="K25" s="20">
        <f t="shared" si="2"/>
        <v>15070.051501621983</v>
      </c>
      <c r="L25" s="20"/>
      <c r="M25" s="20"/>
      <c r="N25" t="s">
        <v>448</v>
      </c>
      <c r="O25" s="20">
        <v>6549.2705174991688</v>
      </c>
      <c r="P25" s="20">
        <v>7133.0100991961144</v>
      </c>
      <c r="Q25" s="20">
        <v>13363.536770967929</v>
      </c>
      <c r="R25" s="20">
        <v>15070.051501621983</v>
      </c>
      <c r="S25" s="20">
        <v>6549.2705174991688</v>
      </c>
      <c r="T25" s="20">
        <v>7133.0100991961144</v>
      </c>
      <c r="U25" s="20">
        <v>13363.536770967929</v>
      </c>
      <c r="V25" s="20">
        <v>15070.051501621983</v>
      </c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 x14ac:dyDescent="0.35">
      <c r="A26" t="s">
        <v>449</v>
      </c>
      <c r="C26" s="17" t="s">
        <v>446</v>
      </c>
      <c r="D26" t="s">
        <v>154</v>
      </c>
      <c r="G26" t="s">
        <v>449</v>
      </c>
      <c r="H26" s="20">
        <f t="shared" si="3"/>
        <v>6549.2705174991688</v>
      </c>
      <c r="I26" s="20">
        <f t="shared" si="0"/>
        <v>7133.0100991961144</v>
      </c>
      <c r="J26" s="20">
        <f t="shared" si="1"/>
        <v>13363.536770967929</v>
      </c>
      <c r="K26" s="20">
        <f t="shared" si="2"/>
        <v>15070.051501621983</v>
      </c>
      <c r="L26" s="20"/>
      <c r="M26" s="20"/>
      <c r="N26" t="s">
        <v>449</v>
      </c>
      <c r="O26" s="20">
        <v>6549.2705174991688</v>
      </c>
      <c r="P26" s="20">
        <v>7133.0100991961144</v>
      </c>
      <c r="Q26" s="20">
        <v>13363.536770967929</v>
      </c>
      <c r="R26" s="20">
        <v>15070.051501621983</v>
      </c>
      <c r="S26" s="20">
        <v>6549.2705174991688</v>
      </c>
      <c r="T26" s="20">
        <v>7133.0100991961144</v>
      </c>
      <c r="U26" s="20">
        <v>13363.536770967929</v>
      </c>
      <c r="V26" s="20">
        <v>15070.051501621983</v>
      </c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 x14ac:dyDescent="0.35">
      <c r="A27" t="s">
        <v>450</v>
      </c>
      <c r="C27" s="17" t="s">
        <v>446</v>
      </c>
      <c r="D27" t="s">
        <v>678</v>
      </c>
      <c r="G27" t="s">
        <v>450</v>
      </c>
      <c r="H27" s="20">
        <f t="shared" si="3"/>
        <v>6549.2705174991688</v>
      </c>
      <c r="I27" s="20">
        <f t="shared" si="0"/>
        <v>7133.0100991961144</v>
      </c>
      <c r="J27" s="20">
        <f t="shared" si="1"/>
        <v>13363.536770967929</v>
      </c>
      <c r="K27" s="20">
        <f t="shared" si="2"/>
        <v>15070.051501621983</v>
      </c>
      <c r="L27" s="20"/>
      <c r="M27" s="20"/>
      <c r="N27" t="s">
        <v>450</v>
      </c>
      <c r="O27" s="20">
        <v>6549.2705174991688</v>
      </c>
      <c r="P27" s="20">
        <v>7133.0100991961144</v>
      </c>
      <c r="Q27" s="20">
        <v>13363.536770967929</v>
      </c>
      <c r="R27" s="20">
        <v>15070.051501621983</v>
      </c>
      <c r="S27" s="20">
        <v>6549.2705174991688</v>
      </c>
      <c r="T27" s="20">
        <v>7133.0100991961144</v>
      </c>
      <c r="U27" s="20">
        <v>13363.536770967929</v>
      </c>
      <c r="V27" s="20">
        <v>15070.051501621983</v>
      </c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 x14ac:dyDescent="0.35">
      <c r="A28" t="s">
        <v>451</v>
      </c>
      <c r="C28" s="17" t="s">
        <v>516</v>
      </c>
      <c r="D28" t="s">
        <v>679</v>
      </c>
      <c r="G28" t="s">
        <v>451</v>
      </c>
      <c r="H28" s="20">
        <f t="shared" si="3"/>
        <v>6549.2705174991688</v>
      </c>
      <c r="I28" s="20">
        <f t="shared" si="0"/>
        <v>7133.0100991961144</v>
      </c>
      <c r="J28" s="20">
        <f t="shared" si="1"/>
        <v>13363.536770967929</v>
      </c>
      <c r="K28" s="20">
        <f t="shared" si="2"/>
        <v>15070.051501621983</v>
      </c>
      <c r="L28" s="20"/>
      <c r="M28" s="20"/>
      <c r="N28" t="s">
        <v>451</v>
      </c>
      <c r="O28" s="20">
        <v>6549.2705174991688</v>
      </c>
      <c r="P28" s="20">
        <v>7133.0100991961144</v>
      </c>
      <c r="Q28" s="20">
        <v>13363.536770967929</v>
      </c>
      <c r="R28" s="20">
        <v>15070.051501621983</v>
      </c>
      <c r="S28" s="20">
        <v>6549.2705174991688</v>
      </c>
      <c r="T28" s="20">
        <v>7133.0100991961144</v>
      </c>
      <c r="U28" s="20">
        <v>13363.536770967929</v>
      </c>
      <c r="V28" s="20">
        <v>15070.051501621983</v>
      </c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 x14ac:dyDescent="0.35">
      <c r="A29" t="s">
        <v>452</v>
      </c>
      <c r="C29" s="17" t="s">
        <v>447</v>
      </c>
      <c r="D29" t="s">
        <v>155</v>
      </c>
      <c r="G29" t="s">
        <v>452</v>
      </c>
      <c r="H29" s="20">
        <f t="shared" si="3"/>
        <v>6549.2705174991688</v>
      </c>
      <c r="I29" s="20">
        <f t="shared" si="0"/>
        <v>7133.0100991961144</v>
      </c>
      <c r="J29" s="20">
        <f t="shared" si="1"/>
        <v>13363.536770967929</v>
      </c>
      <c r="K29" s="20">
        <f t="shared" si="2"/>
        <v>15070.051501621983</v>
      </c>
      <c r="L29" s="20"/>
      <c r="M29" s="20"/>
      <c r="N29" t="s">
        <v>452</v>
      </c>
      <c r="O29" s="20">
        <v>6549.2705174991688</v>
      </c>
      <c r="P29" s="20">
        <v>7133.0100991961144</v>
      </c>
      <c r="Q29" s="20">
        <v>13363.536770967929</v>
      </c>
      <c r="R29" s="20">
        <v>15070.051501621983</v>
      </c>
      <c r="S29" s="20">
        <v>6549.2705174991688</v>
      </c>
      <c r="T29" s="20">
        <v>7133.0100991961144</v>
      </c>
      <c r="U29" s="20">
        <v>13363.536770967929</v>
      </c>
      <c r="V29" s="20">
        <v>15070.051501621983</v>
      </c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 x14ac:dyDescent="0.35">
      <c r="A30" t="s">
        <v>453</v>
      </c>
      <c r="C30" s="17" t="s">
        <v>448</v>
      </c>
      <c r="D30" t="s">
        <v>156</v>
      </c>
      <c r="G30" t="s">
        <v>453</v>
      </c>
      <c r="H30" s="20">
        <f t="shared" si="3"/>
        <v>82047.964608861017</v>
      </c>
      <c r="I30" s="20">
        <f t="shared" si="0"/>
        <v>114351.67714810499</v>
      </c>
      <c r="J30" s="20">
        <f t="shared" si="1"/>
        <v>162934.65899949652</v>
      </c>
      <c r="K30" s="20">
        <f t="shared" si="2"/>
        <v>284137.57337658975</v>
      </c>
      <c r="L30" s="20"/>
      <c r="M30" s="20"/>
      <c r="N30" t="s">
        <v>453</v>
      </c>
      <c r="O30" s="20">
        <v>82047.964608861017</v>
      </c>
      <c r="P30" s="20">
        <v>114351.67714810499</v>
      </c>
      <c r="Q30" s="20">
        <v>162934.65899949652</v>
      </c>
      <c r="R30" s="20">
        <v>284137.57337658975</v>
      </c>
      <c r="S30" s="20">
        <v>82047.964608861017</v>
      </c>
      <c r="T30" s="20">
        <v>114351.67714810499</v>
      </c>
      <c r="U30" s="20">
        <v>162934.65899949652</v>
      </c>
      <c r="V30" s="20">
        <v>284137.57337658975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 x14ac:dyDescent="0.35">
      <c r="A31" t="s">
        <v>454</v>
      </c>
      <c r="C31" s="17" t="s">
        <v>449</v>
      </c>
      <c r="D31" t="s">
        <v>288</v>
      </c>
      <c r="G31" t="s">
        <v>454</v>
      </c>
      <c r="H31" s="20">
        <f t="shared" si="3"/>
        <v>8995.5544664729387</v>
      </c>
      <c r="I31" s="20">
        <f t="shared" si="0"/>
        <v>12798.448164934289</v>
      </c>
      <c r="J31" s="20">
        <f t="shared" si="1"/>
        <v>35051.070253264807</v>
      </c>
      <c r="K31" s="20">
        <f t="shared" si="2"/>
        <v>83128.315249419727</v>
      </c>
      <c r="L31" s="20"/>
      <c r="M31" s="20"/>
      <c r="N31" t="s">
        <v>454</v>
      </c>
      <c r="O31" s="20">
        <v>8995.5544664729387</v>
      </c>
      <c r="P31" s="20">
        <v>12798.448164934289</v>
      </c>
      <c r="Q31" s="20">
        <v>35051.070253264807</v>
      </c>
      <c r="R31" s="20">
        <v>83128.315249419727</v>
      </c>
      <c r="S31" s="20">
        <v>8995.5544664729387</v>
      </c>
      <c r="T31" s="20">
        <v>12798.448164934289</v>
      </c>
      <c r="U31" s="20">
        <v>35051.070253264807</v>
      </c>
      <c r="V31" s="20">
        <v>83128.315249419727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 x14ac:dyDescent="0.35">
      <c r="A32" t="s">
        <v>296</v>
      </c>
      <c r="C32" s="17" t="s">
        <v>449</v>
      </c>
      <c r="D32" t="s">
        <v>157</v>
      </c>
      <c r="G32" t="s">
        <v>296</v>
      </c>
      <c r="H32" s="20">
        <f t="shared" si="3"/>
        <v>6771.9349109771392</v>
      </c>
      <c r="I32" s="20">
        <f t="shared" si="0"/>
        <v>11274.957213449521</v>
      </c>
      <c r="J32" s="20">
        <f t="shared" si="1"/>
        <v>25873.933638951599</v>
      </c>
      <c r="K32" s="20">
        <f t="shared" si="2"/>
        <v>46931.435147926342</v>
      </c>
      <c r="L32" s="20"/>
      <c r="M32" s="20"/>
      <c r="N32" t="s">
        <v>296</v>
      </c>
      <c r="O32" s="20">
        <v>6771.9349109771392</v>
      </c>
      <c r="P32" s="20">
        <v>11274.957213449521</v>
      </c>
      <c r="Q32" s="20">
        <v>25873.933638951599</v>
      </c>
      <c r="R32" s="20">
        <v>46931.435147926342</v>
      </c>
      <c r="S32" s="20">
        <v>6771.9349109771392</v>
      </c>
      <c r="T32" s="20">
        <v>11274.957213449521</v>
      </c>
      <c r="U32" s="20">
        <v>25873.933638951599</v>
      </c>
      <c r="V32" s="20">
        <v>46931.435147926342</v>
      </c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 x14ac:dyDescent="0.35">
      <c r="A33" t="s">
        <v>455</v>
      </c>
      <c r="C33" s="17" t="s">
        <v>449</v>
      </c>
      <c r="D33" t="s">
        <v>158</v>
      </c>
      <c r="G33" t="s">
        <v>455</v>
      </c>
      <c r="H33" s="20">
        <f t="shared" si="3"/>
        <v>12214.556963901823</v>
      </c>
      <c r="I33" s="20">
        <f t="shared" si="0"/>
        <v>17248.536648253954</v>
      </c>
      <c r="J33" s="20">
        <f t="shared" si="1"/>
        <v>29976.523628790306</v>
      </c>
      <c r="K33" s="20">
        <f t="shared" si="2"/>
        <v>63105.903896483673</v>
      </c>
      <c r="L33" s="20"/>
      <c r="M33" s="20"/>
      <c r="N33" t="s">
        <v>455</v>
      </c>
      <c r="O33" s="20">
        <v>12214.556963901823</v>
      </c>
      <c r="P33" s="20">
        <v>17248.536648253954</v>
      </c>
      <c r="Q33" s="20">
        <v>29976.523628790306</v>
      </c>
      <c r="R33" s="20">
        <v>63105.903896483673</v>
      </c>
      <c r="S33" s="20">
        <v>12214.556963901823</v>
      </c>
      <c r="T33" s="20">
        <v>17248.536648253954</v>
      </c>
      <c r="U33" s="20">
        <v>29976.523628790306</v>
      </c>
      <c r="V33" s="20">
        <v>63105.903896483673</v>
      </c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 x14ac:dyDescent="0.35">
      <c r="A34" t="s">
        <v>588</v>
      </c>
      <c r="C34" s="17" t="s">
        <v>450</v>
      </c>
      <c r="D34" t="s">
        <v>159</v>
      </c>
      <c r="G34" t="s">
        <v>588</v>
      </c>
      <c r="H34" s="20">
        <f t="shared" si="3"/>
        <v>1862.8086872871961</v>
      </c>
      <c r="I34" s="20">
        <f t="shared" si="0"/>
        <v>3331.0975627543748</v>
      </c>
      <c r="J34" s="20">
        <f t="shared" si="1"/>
        <v>11053.606968826143</v>
      </c>
      <c r="K34" s="20">
        <f t="shared" si="2"/>
        <v>19427.331490174194</v>
      </c>
      <c r="L34" s="20"/>
      <c r="M34" s="20"/>
      <c r="N34" t="s">
        <v>588</v>
      </c>
      <c r="O34" s="20">
        <v>1862.8086872871961</v>
      </c>
      <c r="P34" s="20">
        <v>3331.0975627543748</v>
      </c>
      <c r="Q34" s="20">
        <v>11053.606968826143</v>
      </c>
      <c r="R34" s="20">
        <v>19427.331490174194</v>
      </c>
      <c r="S34" s="20">
        <v>1862.8086872871961</v>
      </c>
      <c r="T34" s="20">
        <v>3331.0975627543748</v>
      </c>
      <c r="U34" s="20">
        <v>11053.606968826143</v>
      </c>
      <c r="V34" s="20">
        <v>19427.331490174194</v>
      </c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 x14ac:dyDescent="0.35">
      <c r="A35" t="s">
        <v>514</v>
      </c>
      <c r="C35" s="17" t="s">
        <v>451</v>
      </c>
      <c r="D35" t="s">
        <v>160</v>
      </c>
      <c r="G35" t="s">
        <v>514</v>
      </c>
      <c r="H35" s="20">
        <f t="shared" si="3"/>
        <v>12214.556963901823</v>
      </c>
      <c r="I35" s="20">
        <f t="shared" si="0"/>
        <v>17248.536648253954</v>
      </c>
      <c r="J35" s="20">
        <f t="shared" si="1"/>
        <v>29976.523628790306</v>
      </c>
      <c r="K35" s="20">
        <f t="shared" si="2"/>
        <v>63105.903896483673</v>
      </c>
      <c r="L35" s="20"/>
      <c r="M35" s="20"/>
      <c r="N35" t="s">
        <v>514</v>
      </c>
      <c r="O35" s="20">
        <v>12214.556963901823</v>
      </c>
      <c r="P35" s="20">
        <v>17248.536648253954</v>
      </c>
      <c r="Q35" s="20">
        <v>29976.523628790306</v>
      </c>
      <c r="R35" s="20">
        <v>63105.903896483673</v>
      </c>
      <c r="S35" s="20">
        <v>12214.556963901823</v>
      </c>
      <c r="T35" s="20">
        <v>17248.536648253954</v>
      </c>
      <c r="U35" s="20">
        <v>29976.523628790306</v>
      </c>
      <c r="V35" s="20">
        <v>63105.903896483673</v>
      </c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 x14ac:dyDescent="0.35">
      <c r="A36" t="s">
        <v>590</v>
      </c>
      <c r="C36" s="17" t="s">
        <v>451</v>
      </c>
      <c r="D36" t="s">
        <v>161</v>
      </c>
      <c r="G36" t="s">
        <v>590</v>
      </c>
      <c r="H36" s="20">
        <f t="shared" si="3"/>
        <v>19152.374634525568</v>
      </c>
      <c r="I36" s="20">
        <f t="shared" si="0"/>
        <v>28969.215978475029</v>
      </c>
      <c r="J36" s="20">
        <f t="shared" si="1"/>
        <v>54260.436092102173</v>
      </c>
      <c r="K36" s="20">
        <f t="shared" si="2"/>
        <v>218060.63153546891</v>
      </c>
      <c r="L36" s="20"/>
      <c r="M36" s="20"/>
      <c r="N36" t="s">
        <v>590</v>
      </c>
      <c r="O36" s="20">
        <v>19152.374634525568</v>
      </c>
      <c r="P36" s="20">
        <v>28969.215978475029</v>
      </c>
      <c r="Q36" s="20">
        <v>54260.436092102173</v>
      </c>
      <c r="R36" s="20">
        <v>218060.63153546891</v>
      </c>
      <c r="S36" s="20">
        <v>19152.374634525568</v>
      </c>
      <c r="T36" s="20">
        <v>28969.215978475029</v>
      </c>
      <c r="U36" s="20">
        <v>54260.436092102173</v>
      </c>
      <c r="V36" s="20">
        <v>218060.63153546891</v>
      </c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 x14ac:dyDescent="0.35">
      <c r="A37" t="s">
        <v>589</v>
      </c>
      <c r="C37" s="17" t="s">
        <v>452</v>
      </c>
      <c r="D37" t="s">
        <v>162</v>
      </c>
      <c r="G37" t="s">
        <v>589</v>
      </c>
      <c r="H37" s="20">
        <f t="shared" si="3"/>
        <v>8298.2057298977306</v>
      </c>
      <c r="I37" s="20">
        <f t="shared" si="0"/>
        <v>14584.053566484512</v>
      </c>
      <c r="J37" s="20">
        <f t="shared" si="1"/>
        <v>31448.168064116398</v>
      </c>
      <c r="K37" s="20">
        <f t="shared" si="2"/>
        <v>89203.249892949098</v>
      </c>
      <c r="L37" s="20"/>
      <c r="M37" s="20"/>
      <c r="N37" t="s">
        <v>589</v>
      </c>
      <c r="O37" s="20">
        <v>8298.2057298977306</v>
      </c>
      <c r="P37" s="20">
        <v>14584.053566484512</v>
      </c>
      <c r="Q37" s="20">
        <v>31448.168064116398</v>
      </c>
      <c r="R37" s="20">
        <v>89203.249892949098</v>
      </c>
      <c r="S37" s="20">
        <v>8298.2057298977306</v>
      </c>
      <c r="T37" s="20">
        <v>14584.053566484512</v>
      </c>
      <c r="U37" s="20">
        <v>31448.168064116398</v>
      </c>
      <c r="V37" s="20">
        <v>89203.249892949098</v>
      </c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 x14ac:dyDescent="0.35">
      <c r="A38" t="s">
        <v>456</v>
      </c>
      <c r="C38" s="17" t="s">
        <v>453</v>
      </c>
      <c r="D38" t="s">
        <v>163</v>
      </c>
      <c r="G38" t="s">
        <v>456</v>
      </c>
      <c r="H38" s="20">
        <f t="shared" si="3"/>
        <v>7141.1185969277931</v>
      </c>
      <c r="I38" s="20">
        <f t="shared" si="0"/>
        <v>20547.236587728596</v>
      </c>
      <c r="J38" s="20">
        <f t="shared" si="1"/>
        <v>58451.401742292568</v>
      </c>
      <c r="K38" s="20">
        <f t="shared" si="2"/>
        <v>103121.65691138967</v>
      </c>
      <c r="L38" s="20"/>
      <c r="M38" s="20"/>
      <c r="N38" t="s">
        <v>456</v>
      </c>
      <c r="O38" s="20">
        <v>7141.1185969277931</v>
      </c>
      <c r="P38" s="20">
        <v>20547.236587728596</v>
      </c>
      <c r="Q38" s="20">
        <v>58451.401742292568</v>
      </c>
      <c r="R38" s="20">
        <v>103121.65691138967</v>
      </c>
      <c r="S38" s="20">
        <v>7141.1185969277931</v>
      </c>
      <c r="T38" s="20">
        <v>20547.236587728596</v>
      </c>
      <c r="U38" s="20">
        <v>58451.401742292568</v>
      </c>
      <c r="V38" s="20">
        <v>103121.65691138967</v>
      </c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 x14ac:dyDescent="0.35">
      <c r="A39" t="s">
        <v>457</v>
      </c>
      <c r="C39" s="17" t="s">
        <v>453</v>
      </c>
      <c r="D39" t="s">
        <v>164</v>
      </c>
      <c r="G39" t="s">
        <v>457</v>
      </c>
      <c r="H39" s="20">
        <f t="shared" si="3"/>
        <v>7141.1185969277931</v>
      </c>
      <c r="I39" s="20">
        <f t="shared" si="0"/>
        <v>20547.236587728596</v>
      </c>
      <c r="J39" s="20">
        <f t="shared" si="1"/>
        <v>58451.401742292568</v>
      </c>
      <c r="K39" s="20">
        <f t="shared" si="2"/>
        <v>103121.65691138967</v>
      </c>
      <c r="L39" s="20"/>
      <c r="M39" s="20"/>
      <c r="N39" t="s">
        <v>457</v>
      </c>
      <c r="O39" s="20">
        <v>7141.1185969277931</v>
      </c>
      <c r="P39" s="20">
        <v>20547.236587728596</v>
      </c>
      <c r="Q39" s="20">
        <v>58451.401742292568</v>
      </c>
      <c r="R39" s="20">
        <v>103121.65691138967</v>
      </c>
      <c r="S39" s="20">
        <v>7141.1185969277931</v>
      </c>
      <c r="T39" s="20">
        <v>20547.236587728596</v>
      </c>
      <c r="U39" s="20">
        <v>58451.401742292568</v>
      </c>
      <c r="V39" s="20">
        <v>103121.65691138967</v>
      </c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 x14ac:dyDescent="0.35">
      <c r="A40" t="s">
        <v>458</v>
      </c>
      <c r="C40" s="17" t="s">
        <v>454</v>
      </c>
      <c r="D40" t="s">
        <v>165</v>
      </c>
      <c r="G40" t="s">
        <v>458</v>
      </c>
      <c r="H40" s="20">
        <f t="shared" si="3"/>
        <v>7141.1185969277931</v>
      </c>
      <c r="I40" s="20">
        <f t="shared" si="0"/>
        <v>20547.236587728596</v>
      </c>
      <c r="J40" s="20">
        <f t="shared" si="1"/>
        <v>58451.401742292568</v>
      </c>
      <c r="K40" s="20">
        <f t="shared" si="2"/>
        <v>103121.65691138967</v>
      </c>
      <c r="L40" s="20"/>
      <c r="M40" s="20"/>
      <c r="N40" t="s">
        <v>458</v>
      </c>
      <c r="O40" s="20">
        <v>7141.1185969277931</v>
      </c>
      <c r="P40" s="20">
        <v>20547.236587728596</v>
      </c>
      <c r="Q40" s="20">
        <v>58451.401742292568</v>
      </c>
      <c r="R40" s="20">
        <v>103121.65691138967</v>
      </c>
      <c r="S40" s="20">
        <v>7141.1185969277931</v>
      </c>
      <c r="T40" s="20">
        <v>20547.236587728596</v>
      </c>
      <c r="U40" s="20">
        <v>58451.401742292568</v>
      </c>
      <c r="V40" s="20">
        <v>103121.65691138967</v>
      </c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 x14ac:dyDescent="0.35">
      <c r="A41" t="s">
        <v>459</v>
      </c>
      <c r="C41" s="17" t="s">
        <v>296</v>
      </c>
      <c r="D41" t="s">
        <v>166</v>
      </c>
      <c r="G41" t="s">
        <v>459</v>
      </c>
      <c r="H41" s="20">
        <f t="shared" si="3"/>
        <v>1451.9977876898224</v>
      </c>
      <c r="I41" s="20">
        <f t="shared" si="0"/>
        <v>2247.5546545484863</v>
      </c>
      <c r="J41" s="20">
        <f t="shared" si="1"/>
        <v>4657.9660821839498</v>
      </c>
      <c r="K41" s="20">
        <f t="shared" si="2"/>
        <v>22611.169981419069</v>
      </c>
      <c r="L41" s="20"/>
      <c r="M41" s="20"/>
      <c r="N41" t="s">
        <v>459</v>
      </c>
      <c r="O41" s="20">
        <v>1451.9977876898224</v>
      </c>
      <c r="P41" s="20">
        <v>2247.5546545484863</v>
      </c>
      <c r="Q41" s="20">
        <v>4657.9660821839498</v>
      </c>
      <c r="R41" s="20">
        <v>22611.169981419069</v>
      </c>
      <c r="S41" s="20">
        <v>1451.9977876898224</v>
      </c>
      <c r="T41" s="20">
        <v>2247.5546545484863</v>
      </c>
      <c r="U41" s="20">
        <v>4657.9660821839498</v>
      </c>
      <c r="V41" s="20">
        <v>22611.169981419069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 x14ac:dyDescent="0.35">
      <c r="C42" s="17" t="s">
        <v>455</v>
      </c>
      <c r="D42" t="s">
        <v>167</v>
      </c>
    </row>
    <row r="43" spans="1:73" x14ac:dyDescent="0.35">
      <c r="C43" s="17" t="s">
        <v>588</v>
      </c>
      <c r="D43" t="s">
        <v>168</v>
      </c>
    </row>
    <row r="44" spans="1:73" x14ac:dyDescent="0.35">
      <c r="C44" s="17" t="s">
        <v>588</v>
      </c>
      <c r="D44" t="s">
        <v>548</v>
      </c>
    </row>
    <row r="45" spans="1:73" x14ac:dyDescent="0.35">
      <c r="C45" s="17" t="s">
        <v>514</v>
      </c>
      <c r="D45" t="s">
        <v>169</v>
      </c>
    </row>
    <row r="46" spans="1:73" x14ac:dyDescent="0.35">
      <c r="C46" t="s">
        <v>590</v>
      </c>
      <c r="D46" t="s">
        <v>170</v>
      </c>
    </row>
    <row r="47" spans="1:73" x14ac:dyDescent="0.35">
      <c r="C47" t="s">
        <v>589</v>
      </c>
      <c r="D47" t="s">
        <v>171</v>
      </c>
    </row>
    <row r="48" spans="1:73" x14ac:dyDescent="0.35">
      <c r="C48" t="s">
        <v>589</v>
      </c>
      <c r="D48" t="s">
        <v>172</v>
      </c>
      <c r="H48" s="19" t="s">
        <v>540</v>
      </c>
      <c r="I48" s="19" t="s">
        <v>540</v>
      </c>
      <c r="J48" s="19" t="s">
        <v>540</v>
      </c>
      <c r="K48" s="19" t="s">
        <v>540</v>
      </c>
      <c r="L48" s="19"/>
      <c r="M48" s="19"/>
      <c r="O48" s="19" t="s">
        <v>540</v>
      </c>
      <c r="P48" s="19" t="s">
        <v>540</v>
      </c>
      <c r="Q48" s="19" t="s">
        <v>540</v>
      </c>
      <c r="R48" s="19" t="s">
        <v>540</v>
      </c>
      <c r="S48" s="19" t="s">
        <v>540</v>
      </c>
      <c r="T48" s="19" t="s">
        <v>540</v>
      </c>
      <c r="U48" s="19" t="s">
        <v>540</v>
      </c>
      <c r="V48" s="19" t="s">
        <v>540</v>
      </c>
    </row>
    <row r="49" spans="3:73" x14ac:dyDescent="0.35">
      <c r="C49" s="17" t="s">
        <v>456</v>
      </c>
      <c r="D49" t="s">
        <v>173</v>
      </c>
      <c r="G49" s="1" t="s">
        <v>461</v>
      </c>
      <c r="N49" s="1" t="s">
        <v>461</v>
      </c>
    </row>
    <row r="50" spans="3:73" x14ac:dyDescent="0.35">
      <c r="C50" s="17" t="s">
        <v>457</v>
      </c>
      <c r="D50" t="s">
        <v>174</v>
      </c>
      <c r="G50" s="20"/>
      <c r="H50" s="20" t="s">
        <v>552</v>
      </c>
      <c r="I50" s="20" t="s">
        <v>553</v>
      </c>
      <c r="J50" s="20" t="s">
        <v>554</v>
      </c>
      <c r="K50" s="20" t="s">
        <v>555</v>
      </c>
      <c r="L50" s="20"/>
      <c r="M50" s="20"/>
      <c r="N50" s="20"/>
      <c r="O50" s="20" t="s">
        <v>294</v>
      </c>
      <c r="P50" s="20" t="s">
        <v>210</v>
      </c>
      <c r="Q50" s="20" t="s">
        <v>211</v>
      </c>
      <c r="R50" s="20" t="s">
        <v>212</v>
      </c>
      <c r="S50" s="20" t="s">
        <v>295</v>
      </c>
      <c r="T50" s="20" t="s">
        <v>213</v>
      </c>
      <c r="U50" s="20" t="s">
        <v>214</v>
      </c>
      <c r="V50" s="20" t="s">
        <v>215</v>
      </c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</row>
    <row r="51" spans="3:73" x14ac:dyDescent="0.35">
      <c r="C51" s="17" t="s">
        <v>458</v>
      </c>
      <c r="D51" t="s">
        <v>175</v>
      </c>
      <c r="G51" t="s">
        <v>442</v>
      </c>
      <c r="H51" s="20">
        <f>O51</f>
        <v>0</v>
      </c>
      <c r="I51" s="20">
        <f t="shared" ref="I51:I85" si="4">P51</f>
        <v>0</v>
      </c>
      <c r="J51" s="20">
        <f t="shared" ref="J51:J85" si="5">Q51</f>
        <v>0</v>
      </c>
      <c r="K51" s="20">
        <f t="shared" ref="K51:K85" si="6">R51</f>
        <v>0</v>
      </c>
      <c r="L51" s="20"/>
      <c r="M51" s="20"/>
      <c r="N51" t="s">
        <v>442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</row>
    <row r="52" spans="3:73" x14ac:dyDescent="0.35">
      <c r="C52" s="17" t="s">
        <v>459</v>
      </c>
      <c r="D52" t="s">
        <v>176</v>
      </c>
      <c r="G52" t="s">
        <v>504</v>
      </c>
      <c r="H52" s="20">
        <f t="shared" ref="H52:H85" si="7">O52</f>
        <v>0</v>
      </c>
      <c r="I52" s="20">
        <f t="shared" si="4"/>
        <v>0</v>
      </c>
      <c r="J52" s="20">
        <f t="shared" si="5"/>
        <v>0</v>
      </c>
      <c r="K52" s="20">
        <f t="shared" si="6"/>
        <v>0</v>
      </c>
      <c r="L52" s="20"/>
      <c r="M52" s="20"/>
      <c r="N52" t="s">
        <v>504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</row>
    <row r="53" spans="3:73" x14ac:dyDescent="0.35">
      <c r="G53" t="s">
        <v>506</v>
      </c>
      <c r="H53" s="20">
        <f t="shared" si="7"/>
        <v>0</v>
      </c>
      <c r="I53" s="20">
        <f t="shared" si="4"/>
        <v>0</v>
      </c>
      <c r="J53" s="20">
        <f t="shared" si="5"/>
        <v>0</v>
      </c>
      <c r="K53" s="20">
        <f t="shared" si="6"/>
        <v>0</v>
      </c>
      <c r="L53" s="20"/>
      <c r="M53" s="20"/>
      <c r="N53" t="s">
        <v>506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</row>
    <row r="54" spans="3:73" x14ac:dyDescent="0.35">
      <c r="G54" t="s">
        <v>507</v>
      </c>
      <c r="H54" s="20">
        <f t="shared" si="7"/>
        <v>0</v>
      </c>
      <c r="I54" s="20">
        <f t="shared" si="4"/>
        <v>0</v>
      </c>
      <c r="J54" s="20">
        <f t="shared" si="5"/>
        <v>0</v>
      </c>
      <c r="K54" s="20">
        <f t="shared" si="6"/>
        <v>0</v>
      </c>
      <c r="L54" s="20"/>
      <c r="M54" s="20"/>
      <c r="N54" t="s">
        <v>507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</row>
    <row r="55" spans="3:73" x14ac:dyDescent="0.35">
      <c r="G55" t="s">
        <v>505</v>
      </c>
      <c r="H55" s="20">
        <f t="shared" si="7"/>
        <v>0</v>
      </c>
      <c r="I55" s="20">
        <f t="shared" si="4"/>
        <v>0</v>
      </c>
      <c r="J55" s="20">
        <f t="shared" si="5"/>
        <v>0</v>
      </c>
      <c r="K55" s="20">
        <f t="shared" si="6"/>
        <v>0</v>
      </c>
      <c r="L55" s="20"/>
      <c r="M55" s="20"/>
      <c r="N55" t="s">
        <v>505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</row>
    <row r="56" spans="3:73" x14ac:dyDescent="0.35">
      <c r="G56" t="s">
        <v>508</v>
      </c>
      <c r="H56" s="20">
        <f t="shared" si="7"/>
        <v>0</v>
      </c>
      <c r="I56" s="20">
        <f t="shared" si="4"/>
        <v>0</v>
      </c>
      <c r="J56" s="20">
        <f t="shared" si="5"/>
        <v>0</v>
      </c>
      <c r="K56" s="20">
        <f t="shared" si="6"/>
        <v>0</v>
      </c>
      <c r="L56" s="20"/>
      <c r="M56" s="20"/>
      <c r="N56" t="s">
        <v>508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</row>
    <row r="57" spans="3:73" x14ac:dyDescent="0.35">
      <c r="G57" t="s">
        <v>509</v>
      </c>
      <c r="H57" s="20">
        <f t="shared" si="7"/>
        <v>0</v>
      </c>
      <c r="I57" s="20">
        <f t="shared" si="4"/>
        <v>0</v>
      </c>
      <c r="J57" s="20">
        <f t="shared" si="5"/>
        <v>0</v>
      </c>
      <c r="K57" s="20">
        <f t="shared" si="6"/>
        <v>0</v>
      </c>
      <c r="L57" s="20"/>
      <c r="M57" s="20"/>
      <c r="N57" t="s">
        <v>509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</row>
    <row r="58" spans="3:73" x14ac:dyDescent="0.35">
      <c r="G58" t="s">
        <v>510</v>
      </c>
      <c r="H58" s="20">
        <f t="shared" si="7"/>
        <v>0</v>
      </c>
      <c r="I58" s="20">
        <f t="shared" si="4"/>
        <v>0</v>
      </c>
      <c r="J58" s="20">
        <f t="shared" si="5"/>
        <v>0</v>
      </c>
      <c r="K58" s="20">
        <f t="shared" si="6"/>
        <v>0</v>
      </c>
      <c r="L58" s="20"/>
      <c r="M58" s="20"/>
      <c r="N58" t="s">
        <v>510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</row>
    <row r="59" spans="3:73" x14ac:dyDescent="0.35">
      <c r="G59" t="s">
        <v>511</v>
      </c>
      <c r="H59" s="20">
        <f t="shared" si="7"/>
        <v>0</v>
      </c>
      <c r="I59" s="20">
        <f t="shared" si="4"/>
        <v>0</v>
      </c>
      <c r="J59" s="20">
        <f t="shared" si="5"/>
        <v>0</v>
      </c>
      <c r="K59" s="20">
        <f t="shared" si="6"/>
        <v>0</v>
      </c>
      <c r="L59" s="20"/>
      <c r="M59" s="20"/>
      <c r="N59" t="s">
        <v>511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</row>
    <row r="60" spans="3:73" x14ac:dyDescent="0.35">
      <c r="C60" s="17"/>
      <c r="G60" t="s">
        <v>443</v>
      </c>
      <c r="H60" s="20">
        <f t="shared" si="7"/>
        <v>0</v>
      </c>
      <c r="I60" s="20">
        <f t="shared" si="4"/>
        <v>0</v>
      </c>
      <c r="J60" s="20">
        <f t="shared" si="5"/>
        <v>0</v>
      </c>
      <c r="K60" s="20">
        <f t="shared" si="6"/>
        <v>0</v>
      </c>
      <c r="L60" s="20"/>
      <c r="M60" s="20"/>
      <c r="N60" t="s">
        <v>443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</row>
    <row r="61" spans="3:73" x14ac:dyDescent="0.35">
      <c r="C61" s="17"/>
      <c r="G61" t="s">
        <v>444</v>
      </c>
      <c r="H61" s="20">
        <f t="shared" si="7"/>
        <v>0</v>
      </c>
      <c r="I61" s="20">
        <f t="shared" si="4"/>
        <v>0</v>
      </c>
      <c r="J61" s="20">
        <f t="shared" si="5"/>
        <v>0</v>
      </c>
      <c r="K61" s="20">
        <f t="shared" si="6"/>
        <v>0</v>
      </c>
      <c r="L61" s="20"/>
      <c r="M61" s="20"/>
      <c r="N61" t="s">
        <v>444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</row>
    <row r="62" spans="3:73" x14ac:dyDescent="0.35">
      <c r="C62" s="17"/>
      <c r="G62" t="s">
        <v>512</v>
      </c>
      <c r="H62" s="20">
        <f t="shared" si="7"/>
        <v>0</v>
      </c>
      <c r="I62" s="20">
        <f t="shared" si="4"/>
        <v>0</v>
      </c>
      <c r="J62" s="20">
        <f t="shared" si="5"/>
        <v>0</v>
      </c>
      <c r="K62" s="20">
        <f t="shared" si="6"/>
        <v>0</v>
      </c>
      <c r="L62" s="20"/>
      <c r="M62" s="20"/>
      <c r="N62" t="s">
        <v>512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</row>
    <row r="63" spans="3:73" x14ac:dyDescent="0.35">
      <c r="G63" t="s">
        <v>513</v>
      </c>
      <c r="H63" s="20">
        <f t="shared" si="7"/>
        <v>0</v>
      </c>
      <c r="I63" s="20">
        <f t="shared" si="4"/>
        <v>0</v>
      </c>
      <c r="J63" s="20">
        <f t="shared" si="5"/>
        <v>0</v>
      </c>
      <c r="K63" s="20">
        <f t="shared" si="6"/>
        <v>0</v>
      </c>
      <c r="L63" s="20"/>
      <c r="M63" s="20"/>
      <c r="N63" t="s">
        <v>513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</row>
    <row r="64" spans="3:73" x14ac:dyDescent="0.35">
      <c r="C64" s="17"/>
      <c r="G64" t="s">
        <v>445</v>
      </c>
      <c r="H64" s="20">
        <f t="shared" si="7"/>
        <v>0</v>
      </c>
      <c r="I64" s="20">
        <f t="shared" si="4"/>
        <v>0</v>
      </c>
      <c r="J64" s="20">
        <f t="shared" si="5"/>
        <v>0</v>
      </c>
      <c r="K64" s="20">
        <f t="shared" si="6"/>
        <v>0</v>
      </c>
      <c r="L64" s="20"/>
      <c r="M64" s="20"/>
      <c r="N64" t="s">
        <v>445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</row>
    <row r="65" spans="3:73" x14ac:dyDescent="0.35">
      <c r="G65" t="s">
        <v>446</v>
      </c>
      <c r="H65" s="20">
        <f t="shared" si="7"/>
        <v>0</v>
      </c>
      <c r="I65" s="20">
        <f t="shared" si="4"/>
        <v>0</v>
      </c>
      <c r="J65" s="20">
        <f t="shared" si="5"/>
        <v>0</v>
      </c>
      <c r="K65" s="20">
        <f t="shared" si="6"/>
        <v>0</v>
      </c>
      <c r="L65" s="20"/>
      <c r="M65" s="20"/>
      <c r="N65" t="s">
        <v>446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</row>
    <row r="66" spans="3:73" x14ac:dyDescent="0.35">
      <c r="G66" t="s">
        <v>515</v>
      </c>
      <c r="H66" s="20">
        <f t="shared" si="7"/>
        <v>0</v>
      </c>
      <c r="I66" s="20">
        <f t="shared" si="4"/>
        <v>0</v>
      </c>
      <c r="J66" s="20">
        <f t="shared" si="5"/>
        <v>0</v>
      </c>
      <c r="K66" s="20">
        <f t="shared" si="6"/>
        <v>0</v>
      </c>
      <c r="L66" s="20"/>
      <c r="M66" s="20"/>
      <c r="N66" t="s">
        <v>515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</row>
    <row r="67" spans="3:73" x14ac:dyDescent="0.35">
      <c r="C67" s="17"/>
      <c r="G67" t="s">
        <v>516</v>
      </c>
      <c r="H67" s="20">
        <f t="shared" si="7"/>
        <v>0</v>
      </c>
      <c r="I67" s="20">
        <f t="shared" si="4"/>
        <v>0</v>
      </c>
      <c r="J67" s="20">
        <f t="shared" si="5"/>
        <v>0</v>
      </c>
      <c r="K67" s="20">
        <f t="shared" si="6"/>
        <v>0</v>
      </c>
      <c r="L67" s="20"/>
      <c r="M67" s="20"/>
      <c r="N67" t="s">
        <v>516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</row>
    <row r="68" spans="3:73" x14ac:dyDescent="0.35">
      <c r="C68" s="17"/>
      <c r="G68" t="s">
        <v>447</v>
      </c>
      <c r="H68" s="20">
        <f t="shared" si="7"/>
        <v>0</v>
      </c>
      <c r="I68" s="20">
        <f t="shared" si="4"/>
        <v>0</v>
      </c>
      <c r="J68" s="20">
        <f t="shared" si="5"/>
        <v>0</v>
      </c>
      <c r="K68" s="20">
        <f t="shared" si="6"/>
        <v>0</v>
      </c>
      <c r="L68" s="20"/>
      <c r="M68" s="20"/>
      <c r="N68" t="s">
        <v>447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</row>
    <row r="69" spans="3:73" x14ac:dyDescent="0.35">
      <c r="G69" t="s">
        <v>448</v>
      </c>
      <c r="H69" s="20">
        <f t="shared" si="7"/>
        <v>0</v>
      </c>
      <c r="I69" s="20">
        <f t="shared" si="4"/>
        <v>0</v>
      </c>
      <c r="J69" s="20">
        <f t="shared" si="5"/>
        <v>0</v>
      </c>
      <c r="K69" s="20">
        <f t="shared" si="6"/>
        <v>0</v>
      </c>
      <c r="L69" s="20"/>
      <c r="M69" s="20"/>
      <c r="N69" t="s">
        <v>448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</row>
    <row r="70" spans="3:73" x14ac:dyDescent="0.35">
      <c r="G70" t="s">
        <v>449</v>
      </c>
      <c r="H70" s="20">
        <f t="shared" si="7"/>
        <v>0</v>
      </c>
      <c r="I70" s="20">
        <f t="shared" si="4"/>
        <v>0</v>
      </c>
      <c r="J70" s="20">
        <f t="shared" si="5"/>
        <v>0</v>
      </c>
      <c r="K70" s="20">
        <f t="shared" si="6"/>
        <v>0</v>
      </c>
      <c r="L70" s="20"/>
      <c r="M70" s="20"/>
      <c r="N70" t="s">
        <v>449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</row>
    <row r="71" spans="3:73" x14ac:dyDescent="0.35">
      <c r="G71" t="s">
        <v>450</v>
      </c>
      <c r="H71" s="20">
        <f t="shared" si="7"/>
        <v>0</v>
      </c>
      <c r="I71" s="20">
        <f t="shared" si="4"/>
        <v>0</v>
      </c>
      <c r="J71" s="20">
        <f t="shared" si="5"/>
        <v>0</v>
      </c>
      <c r="K71" s="20">
        <f t="shared" si="6"/>
        <v>0</v>
      </c>
      <c r="L71" s="20"/>
      <c r="M71" s="20"/>
      <c r="N71" t="s">
        <v>450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</row>
    <row r="72" spans="3:73" x14ac:dyDescent="0.35">
      <c r="G72" t="s">
        <v>451</v>
      </c>
      <c r="H72" s="20">
        <f t="shared" si="7"/>
        <v>0</v>
      </c>
      <c r="I72" s="20">
        <f t="shared" si="4"/>
        <v>0</v>
      </c>
      <c r="J72" s="20">
        <f t="shared" si="5"/>
        <v>0</v>
      </c>
      <c r="K72" s="20">
        <f t="shared" si="6"/>
        <v>0</v>
      </c>
      <c r="L72" s="20"/>
      <c r="M72" s="20"/>
      <c r="N72" t="s">
        <v>451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</row>
    <row r="73" spans="3:73" x14ac:dyDescent="0.35">
      <c r="G73" t="s">
        <v>452</v>
      </c>
      <c r="H73" s="20">
        <f t="shared" si="7"/>
        <v>0</v>
      </c>
      <c r="I73" s="20">
        <f t="shared" si="4"/>
        <v>0</v>
      </c>
      <c r="J73" s="20">
        <f t="shared" si="5"/>
        <v>0</v>
      </c>
      <c r="K73" s="20">
        <f t="shared" si="6"/>
        <v>0</v>
      </c>
      <c r="L73" s="20"/>
      <c r="M73" s="20"/>
      <c r="N73" t="s">
        <v>452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</row>
    <row r="74" spans="3:73" x14ac:dyDescent="0.35">
      <c r="G74" t="s">
        <v>453</v>
      </c>
      <c r="H74" s="20">
        <f t="shared" si="7"/>
        <v>0</v>
      </c>
      <c r="I74" s="20">
        <f t="shared" si="4"/>
        <v>0</v>
      </c>
      <c r="J74" s="20">
        <f t="shared" si="5"/>
        <v>0</v>
      </c>
      <c r="K74" s="20">
        <f t="shared" si="6"/>
        <v>0</v>
      </c>
      <c r="L74" s="20"/>
      <c r="M74" s="20"/>
      <c r="N74" t="s">
        <v>453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</row>
    <row r="75" spans="3:73" x14ac:dyDescent="0.35">
      <c r="G75" t="s">
        <v>454</v>
      </c>
      <c r="H75" s="20">
        <f t="shared" si="7"/>
        <v>0</v>
      </c>
      <c r="I75" s="20">
        <f t="shared" si="4"/>
        <v>0</v>
      </c>
      <c r="J75" s="20">
        <f t="shared" si="5"/>
        <v>0</v>
      </c>
      <c r="K75" s="20">
        <f t="shared" si="6"/>
        <v>0</v>
      </c>
      <c r="L75" s="20"/>
      <c r="M75" s="20"/>
      <c r="N75" t="s">
        <v>454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</row>
    <row r="76" spans="3:73" x14ac:dyDescent="0.35">
      <c r="G76" t="s">
        <v>296</v>
      </c>
      <c r="H76" s="20">
        <f t="shared" si="7"/>
        <v>0</v>
      </c>
      <c r="I76" s="20">
        <f t="shared" si="4"/>
        <v>0</v>
      </c>
      <c r="J76" s="20">
        <f t="shared" si="5"/>
        <v>0</v>
      </c>
      <c r="K76" s="20">
        <f t="shared" si="6"/>
        <v>0</v>
      </c>
      <c r="L76" s="20"/>
      <c r="M76" s="20"/>
      <c r="N76" t="s">
        <v>296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</row>
    <row r="77" spans="3:73" x14ac:dyDescent="0.35">
      <c r="G77" t="s">
        <v>455</v>
      </c>
      <c r="H77" s="20">
        <f t="shared" si="7"/>
        <v>0</v>
      </c>
      <c r="I77" s="20">
        <f t="shared" si="4"/>
        <v>0</v>
      </c>
      <c r="J77" s="20">
        <f t="shared" si="5"/>
        <v>0</v>
      </c>
      <c r="K77" s="20">
        <f t="shared" si="6"/>
        <v>0</v>
      </c>
      <c r="L77" s="20"/>
      <c r="M77" s="20"/>
      <c r="N77" t="s">
        <v>455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</row>
    <row r="78" spans="3:73" x14ac:dyDescent="0.35">
      <c r="G78" t="s">
        <v>588</v>
      </c>
      <c r="H78" s="20">
        <f t="shared" si="7"/>
        <v>0</v>
      </c>
      <c r="I78" s="20">
        <f t="shared" si="4"/>
        <v>0</v>
      </c>
      <c r="J78" s="20">
        <f t="shared" si="5"/>
        <v>0</v>
      </c>
      <c r="K78" s="20">
        <f t="shared" si="6"/>
        <v>0</v>
      </c>
      <c r="L78" s="20"/>
      <c r="M78" s="20"/>
      <c r="N78" t="s">
        <v>588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</row>
    <row r="79" spans="3:73" x14ac:dyDescent="0.35">
      <c r="G79" t="s">
        <v>514</v>
      </c>
      <c r="H79" s="20">
        <f t="shared" si="7"/>
        <v>0</v>
      </c>
      <c r="I79" s="20">
        <f t="shared" si="4"/>
        <v>0</v>
      </c>
      <c r="J79" s="20">
        <f t="shared" si="5"/>
        <v>0</v>
      </c>
      <c r="K79" s="20">
        <f t="shared" si="6"/>
        <v>0</v>
      </c>
      <c r="L79" s="20"/>
      <c r="M79" s="20"/>
      <c r="N79" t="s">
        <v>514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</row>
    <row r="80" spans="3:73" x14ac:dyDescent="0.35">
      <c r="G80" t="s">
        <v>590</v>
      </c>
      <c r="H80" s="20">
        <f t="shared" si="7"/>
        <v>0</v>
      </c>
      <c r="I80" s="20">
        <f t="shared" si="4"/>
        <v>0</v>
      </c>
      <c r="J80" s="20">
        <f t="shared" si="5"/>
        <v>0</v>
      </c>
      <c r="K80" s="20">
        <f t="shared" si="6"/>
        <v>0</v>
      </c>
      <c r="L80" s="20"/>
      <c r="M80" s="20"/>
      <c r="N80" t="s">
        <v>590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</row>
    <row r="81" spans="7:73" x14ac:dyDescent="0.35">
      <c r="G81" t="s">
        <v>589</v>
      </c>
      <c r="H81" s="20">
        <f t="shared" si="7"/>
        <v>0</v>
      </c>
      <c r="I81" s="20">
        <f t="shared" si="4"/>
        <v>0</v>
      </c>
      <c r="J81" s="20">
        <f t="shared" si="5"/>
        <v>0</v>
      </c>
      <c r="K81" s="20">
        <f t="shared" si="6"/>
        <v>0</v>
      </c>
      <c r="L81" s="20"/>
      <c r="M81" s="20"/>
      <c r="N81" t="s">
        <v>589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</row>
    <row r="82" spans="7:73" x14ac:dyDescent="0.35">
      <c r="G82" t="s">
        <v>456</v>
      </c>
      <c r="H82" s="20">
        <f t="shared" si="7"/>
        <v>0</v>
      </c>
      <c r="I82" s="20">
        <f t="shared" si="4"/>
        <v>0</v>
      </c>
      <c r="J82" s="20">
        <f t="shared" si="5"/>
        <v>0</v>
      </c>
      <c r="K82" s="20">
        <f t="shared" si="6"/>
        <v>0</v>
      </c>
      <c r="L82" s="20"/>
      <c r="M82" s="20"/>
      <c r="N82" t="s">
        <v>456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</row>
    <row r="83" spans="7:73" x14ac:dyDescent="0.35">
      <c r="G83" t="s">
        <v>457</v>
      </c>
      <c r="H83" s="20">
        <f t="shared" si="7"/>
        <v>0</v>
      </c>
      <c r="I83" s="20">
        <f t="shared" si="4"/>
        <v>0</v>
      </c>
      <c r="J83" s="20">
        <f t="shared" si="5"/>
        <v>0</v>
      </c>
      <c r="K83" s="20">
        <f t="shared" si="6"/>
        <v>0</v>
      </c>
      <c r="L83" s="20"/>
      <c r="M83" s="20"/>
      <c r="N83" t="s">
        <v>457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</row>
    <row r="84" spans="7:73" x14ac:dyDescent="0.35">
      <c r="G84" t="s">
        <v>458</v>
      </c>
      <c r="H84" s="20">
        <f t="shared" si="7"/>
        <v>0</v>
      </c>
      <c r="I84" s="20">
        <f t="shared" si="4"/>
        <v>0</v>
      </c>
      <c r="J84" s="20">
        <f t="shared" si="5"/>
        <v>0</v>
      </c>
      <c r="K84" s="20">
        <f t="shared" si="6"/>
        <v>0</v>
      </c>
      <c r="L84" s="20"/>
      <c r="M84" s="20"/>
      <c r="N84" t="s">
        <v>458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</row>
    <row r="85" spans="7:73" x14ac:dyDescent="0.35">
      <c r="G85" t="s">
        <v>459</v>
      </c>
      <c r="H85" s="20">
        <f t="shared" si="7"/>
        <v>0</v>
      </c>
      <c r="I85" s="20">
        <f t="shared" si="4"/>
        <v>0</v>
      </c>
      <c r="J85" s="20">
        <f t="shared" si="5"/>
        <v>0</v>
      </c>
      <c r="K85" s="20">
        <f t="shared" si="6"/>
        <v>0</v>
      </c>
      <c r="L85" s="20"/>
      <c r="M85" s="20"/>
      <c r="N85" t="s">
        <v>459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499984740745262"/>
  </sheetPr>
  <dimension ref="A1:S22"/>
  <sheetViews>
    <sheetView showZeros="0" zoomScale="85" zoomScaleNormal="85" workbookViewId="0">
      <pane ySplit="6" topLeftCell="A7" activePane="bottomLeft" state="frozen"/>
      <selection activeCell="D7" sqref="D7:E19"/>
      <selection pane="bottomLeft" activeCell="P2" sqref="P2:S5"/>
    </sheetView>
  </sheetViews>
  <sheetFormatPr defaultRowHeight="14.5" x14ac:dyDescent="0.35"/>
  <sheetData>
    <row r="1" spans="1:19" ht="18.5" x14ac:dyDescent="0.45">
      <c r="A1" s="5" t="s">
        <v>463</v>
      </c>
    </row>
    <row r="2" spans="1:19" x14ac:dyDescent="0.35">
      <c r="A2" s="3" t="s">
        <v>364</v>
      </c>
      <c r="B2" s="4" t="s">
        <v>464</v>
      </c>
      <c r="P2" s="156" t="s">
        <v>736</v>
      </c>
      <c r="Q2" s="157"/>
      <c r="R2" s="157"/>
      <c r="S2" s="157"/>
    </row>
    <row r="3" spans="1:19" x14ac:dyDescent="0.35">
      <c r="B3" s="11"/>
      <c r="K3" s="11"/>
      <c r="L3" s="11"/>
      <c r="P3" s="157"/>
      <c r="Q3" s="157" t="s">
        <v>467</v>
      </c>
      <c r="R3" s="157" t="s">
        <v>468</v>
      </c>
      <c r="S3" s="157" t="s">
        <v>737</v>
      </c>
    </row>
    <row r="4" spans="1:19" x14ac:dyDescent="0.35">
      <c r="A4" t="s">
        <v>602</v>
      </c>
      <c r="B4" s="11">
        <f>SUM(B7:B21)</f>
        <v>17965.779115001984</v>
      </c>
      <c r="F4" s="1" t="s">
        <v>521</v>
      </c>
      <c r="H4" s="23">
        <f>SUM(K7:K21)</f>
        <v>17965.779115001984</v>
      </c>
      <c r="I4" s="22" t="s">
        <v>540</v>
      </c>
      <c r="K4" s="160">
        <f>SUM(K7:K21)</f>
        <v>17965.779115001984</v>
      </c>
      <c r="L4" s="19"/>
      <c r="P4" s="157" t="s">
        <v>738</v>
      </c>
      <c r="Q4" s="158">
        <f>K4/1000</f>
        <v>17.965779115001983</v>
      </c>
      <c r="R4" s="158">
        <f>G10/1000</f>
        <v>2.8121346152129991</v>
      </c>
      <c r="S4" s="158">
        <f>Q4-R4</f>
        <v>15.153644499788983</v>
      </c>
    </row>
    <row r="5" spans="1:19" x14ac:dyDescent="0.35">
      <c r="J5" s="1" t="s">
        <v>520</v>
      </c>
      <c r="P5" s="157" t="s">
        <v>1</v>
      </c>
      <c r="Q5" s="159">
        <f>B4/1000</f>
        <v>17.965779115001983</v>
      </c>
      <c r="R5" s="158">
        <f>R4/$Q$4*$Q$5</f>
        <v>2.8121346152129991</v>
      </c>
      <c r="S5" s="158">
        <f>S4/$Q$4*$Q$5</f>
        <v>15.153644499788983</v>
      </c>
    </row>
    <row r="6" spans="1:19" x14ac:dyDescent="0.35">
      <c r="B6" t="s">
        <v>473</v>
      </c>
      <c r="F6" s="1" t="s">
        <v>465</v>
      </c>
      <c r="G6" t="s">
        <v>473</v>
      </c>
      <c r="H6" t="s">
        <v>474</v>
      </c>
      <c r="K6" t="s">
        <v>473</v>
      </c>
      <c r="L6" t="s">
        <v>270</v>
      </c>
    </row>
    <row r="7" spans="1:19" x14ac:dyDescent="0.35">
      <c r="A7" s="29" t="s">
        <v>217</v>
      </c>
      <c r="B7" s="11">
        <f t="shared" ref="B7:B11" si="0">K7/SUM(K$7:K$60)*$H$4</f>
        <v>3390.0384766340026</v>
      </c>
      <c r="F7" t="s">
        <v>467</v>
      </c>
      <c r="G7" s="11">
        <f>G8+G10+G9</f>
        <v>17965.779115001984</v>
      </c>
      <c r="H7" s="6">
        <f>G7/G$7*100</f>
        <v>100</v>
      </c>
      <c r="J7" s="29" t="s">
        <v>217</v>
      </c>
      <c r="K7" s="20">
        <v>3390.0384766340026</v>
      </c>
      <c r="L7" s="20">
        <v>604.1336058190011</v>
      </c>
    </row>
    <row r="8" spans="1:19" x14ac:dyDescent="0.35">
      <c r="A8" s="29" t="s">
        <v>218</v>
      </c>
      <c r="B8" s="11">
        <f t="shared" si="0"/>
        <v>3308.4136750360008</v>
      </c>
      <c r="F8" s="12" t="s">
        <v>600</v>
      </c>
      <c r="G8" s="11">
        <f>SUM(B7:B11)</f>
        <v>14187.513004572986</v>
      </c>
      <c r="H8" s="6">
        <f t="shared" ref="H8:H15" si="1">G8/G$7*100</f>
        <v>78.969650655038777</v>
      </c>
      <c r="J8" s="29" t="s">
        <v>218</v>
      </c>
      <c r="K8" s="20">
        <v>3308.4136750360008</v>
      </c>
      <c r="L8" s="20">
        <v>657.10780410500013</v>
      </c>
    </row>
    <row r="9" spans="1:19" x14ac:dyDescent="0.35">
      <c r="A9" s="29" t="s">
        <v>219</v>
      </c>
      <c r="B9" s="11">
        <f t="shared" si="0"/>
        <v>3109.6773234559932</v>
      </c>
      <c r="F9" s="12" t="s">
        <v>601</v>
      </c>
      <c r="G9" s="11">
        <f>SUM(B12:B16)</f>
        <v>966.13149521599985</v>
      </c>
      <c r="H9" s="6">
        <f t="shared" si="1"/>
        <v>5.3776209149162373</v>
      </c>
      <c r="J9" s="29" t="s">
        <v>219</v>
      </c>
      <c r="K9" s="20">
        <v>3109.6773234559932</v>
      </c>
      <c r="L9" s="20">
        <v>680.66063151900062</v>
      </c>
    </row>
    <row r="10" spans="1:19" x14ac:dyDescent="0.35">
      <c r="A10" s="29" t="s">
        <v>220</v>
      </c>
      <c r="B10" s="11">
        <f t="shared" si="0"/>
        <v>2676.1294801079921</v>
      </c>
      <c r="F10" s="13" t="s">
        <v>468</v>
      </c>
      <c r="G10" s="14">
        <f>SUM(B17:B21)</f>
        <v>2812.1346152129991</v>
      </c>
      <c r="H10" s="15">
        <f t="shared" si="1"/>
        <v>15.652728430044979</v>
      </c>
      <c r="J10" s="29" t="s">
        <v>220</v>
      </c>
      <c r="K10" s="20">
        <v>2676.1294801079921</v>
      </c>
      <c r="L10" s="20">
        <v>653.73081333500022</v>
      </c>
    </row>
    <row r="11" spans="1:19" x14ac:dyDescent="0.35">
      <c r="A11" s="29" t="s">
        <v>221</v>
      </c>
      <c r="B11" s="11">
        <f t="shared" si="0"/>
        <v>1703.2540493389968</v>
      </c>
      <c r="F11" s="12" t="s">
        <v>466</v>
      </c>
      <c r="G11" s="11">
        <f>B7+B12+B17</f>
        <v>3582.8009889290024</v>
      </c>
      <c r="H11" s="6">
        <f t="shared" si="1"/>
        <v>19.942363567952654</v>
      </c>
      <c r="J11" s="29" t="s">
        <v>221</v>
      </c>
      <c r="K11" s="20">
        <v>1703.2540493389968</v>
      </c>
      <c r="L11" s="20">
        <v>540.02492250500143</v>
      </c>
    </row>
    <row r="12" spans="1:19" x14ac:dyDescent="0.35">
      <c r="A12" s="29" t="s">
        <v>595</v>
      </c>
      <c r="B12" s="11">
        <f t="shared" ref="B12:B21" si="2">K12/SUM(K$7:K$60)*$H$4</f>
        <v>136.26415971500006</v>
      </c>
      <c r="F12" s="12" t="s">
        <v>469</v>
      </c>
      <c r="G12" s="11">
        <f>B8+B13+B18</f>
        <v>3589.7006556370011</v>
      </c>
      <c r="H12" s="6">
        <f t="shared" si="1"/>
        <v>19.980768062763776</v>
      </c>
      <c r="J12" s="29" t="s">
        <v>595</v>
      </c>
      <c r="K12" s="20">
        <v>136.26415971500006</v>
      </c>
      <c r="L12" s="20">
        <v>26.367538570999997</v>
      </c>
    </row>
    <row r="13" spans="1:19" x14ac:dyDescent="0.35">
      <c r="A13" s="29" t="s">
        <v>596</v>
      </c>
      <c r="B13" s="11">
        <f t="shared" si="2"/>
        <v>146.06489115100007</v>
      </c>
      <c r="F13" s="12" t="s">
        <v>470</v>
      </c>
      <c r="G13" s="11">
        <f>B9+B14+B19</f>
        <v>3604.0763126539932</v>
      </c>
      <c r="H13" s="6">
        <f t="shared" si="1"/>
        <v>20.060784948894746</v>
      </c>
      <c r="J13" s="29" t="s">
        <v>596</v>
      </c>
      <c r="K13" s="20">
        <v>146.06489115100007</v>
      </c>
      <c r="L13" s="20">
        <v>33.30401583500003</v>
      </c>
    </row>
    <row r="14" spans="1:19" x14ac:dyDescent="0.35">
      <c r="A14" s="29" t="s">
        <v>597</v>
      </c>
      <c r="B14" s="11">
        <f t="shared" si="2"/>
        <v>166.710477067</v>
      </c>
      <c r="F14" s="12" t="s">
        <v>471</v>
      </c>
      <c r="G14" s="11">
        <f>B10+B15+B20</f>
        <v>3593.5499264999917</v>
      </c>
      <c r="H14" s="6">
        <f t="shared" si="1"/>
        <v>20.002193634337104</v>
      </c>
      <c r="J14" s="29" t="s">
        <v>597</v>
      </c>
      <c r="K14" s="20">
        <v>166.710477067</v>
      </c>
      <c r="L14" s="20">
        <v>42.208123885999989</v>
      </c>
    </row>
    <row r="15" spans="1:19" x14ac:dyDescent="0.35">
      <c r="A15" s="29" t="s">
        <v>598</v>
      </c>
      <c r="B15" s="11">
        <f t="shared" si="2"/>
        <v>246.12437395499995</v>
      </c>
      <c r="F15" s="12" t="s">
        <v>472</v>
      </c>
      <c r="G15" s="11">
        <f>B11+B16+B21</f>
        <v>3595.6512312819959</v>
      </c>
      <c r="H15" s="6">
        <f t="shared" si="1"/>
        <v>20.013889786051724</v>
      </c>
      <c r="J15" s="29" t="s">
        <v>598</v>
      </c>
      <c r="K15" s="20">
        <v>246.12437395499995</v>
      </c>
      <c r="L15" s="20">
        <v>71.533256365999947</v>
      </c>
    </row>
    <row r="16" spans="1:19" x14ac:dyDescent="0.35">
      <c r="A16" s="29" t="s">
        <v>599</v>
      </c>
      <c r="B16" s="11">
        <f t="shared" si="2"/>
        <v>270.96759332799979</v>
      </c>
      <c r="F16" s="12"/>
      <c r="G16" s="11"/>
      <c r="H16" s="6"/>
      <c r="J16" s="29" t="s">
        <v>599</v>
      </c>
      <c r="K16" s="20">
        <v>270.96759332799979</v>
      </c>
      <c r="L16" s="20">
        <v>109.75738358799994</v>
      </c>
    </row>
    <row r="17" spans="1:12" x14ac:dyDescent="0.35">
      <c r="A17" s="29" t="s">
        <v>222</v>
      </c>
      <c r="B17" s="11">
        <f t="shared" si="2"/>
        <v>56.498352580000002</v>
      </c>
      <c r="J17" s="29" t="s">
        <v>222</v>
      </c>
      <c r="K17" s="20">
        <v>56.498352580000002</v>
      </c>
      <c r="L17" s="20">
        <v>9.8208394519999977</v>
      </c>
    </row>
    <row r="18" spans="1:12" x14ac:dyDescent="0.35">
      <c r="A18" s="29" t="s">
        <v>223</v>
      </c>
      <c r="B18" s="11">
        <f t="shared" si="2"/>
        <v>135.22208945000003</v>
      </c>
      <c r="J18" s="29" t="s">
        <v>223</v>
      </c>
      <c r="K18" s="20">
        <v>135.22208945000003</v>
      </c>
      <c r="L18" s="20">
        <v>24.632487209000015</v>
      </c>
    </row>
    <row r="19" spans="1:12" x14ac:dyDescent="0.35">
      <c r="A19" s="29" t="s">
        <v>224</v>
      </c>
      <c r="B19" s="11">
        <f t="shared" si="2"/>
        <v>327.68851213100004</v>
      </c>
      <c r="J19" s="29" t="s">
        <v>224</v>
      </c>
      <c r="K19" s="20">
        <v>327.68851213100004</v>
      </c>
      <c r="L19" s="20">
        <v>55.703463022999991</v>
      </c>
    </row>
    <row r="20" spans="1:12" x14ac:dyDescent="0.35">
      <c r="A20" s="29" t="s">
        <v>225</v>
      </c>
      <c r="B20" s="11">
        <f t="shared" si="2"/>
        <v>671.29607243699957</v>
      </c>
      <c r="J20" s="29" t="s">
        <v>225</v>
      </c>
      <c r="K20" s="20">
        <v>671.29607243699957</v>
      </c>
      <c r="L20" s="20">
        <v>137.217437698</v>
      </c>
    </row>
    <row r="21" spans="1:12" x14ac:dyDescent="0.35">
      <c r="A21" s="29" t="s">
        <v>226</v>
      </c>
      <c r="B21" s="11">
        <f t="shared" si="2"/>
        <v>1621.4295886149994</v>
      </c>
      <c r="J21" s="29" t="s">
        <v>226</v>
      </c>
      <c r="K21" s="20">
        <v>1621.4295886149994</v>
      </c>
      <c r="L21" s="20">
        <v>439.29306448999938</v>
      </c>
    </row>
    <row r="22" spans="1:12" x14ac:dyDescent="0.35">
      <c r="A2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Adjust</vt:lpstr>
      <vt:lpstr>SAM</vt:lpstr>
      <vt:lpstr>LES</vt:lpstr>
      <vt:lpstr>Elasticities</vt:lpstr>
      <vt:lpstr>Production</vt:lpstr>
      <vt:lpstr>Employment</vt:lpstr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2024-11-08T21:01:14Z</dcterms:modified>
</cp:coreProperties>
</file>